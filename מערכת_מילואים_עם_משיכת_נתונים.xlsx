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4F261290-9C72-4ED8-A526-4442AAC32848}" xr6:coauthVersionLast="47" xr6:coauthVersionMax="47" xr10:uidLastSave="{00000000-0000-0000-0000-000000000000}"/>
  <bookViews>
    <workbookView xWindow="-28920" yWindow="0" windowWidth="29040" windowHeight="15720" activeTab="2" xr2:uid="{00000000-000D-0000-FFFF-FFFF00000000}"/>
  </bookViews>
  <sheets>
    <sheet name="רשימת עובדים" sheetId="1" r:id="rId1"/>
    <sheet name="תשלומי מילואים" sheetId="2" r:id="rId2"/>
    <sheet name="📖 הוראות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" i="2" l="1"/>
  <c r="F81" i="2"/>
  <c r="G81" i="2" s="1"/>
  <c r="K80" i="2"/>
  <c r="F80" i="2"/>
  <c r="G80" i="2" s="1"/>
  <c r="K79" i="2"/>
  <c r="G79" i="2"/>
  <c r="F79" i="2"/>
  <c r="K78" i="2"/>
  <c r="F78" i="2"/>
  <c r="G78" i="2" s="1"/>
  <c r="K77" i="2"/>
  <c r="F77" i="2"/>
  <c r="G77" i="2" s="1"/>
  <c r="K76" i="2"/>
  <c r="F76" i="2"/>
  <c r="K75" i="2"/>
  <c r="F75" i="2"/>
  <c r="K74" i="2"/>
  <c r="F74" i="2"/>
  <c r="K73" i="2"/>
  <c r="F73" i="2"/>
  <c r="K72" i="2"/>
  <c r="F72" i="2"/>
  <c r="K71" i="2"/>
  <c r="G71" i="2"/>
  <c r="F71" i="2"/>
  <c r="K70" i="2"/>
  <c r="F70" i="2"/>
  <c r="K69" i="2"/>
  <c r="F69" i="2"/>
  <c r="K68" i="2"/>
  <c r="F68" i="2"/>
  <c r="K67" i="2"/>
  <c r="F67" i="2"/>
  <c r="K66" i="2"/>
  <c r="F66" i="2"/>
  <c r="G66" i="2" s="1"/>
  <c r="K65" i="2"/>
  <c r="F65" i="2"/>
  <c r="G65" i="2" s="1"/>
  <c r="K64" i="2"/>
  <c r="F64" i="2"/>
  <c r="G64" i="2" s="1"/>
  <c r="K63" i="2"/>
  <c r="G63" i="2"/>
  <c r="F63" i="2"/>
  <c r="K62" i="2"/>
  <c r="F62" i="2"/>
  <c r="K61" i="2"/>
  <c r="F61" i="2"/>
  <c r="K60" i="2"/>
  <c r="F60" i="2"/>
  <c r="K59" i="2"/>
  <c r="F59" i="2"/>
  <c r="K58" i="2"/>
  <c r="F58" i="2"/>
  <c r="G58" i="2" s="1"/>
  <c r="K57" i="2"/>
  <c r="F57" i="2"/>
  <c r="G57" i="2" s="1"/>
  <c r="K56" i="2"/>
  <c r="F56" i="2"/>
  <c r="K55" i="2"/>
  <c r="G55" i="2"/>
  <c r="F55" i="2"/>
  <c r="K54" i="2"/>
  <c r="F54" i="2"/>
  <c r="G54" i="2" s="1"/>
  <c r="K53" i="2"/>
  <c r="F53" i="2"/>
  <c r="G53" i="2" s="1"/>
  <c r="K52" i="2"/>
  <c r="F52" i="2"/>
  <c r="G52" i="2" s="1"/>
  <c r="K51" i="2"/>
  <c r="F51" i="2"/>
  <c r="K50" i="2"/>
  <c r="F50" i="2"/>
  <c r="G50" i="2" s="1"/>
  <c r="K49" i="2"/>
  <c r="F49" i="2"/>
  <c r="K48" i="2"/>
  <c r="F48" i="2"/>
  <c r="K47" i="2"/>
  <c r="F47" i="2"/>
  <c r="K46" i="2"/>
  <c r="F46" i="2"/>
  <c r="K45" i="2"/>
  <c r="F45" i="2"/>
  <c r="G45" i="2" s="1"/>
  <c r="K44" i="2"/>
  <c r="F44" i="2"/>
  <c r="K43" i="2"/>
  <c r="F43" i="2"/>
  <c r="K42" i="2"/>
  <c r="F42" i="2"/>
  <c r="K41" i="2"/>
  <c r="F41" i="2"/>
  <c r="K40" i="2"/>
  <c r="F40" i="2"/>
  <c r="K39" i="2"/>
  <c r="F39" i="2"/>
  <c r="K38" i="2"/>
  <c r="F38" i="2"/>
  <c r="G38" i="2" s="1"/>
  <c r="K37" i="2"/>
  <c r="F37" i="2"/>
  <c r="K36" i="2"/>
  <c r="F36" i="2"/>
  <c r="K35" i="2"/>
  <c r="G35" i="2"/>
  <c r="F35" i="2"/>
  <c r="K34" i="2"/>
  <c r="F34" i="2"/>
  <c r="G34" i="2" s="1"/>
  <c r="K33" i="2"/>
  <c r="F33" i="2"/>
  <c r="G33" i="2" s="1"/>
  <c r="K32" i="2"/>
  <c r="F32" i="2"/>
  <c r="K31" i="2"/>
  <c r="F31" i="2"/>
  <c r="K30" i="2"/>
  <c r="F30" i="2"/>
  <c r="K29" i="2"/>
  <c r="F29" i="2"/>
  <c r="G29" i="2" s="1"/>
  <c r="K28" i="2"/>
  <c r="F28" i="2"/>
  <c r="K27" i="2"/>
  <c r="G27" i="2"/>
  <c r="F27" i="2"/>
  <c r="K26" i="2"/>
  <c r="F26" i="2"/>
  <c r="K25" i="2"/>
  <c r="F25" i="2"/>
  <c r="K24" i="2"/>
  <c r="F24" i="2"/>
  <c r="G24" i="2" s="1"/>
  <c r="K23" i="2"/>
  <c r="F23" i="2"/>
  <c r="K22" i="2"/>
  <c r="F22" i="2"/>
  <c r="G22" i="2" s="1"/>
  <c r="K21" i="2"/>
  <c r="F21" i="2"/>
  <c r="K20" i="2"/>
  <c r="F20" i="2"/>
  <c r="K19" i="2"/>
  <c r="F19" i="2"/>
  <c r="K18" i="2"/>
  <c r="F18" i="2"/>
  <c r="G18" i="2" s="1"/>
  <c r="K17" i="2"/>
  <c r="F17" i="2"/>
  <c r="G17" i="2" s="1"/>
  <c r="K16" i="2"/>
  <c r="F16" i="2"/>
  <c r="K15" i="2"/>
  <c r="F15" i="2"/>
  <c r="K14" i="2"/>
  <c r="F14" i="2"/>
  <c r="K13" i="2"/>
  <c r="F13" i="2"/>
  <c r="G13" i="2" s="1"/>
  <c r="K12" i="2"/>
  <c r="F12" i="2"/>
  <c r="G12" i="2" s="1"/>
  <c r="K11" i="2"/>
  <c r="G11" i="2"/>
  <c r="F11" i="2"/>
  <c r="K10" i="2"/>
  <c r="F10" i="2"/>
  <c r="K9" i="2"/>
  <c r="F9" i="2"/>
  <c r="G9" i="2" s="1"/>
  <c r="K8" i="2"/>
  <c r="F8" i="2"/>
  <c r="G8" i="2" s="1"/>
  <c r="K7" i="2"/>
  <c r="F7" i="2"/>
  <c r="K6" i="2"/>
  <c r="F6" i="2"/>
  <c r="G6" i="2" s="1"/>
  <c r="K5" i="2"/>
  <c r="F5" i="2"/>
  <c r="G5" i="2" s="1"/>
  <c r="K4" i="2"/>
  <c r="F4" i="2"/>
  <c r="G4" i="2" s="1"/>
  <c r="K3" i="2"/>
  <c r="F3" i="2"/>
  <c r="C20" i="1"/>
  <c r="C19" i="1"/>
  <c r="G75" i="2" s="1"/>
  <c r="C18" i="1"/>
  <c r="G67" i="2" s="1"/>
  <c r="C17" i="1"/>
  <c r="C16" i="1"/>
  <c r="G59" i="2" s="1"/>
  <c r="C15" i="1"/>
  <c r="G51" i="2" s="1"/>
  <c r="C14" i="1"/>
  <c r="G43" i="2" s="1"/>
  <c r="C13" i="1"/>
  <c r="G39" i="2" s="1"/>
  <c r="C12" i="1"/>
  <c r="C11" i="1"/>
  <c r="G31" i="2" s="1"/>
  <c r="C10" i="1"/>
  <c r="G23" i="2" s="1"/>
  <c r="C9" i="1"/>
  <c r="C8" i="1"/>
  <c r="G15" i="2" s="1"/>
  <c r="C7" i="1"/>
  <c r="C6" i="1"/>
  <c r="G7" i="2" s="1"/>
  <c r="C5" i="1"/>
  <c r="C4" i="1"/>
  <c r="G3" i="2" s="1"/>
  <c r="G44" i="2" l="1"/>
  <c r="G46" i="2"/>
  <c r="G41" i="2"/>
  <c r="G42" i="2"/>
  <c r="G48" i="2"/>
  <c r="G49" i="2"/>
  <c r="G76" i="2"/>
  <c r="G32" i="2"/>
  <c r="G28" i="2"/>
  <c r="G30" i="2"/>
  <c r="G25" i="2"/>
  <c r="G26" i="2"/>
  <c r="G37" i="2"/>
  <c r="G40" i="2"/>
  <c r="G36" i="2"/>
  <c r="G72" i="2"/>
  <c r="G73" i="2"/>
  <c r="G68" i="2"/>
  <c r="G74" i="2"/>
  <c r="G69" i="2"/>
  <c r="G70" i="2"/>
  <c r="G61" i="2"/>
  <c r="G56" i="2"/>
  <c r="G62" i="2"/>
  <c r="G60" i="2"/>
  <c r="G19" i="2"/>
  <c r="G20" i="2"/>
  <c r="G21" i="2"/>
  <c r="G16" i="2"/>
  <c r="G14" i="2"/>
  <c r="G10" i="2"/>
  <c r="G47" i="2"/>
</calcChain>
</file>

<file path=xl/sharedStrings.xml><?xml version="1.0" encoding="utf-8"?>
<sst xmlns="http://schemas.openxmlformats.org/spreadsheetml/2006/main" count="383" uniqueCount="79">
  <si>
    <t>📋 רשימת עובדים ותעריפים</t>
  </si>
  <si>
    <t>⚠️ מלא את המשכורות החודשיות - התעריף היומי יחושב אוטומטית</t>
  </si>
  <si>
    <t>שם עובד</t>
  </si>
  <si>
    <t>משכורת חודשית</t>
  </si>
  <si>
    <t>תעריף יומי</t>
  </si>
  <si>
    <t>הערות</t>
  </si>
  <si>
    <t>אוראל שווקי</t>
  </si>
  <si>
    <t>אורי אשתר</t>
  </si>
  <si>
    <t>אייל מלח</t>
  </si>
  <si>
    <t>אריאל אליה</t>
  </si>
  <si>
    <t>דניאל בנדרימר</t>
  </si>
  <si>
    <t xml:space="preserve">חיים  ראש </t>
  </si>
  <si>
    <t>יום טוב מוסארי</t>
  </si>
  <si>
    <t>יורם  שלמה</t>
  </si>
  <si>
    <t>יענקל מונטבולינסקי</t>
  </si>
  <si>
    <t>לאון שמייב</t>
  </si>
  <si>
    <t>לוי דור</t>
  </si>
  <si>
    <t>מנפרד מרקוביץ'</t>
  </si>
  <si>
    <t>משה בורך</t>
  </si>
  <si>
    <t>משה פינץ</t>
  </si>
  <si>
    <t>נתן פרדר</t>
  </si>
  <si>
    <t>צחי חנגל</t>
  </si>
  <si>
    <t>רפאל שועה</t>
  </si>
  <si>
    <t>נתוני מילואים</t>
  </si>
  <si>
    <t>חישוב תשלום החברה</t>
  </si>
  <si>
    <t>ביטוח לאומי (למילוי)</t>
  </si>
  <si>
    <t>הפרשים</t>
  </si>
  <si>
    <t>תשלום לעובד (למילוי)</t>
  </si>
  <si>
    <t>מחלקה</t>
  </si>
  <si>
    <t>חודש מילואים</t>
  </si>
  <si>
    <t>סה"כ ימים</t>
  </si>
  <si>
    <t>ימי עבודה</t>
  </si>
  <si>
    <t>סוג חישוב</t>
  </si>
  <si>
    <t>שילמה החברה</t>
  </si>
  <si>
    <t>ימי שירות ביטוח לאומי</t>
  </si>
  <si>
    <t>תקבול ביטוח לאומי</t>
  </si>
  <si>
    <t>הפרשים לתשלום</t>
  </si>
  <si>
    <t>שולם בתלוש</t>
  </si>
  <si>
    <t>חודש תלוש</t>
  </si>
  <si>
    <t>סטטוס</t>
  </si>
  <si>
    <t>רפאל</t>
  </si>
  <si>
    <t>2025-03</t>
  </si>
  <si>
    <t>ממתין לתקבול</t>
  </si>
  <si>
    <t>מל"מ</t>
  </si>
  <si>
    <t>2025-09</t>
  </si>
  <si>
    <t>2025-01</t>
  </si>
  <si>
    <t>2025-05</t>
  </si>
  <si>
    <t>2025-06</t>
  </si>
  <si>
    <t>2025-07</t>
  </si>
  <si>
    <t>2025-04</t>
  </si>
  <si>
    <t>2025-08</t>
  </si>
  <si>
    <t>רוה"מ</t>
  </si>
  <si>
    <t>2025-02</t>
  </si>
  <si>
    <t>📖 הוראות שימוש - מערכת ניהול תשלומי מילואים</t>
  </si>
  <si>
    <t>🎯 סדר פעולות:</t>
  </si>
  <si>
    <t>1️⃣ גיליון "רשימת עובדים":</t>
  </si>
  <si>
    <t xml:space="preserve">   • מלא את המשכורת החודשית לכל עובד</t>
  </si>
  <si>
    <t xml:space="preserve">   • התעריף היומי יחושב אוטומטית (משכורת ÷ 21.67)</t>
  </si>
  <si>
    <t>2️⃣ גיליון "תשלומי מילואים":</t>
  </si>
  <si>
    <t xml:space="preserve">   • כל הנתונים ימשכו אוטומטית מגיליון העובדים</t>
  </si>
  <si>
    <t xml:space="preserve">   • סוג חישוב (יומי/חודשי) - אוטומטי לפי מספר ימים</t>
  </si>
  <si>
    <t xml:space="preserve">   • שילמה החברה - נוסחה:</t>
  </si>
  <si>
    <t xml:space="preserve">     ◦ חודשי: משכורת מלאה</t>
  </si>
  <si>
    <t xml:space="preserve">     ◦ יומי: תעריף יומי × ימי עבודה</t>
  </si>
  <si>
    <t>3️⃣ מלא נתוני ביטוח לאומי (עמודות צהובות):</t>
  </si>
  <si>
    <t xml:space="preserve">   • ימי שירות שאושרו</t>
  </si>
  <si>
    <t xml:space="preserve">   • תקבול שהתקבל</t>
  </si>
  <si>
    <t xml:space="preserve">   • תאריך תקבול</t>
  </si>
  <si>
    <t>4️⃣ הפרשים - יחושב אוטומטית:</t>
  </si>
  <si>
    <t xml:space="preserve">   הפרשים = שילמה החברה - תקבול ביטוח לאומי</t>
  </si>
  <si>
    <t>5️⃣ תשלום לעובד:</t>
  </si>
  <si>
    <t xml:space="preserve">   • מלא סכום ששולם</t>
  </si>
  <si>
    <t xml:space="preserve">   • בחר חודש תלוש</t>
  </si>
  <si>
    <t xml:space="preserve">   • עדכן סטטוס</t>
  </si>
  <si>
    <t>⚠️ חשוב:</t>
  </si>
  <si>
    <t>• עמודות ירוקות = חישוב אוטומטי - אל תשנה!</t>
  </si>
  <si>
    <t>• עמודות צהובות = למילוי ידני</t>
  </si>
  <si>
    <t>• התחל תמיד מגיליון "רשימת עובדים"!</t>
  </si>
  <si>
    <t>חודש תקבול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</si>
</sst>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4"/>
      <color rgb="FF528163"/>
      <name val="Arial"/>
    </font>
    <font>
      <b/>
      <sz val="11"/>
      <color rgb="FFFFFFFF"/>
      <name val="Arial"/>
    </font>
    <font>
      <b/>
      <sz val="10"/>
      <color rgb="FFFF0000"/>
      <name val="Arial"/>
    </font>
    <font>
      <b/>
      <sz val="10"/>
      <color rgb="FFFFFFFF"/>
      <name val="Arial"/>
    </font>
    <font>
      <b/>
      <sz val="13"/>
      <color rgb="FF528163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528163"/>
        <bgColor rgb="FF528163"/>
      </patternFill>
    </fill>
    <fill>
      <patternFill patternType="solid">
        <fgColor rgb="FF2D5F3F"/>
        <bgColor rgb="FF2D5F3F"/>
      </patternFill>
    </fill>
    <fill>
      <patternFill patternType="solid">
        <fgColor rgb="FFD4EDDA"/>
        <bgColor rgb="FFD4EDDA"/>
      </patternFill>
    </fill>
    <fill>
      <patternFill patternType="solid">
        <fgColor rgb="FFFFF9E6"/>
        <bgColor rgb="FFFFF9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4" fontId="0" fillId="4" borderId="1" xfId="0" applyNumberFormat="1" applyFill="1" applyBorder="1"/>
    <xf numFmtId="0" fontId="0" fillId="5" borderId="1" xfId="0" applyFill="1" applyBorder="1"/>
    <xf numFmtId="4" fontId="0" fillId="5" borderId="1" xfId="0" applyNumberFormat="1" applyFill="1" applyBorder="1"/>
    <xf numFmtId="0" fontId="5" fillId="0" borderId="0" xfId="0" applyFont="1"/>
    <xf numFmtId="0" fontId="6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rightToLeft="1" topLeftCell="A6" workbookViewId="0">
      <selection activeCell="B17" sqref="B17"/>
    </sheetView>
  </sheetViews>
  <sheetFormatPr defaultRowHeight="14.25" x14ac:dyDescent="0.2"/>
  <cols>
    <col min="1" max="1" width="25" customWidth="1"/>
    <col min="2" max="2" width="20" customWidth="1"/>
    <col min="3" max="3" width="18" customWidth="1"/>
    <col min="4" max="4" width="30" customWidth="1"/>
  </cols>
  <sheetData>
    <row r="1" spans="1:4" ht="18" x14ac:dyDescent="0.25">
      <c r="A1" s="11" t="s">
        <v>0</v>
      </c>
      <c r="B1" s="12"/>
      <c r="C1" s="12"/>
      <c r="D1" s="12"/>
    </row>
    <row r="2" spans="1:4" x14ac:dyDescent="0.2">
      <c r="A2" s="13" t="s">
        <v>1</v>
      </c>
      <c r="B2" s="12"/>
      <c r="C2" s="12"/>
      <c r="D2" s="12"/>
    </row>
    <row r="3" spans="1:4" ht="15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">
      <c r="A4" s="2" t="s">
        <v>6</v>
      </c>
      <c r="B4" s="2">
        <v>19000</v>
      </c>
      <c r="C4" s="3">
        <f t="shared" ref="C4:C20" si="0">IF(B4="","",B4/21.67)</f>
        <v>876.78818643285638</v>
      </c>
      <c r="D4" s="2"/>
    </row>
    <row r="5" spans="1:4" x14ac:dyDescent="0.2">
      <c r="A5" s="2" t="s">
        <v>7</v>
      </c>
      <c r="B5" s="2"/>
      <c r="C5" s="3" t="str">
        <f t="shared" si="0"/>
        <v/>
      </c>
      <c r="D5" s="2"/>
    </row>
    <row r="6" spans="1:4" x14ac:dyDescent="0.2">
      <c r="A6" s="2" t="s">
        <v>8</v>
      </c>
      <c r="B6" s="2">
        <v>17359</v>
      </c>
      <c r="C6" s="3">
        <f t="shared" si="0"/>
        <v>801.06137517305024</v>
      </c>
      <c r="D6" s="2"/>
    </row>
    <row r="7" spans="1:4" x14ac:dyDescent="0.2">
      <c r="A7" s="2" t="s">
        <v>9</v>
      </c>
      <c r="B7" s="2">
        <v>19000</v>
      </c>
      <c r="C7" s="3">
        <f t="shared" si="0"/>
        <v>876.78818643285638</v>
      </c>
      <c r="D7" s="2"/>
    </row>
    <row r="8" spans="1:4" x14ac:dyDescent="0.2">
      <c r="A8" s="2" t="s">
        <v>10</v>
      </c>
      <c r="B8" s="2">
        <v>14707</v>
      </c>
      <c r="C8" s="3">
        <f t="shared" si="0"/>
        <v>678.68020304568518</v>
      </c>
      <c r="D8" s="2"/>
    </row>
    <row r="9" spans="1:4" x14ac:dyDescent="0.2">
      <c r="A9" s="2" t="s">
        <v>11</v>
      </c>
      <c r="B9" s="2">
        <v>20866</v>
      </c>
      <c r="C9" s="3">
        <f t="shared" si="0"/>
        <v>962.89801568989378</v>
      </c>
      <c r="D9" s="2"/>
    </row>
    <row r="10" spans="1:4" x14ac:dyDescent="0.2">
      <c r="A10" s="2" t="s">
        <v>12</v>
      </c>
      <c r="B10" s="2">
        <v>25573</v>
      </c>
      <c r="C10" s="3">
        <f t="shared" si="0"/>
        <v>1180.1107521919703</v>
      </c>
      <c r="D10" s="2"/>
    </row>
    <row r="11" spans="1:4" x14ac:dyDescent="0.2">
      <c r="A11" s="2" t="s">
        <v>13</v>
      </c>
      <c r="B11" s="2">
        <v>23996</v>
      </c>
      <c r="C11" s="3">
        <f t="shared" si="0"/>
        <v>1107.3373327180434</v>
      </c>
      <c r="D11" s="2"/>
    </row>
    <row r="12" spans="1:4" x14ac:dyDescent="0.2">
      <c r="A12" s="2" t="s">
        <v>14</v>
      </c>
      <c r="B12" s="2"/>
      <c r="C12" s="3" t="str">
        <f t="shared" si="0"/>
        <v/>
      </c>
      <c r="D12" s="2"/>
    </row>
    <row r="13" spans="1:4" x14ac:dyDescent="0.2">
      <c r="A13" s="2" t="s">
        <v>15</v>
      </c>
      <c r="B13" s="2">
        <v>13000</v>
      </c>
      <c r="C13" s="3">
        <f t="shared" si="0"/>
        <v>599.90770650669128</v>
      </c>
      <c r="D13" s="2"/>
    </row>
    <row r="14" spans="1:4" x14ac:dyDescent="0.2">
      <c r="A14" s="2" t="s">
        <v>16</v>
      </c>
      <c r="B14" s="2">
        <v>16130</v>
      </c>
      <c r="C14" s="3">
        <f t="shared" si="0"/>
        <v>744.34702353484079</v>
      </c>
      <c r="D14" s="2"/>
    </row>
    <row r="15" spans="1:4" x14ac:dyDescent="0.2">
      <c r="A15" s="2" t="s">
        <v>17</v>
      </c>
      <c r="B15" s="2">
        <v>18331</v>
      </c>
      <c r="C15" s="3">
        <f t="shared" si="0"/>
        <v>845.91601292108896</v>
      </c>
      <c r="D15" s="2"/>
    </row>
    <row r="16" spans="1:4" x14ac:dyDescent="0.2">
      <c r="A16" s="2" t="s">
        <v>18</v>
      </c>
      <c r="B16" s="2">
        <v>18824</v>
      </c>
      <c r="C16" s="3">
        <f t="shared" si="0"/>
        <v>868.66635902168889</v>
      </c>
      <c r="D16" s="2"/>
    </row>
    <row r="17" spans="1:4" x14ac:dyDescent="0.2">
      <c r="A17" s="2" t="s">
        <v>19</v>
      </c>
      <c r="B17" s="2"/>
      <c r="C17" s="3" t="str">
        <f t="shared" si="0"/>
        <v/>
      </c>
      <c r="D17" s="2"/>
    </row>
    <row r="18" spans="1:4" x14ac:dyDescent="0.2">
      <c r="A18" s="2" t="s">
        <v>20</v>
      </c>
      <c r="B18" s="2">
        <v>19300</v>
      </c>
      <c r="C18" s="3">
        <f t="shared" si="0"/>
        <v>890.63221042916473</v>
      </c>
      <c r="D18" s="2"/>
    </row>
    <row r="19" spans="1:4" x14ac:dyDescent="0.2">
      <c r="A19" s="2" t="s">
        <v>21</v>
      </c>
      <c r="B19" s="2">
        <v>15800</v>
      </c>
      <c r="C19" s="3">
        <f t="shared" si="0"/>
        <v>729.11859713890169</v>
      </c>
      <c r="D19" s="2"/>
    </row>
    <row r="20" spans="1:4" x14ac:dyDescent="0.2">
      <c r="A20" s="2" t="s">
        <v>22</v>
      </c>
      <c r="B20" s="2"/>
      <c r="C20" s="3" t="str">
        <f t="shared" si="0"/>
        <v/>
      </c>
      <c r="D20" s="2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F11" sqref="F11"/>
    </sheetView>
  </sheetViews>
  <sheetFormatPr defaultRowHeight="14.25" x14ac:dyDescent="0.2"/>
  <cols>
    <col min="1" max="1" width="22" customWidth="1"/>
    <col min="2" max="2" width="12" customWidth="1"/>
    <col min="3" max="3" width="13" customWidth="1"/>
    <col min="4" max="5" width="10" customWidth="1"/>
    <col min="6" max="6" width="11" customWidth="1"/>
    <col min="7" max="8" width="16" customWidth="1"/>
    <col min="9" max="9" width="18" customWidth="1"/>
    <col min="10" max="10" width="14" customWidth="1"/>
    <col min="11" max="11" width="16" customWidth="1"/>
    <col min="12" max="12" width="14" customWidth="1"/>
    <col min="13" max="13" width="12" customWidth="1"/>
    <col min="14" max="14" width="14" customWidth="1"/>
  </cols>
  <sheetData>
    <row r="1" spans="1:14" x14ac:dyDescent="0.2">
      <c r="A1" s="14" t="s">
        <v>23</v>
      </c>
      <c r="B1" s="12"/>
      <c r="C1" s="12"/>
      <c r="D1" s="14" t="s">
        <v>24</v>
      </c>
      <c r="E1" s="12"/>
      <c r="F1" s="12"/>
      <c r="G1" s="12"/>
      <c r="H1" s="14" t="s">
        <v>25</v>
      </c>
      <c r="I1" s="12"/>
      <c r="J1" s="12"/>
      <c r="K1" s="14" t="s">
        <v>26</v>
      </c>
      <c r="L1" s="14" t="s">
        <v>27</v>
      </c>
      <c r="M1" s="12"/>
      <c r="N1" s="12"/>
    </row>
    <row r="2" spans="1:14" ht="30" x14ac:dyDescent="0.2">
      <c r="A2" s="4" t="s">
        <v>2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78</v>
      </c>
      <c r="K2" s="4" t="s">
        <v>36</v>
      </c>
      <c r="L2" s="4" t="s">
        <v>37</v>
      </c>
      <c r="M2" s="4" t="s">
        <v>38</v>
      </c>
      <c r="N2" s="4" t="s">
        <v>39</v>
      </c>
    </row>
    <row r="3" spans="1:14" x14ac:dyDescent="0.2">
      <c r="A3" s="2" t="s">
        <v>6</v>
      </c>
      <c r="B3" s="2" t="s">
        <v>40</v>
      </c>
      <c r="C3" s="2" t="s">
        <v>41</v>
      </c>
      <c r="D3" s="2">
        <v>1</v>
      </c>
      <c r="E3" s="2">
        <v>1</v>
      </c>
      <c r="F3" s="5" t="str">
        <f t="shared" ref="F3:F34" si="0">IF(D3&gt;21.67,"חודשי","יומי")</f>
        <v>יומי</v>
      </c>
      <c r="G3" s="6">
        <f>IF(F3="חודשי",VLOOKUP(A3,'רשימת עובדים'!$A$4:$C$100,2,FALSE),VLOOKUP(A3,'רשימת עובדים'!$A$4:$C$100,3,FALSE)*E3)</f>
        <v>876.78818643285638</v>
      </c>
      <c r="H3" s="7"/>
      <c r="I3" s="8"/>
      <c r="J3" s="7"/>
      <c r="K3" s="6" t="str">
        <f t="shared" ref="K3:K34" si="1">IF(I3="","",G3-I3)</f>
        <v/>
      </c>
      <c r="L3" s="8"/>
      <c r="M3" s="7"/>
      <c r="N3" s="7" t="s">
        <v>42</v>
      </c>
    </row>
    <row r="4" spans="1:14" x14ac:dyDescent="0.2">
      <c r="A4" s="2" t="s">
        <v>7</v>
      </c>
      <c r="B4" s="2" t="s">
        <v>43</v>
      </c>
      <c r="C4" s="2" t="s">
        <v>44</v>
      </c>
      <c r="D4" s="2">
        <v>17</v>
      </c>
      <c r="E4" s="2">
        <v>13</v>
      </c>
      <c r="F4" s="5" t="str">
        <f t="shared" si="0"/>
        <v>יומי</v>
      </c>
      <c r="G4" s="6" t="e">
        <f>IF(F4="חודשי",VLOOKUP(A4,'רשימת עובדים'!$A$4:$C$100,2,FALSE),VLOOKUP(A4,'רשימת עובדים'!$A$4:$C$100,3,FALSE)*E4)</f>
        <v>#VALUE!</v>
      </c>
      <c r="H4" s="7"/>
      <c r="I4" s="8"/>
      <c r="J4" s="7"/>
      <c r="K4" s="6" t="str">
        <f t="shared" si="1"/>
        <v/>
      </c>
      <c r="L4" s="8"/>
      <c r="M4" s="7"/>
      <c r="N4" s="7" t="s">
        <v>42</v>
      </c>
    </row>
    <row r="5" spans="1:14" x14ac:dyDescent="0.2">
      <c r="A5" s="2" t="s">
        <v>8</v>
      </c>
      <c r="B5" s="2" t="s">
        <v>40</v>
      </c>
      <c r="C5" s="2" t="s">
        <v>45</v>
      </c>
      <c r="D5" s="2">
        <v>3</v>
      </c>
      <c r="E5" s="2">
        <v>3</v>
      </c>
      <c r="F5" s="5" t="str">
        <f t="shared" si="0"/>
        <v>יומי</v>
      </c>
      <c r="G5" s="6">
        <f>IF(F5="חודשי",VLOOKUP(A5,'רשימת עובדים'!$A$4:$C$100,2,FALSE),VLOOKUP(A5,'רשימת עובדים'!$A$4:$C$100,3,FALSE)*E5)</f>
        <v>2403.1841255191507</v>
      </c>
      <c r="H5" s="7"/>
      <c r="I5" s="8"/>
      <c r="J5" s="7"/>
      <c r="K5" s="6" t="str">
        <f t="shared" si="1"/>
        <v/>
      </c>
      <c r="L5" s="8"/>
      <c r="M5" s="7"/>
      <c r="N5" s="7" t="s">
        <v>42</v>
      </c>
    </row>
    <row r="6" spans="1:14" x14ac:dyDescent="0.2">
      <c r="A6" s="2" t="s">
        <v>8</v>
      </c>
      <c r="B6" s="2" t="s">
        <v>40</v>
      </c>
      <c r="C6" s="2" t="s">
        <v>46</v>
      </c>
      <c r="D6" s="2">
        <v>3</v>
      </c>
      <c r="E6" s="2">
        <v>3</v>
      </c>
      <c r="F6" s="5" t="str">
        <f t="shared" si="0"/>
        <v>יומי</v>
      </c>
      <c r="G6" s="6">
        <f>IF(F6="חודשי",VLOOKUP(A6,'רשימת עובדים'!$A$4:$C$100,2,FALSE),VLOOKUP(A6,'רשימת עובדים'!$A$4:$C$100,3,FALSE)*E6)</f>
        <v>2403.1841255191507</v>
      </c>
      <c r="H6" s="7"/>
      <c r="I6" s="8"/>
      <c r="J6" s="7"/>
      <c r="K6" s="6" t="str">
        <f t="shared" si="1"/>
        <v/>
      </c>
      <c r="L6" s="8"/>
      <c r="M6" s="7"/>
      <c r="N6" s="7" t="s">
        <v>42</v>
      </c>
    </row>
    <row r="7" spans="1:14" x14ac:dyDescent="0.2">
      <c r="A7" s="2" t="s">
        <v>8</v>
      </c>
      <c r="B7" s="2" t="s">
        <v>40</v>
      </c>
      <c r="C7" s="2" t="s">
        <v>47</v>
      </c>
      <c r="D7" s="2">
        <v>15</v>
      </c>
      <c r="E7" s="2">
        <v>11</v>
      </c>
      <c r="F7" s="5" t="str">
        <f t="shared" si="0"/>
        <v>יומי</v>
      </c>
      <c r="G7" s="6">
        <f>IF(F7="חודשי",VLOOKUP(A7,'רשימת עובדים'!$A$4:$C$100,2,FALSE),VLOOKUP(A7,'רשימת עובדים'!$A$4:$C$100,3,FALSE)*E7)</f>
        <v>8811.6751269035522</v>
      </c>
      <c r="H7" s="7"/>
      <c r="I7" s="8"/>
      <c r="J7" s="7"/>
      <c r="K7" s="6" t="str">
        <f t="shared" si="1"/>
        <v/>
      </c>
      <c r="L7" s="8"/>
      <c r="M7" s="7"/>
      <c r="N7" s="7" t="s">
        <v>42</v>
      </c>
    </row>
    <row r="8" spans="1:14" x14ac:dyDescent="0.2">
      <c r="A8" s="2" t="s">
        <v>8</v>
      </c>
      <c r="B8" s="2" t="s">
        <v>40</v>
      </c>
      <c r="C8" s="2" t="s">
        <v>48</v>
      </c>
      <c r="D8" s="2">
        <v>3</v>
      </c>
      <c r="E8" s="2">
        <v>3</v>
      </c>
      <c r="F8" s="5" t="str">
        <f t="shared" si="0"/>
        <v>יומי</v>
      </c>
      <c r="G8" s="6">
        <f>IF(F8="חודשי",VLOOKUP(A8,'רשימת עובדים'!$A$4:$C$100,2,FALSE),VLOOKUP(A8,'רשימת עובדים'!$A$4:$C$100,3,FALSE)*E8)</f>
        <v>2403.1841255191507</v>
      </c>
      <c r="H8" s="7"/>
      <c r="I8" s="8"/>
      <c r="J8" s="7"/>
      <c r="K8" s="6" t="str">
        <f t="shared" si="1"/>
        <v/>
      </c>
      <c r="L8" s="8"/>
      <c r="M8" s="7"/>
      <c r="N8" s="7" t="s">
        <v>42</v>
      </c>
    </row>
    <row r="9" spans="1:14" x14ac:dyDescent="0.2">
      <c r="A9" s="2" t="s">
        <v>8</v>
      </c>
      <c r="B9" s="2" t="s">
        <v>40</v>
      </c>
      <c r="C9" s="2" t="s">
        <v>44</v>
      </c>
      <c r="D9" s="2">
        <v>4</v>
      </c>
      <c r="E9" s="2">
        <v>2</v>
      </c>
      <c r="F9" s="5" t="str">
        <f t="shared" si="0"/>
        <v>יומי</v>
      </c>
      <c r="G9" s="6">
        <f>IF(F9="חודשי",VLOOKUP(A9,'רשימת עובדים'!$A$4:$C$100,2,FALSE),VLOOKUP(A9,'רשימת עובדים'!$A$4:$C$100,3,FALSE)*E9)</f>
        <v>1602.1227503461005</v>
      </c>
      <c r="H9" s="7"/>
      <c r="I9" s="8"/>
      <c r="J9" s="7"/>
      <c r="K9" s="6" t="str">
        <f t="shared" si="1"/>
        <v/>
      </c>
      <c r="L9" s="8"/>
      <c r="M9" s="7"/>
      <c r="N9" s="7" t="s">
        <v>42</v>
      </c>
    </row>
    <row r="10" spans="1:14" x14ac:dyDescent="0.2">
      <c r="A10" s="2" t="s">
        <v>9</v>
      </c>
      <c r="B10" s="2" t="s">
        <v>43</v>
      </c>
      <c r="C10" s="2" t="s">
        <v>45</v>
      </c>
      <c r="D10" s="2">
        <v>4</v>
      </c>
      <c r="E10" s="2">
        <v>3</v>
      </c>
      <c r="F10" s="5" t="str">
        <f t="shared" si="0"/>
        <v>יומי</v>
      </c>
      <c r="G10" s="6">
        <f>IF(F10="חודשי",VLOOKUP(A10,'רשימת עובדים'!$A$4:$C$100,2,FALSE),VLOOKUP(A10,'רשימת עובדים'!$A$4:$C$100,3,FALSE)*E10)</f>
        <v>2630.364559298569</v>
      </c>
      <c r="H10" s="7"/>
      <c r="I10" s="8"/>
      <c r="J10" s="7"/>
      <c r="K10" s="6" t="str">
        <f t="shared" si="1"/>
        <v/>
      </c>
      <c r="L10" s="8"/>
      <c r="M10" s="7"/>
      <c r="N10" s="7" t="s">
        <v>42</v>
      </c>
    </row>
    <row r="11" spans="1:14" x14ac:dyDescent="0.2">
      <c r="A11" s="2" t="s">
        <v>9</v>
      </c>
      <c r="B11" s="2" t="s">
        <v>43</v>
      </c>
      <c r="C11" s="2" t="s">
        <v>41</v>
      </c>
      <c r="D11" s="2">
        <v>4</v>
      </c>
      <c r="E11" s="2">
        <v>3</v>
      </c>
      <c r="F11" s="5" t="str">
        <f t="shared" si="0"/>
        <v>יומי</v>
      </c>
      <c r="G11" s="6">
        <f>IF(F11="חודשי",VLOOKUP(A11,'רשימת עובדים'!$A$4:$C$100,2,FALSE),VLOOKUP(A11,'רשימת עובדים'!$A$4:$C$100,3,FALSE)*E11)</f>
        <v>2630.364559298569</v>
      </c>
      <c r="H11" s="7"/>
      <c r="I11" s="8"/>
      <c r="J11" s="7"/>
      <c r="K11" s="6" t="str">
        <f t="shared" si="1"/>
        <v/>
      </c>
      <c r="L11" s="8"/>
      <c r="M11" s="7"/>
      <c r="N11" s="7" t="s">
        <v>42</v>
      </c>
    </row>
    <row r="12" spans="1:14" x14ac:dyDescent="0.2">
      <c r="A12" s="2" t="s">
        <v>9</v>
      </c>
      <c r="B12" s="2" t="s">
        <v>43</v>
      </c>
      <c r="C12" s="2" t="s">
        <v>49</v>
      </c>
      <c r="D12" s="2">
        <v>2</v>
      </c>
      <c r="E12" s="2">
        <v>1</v>
      </c>
      <c r="F12" s="5" t="str">
        <f t="shared" si="0"/>
        <v>יומי</v>
      </c>
      <c r="G12" s="6">
        <f>IF(F12="חודשי",VLOOKUP(A12,'רשימת עובדים'!$A$4:$C$100,2,FALSE),VLOOKUP(A12,'רשימת עובדים'!$A$4:$C$100,3,FALSE)*E12)</f>
        <v>876.78818643285638</v>
      </c>
      <c r="H12" s="7"/>
      <c r="I12" s="8"/>
      <c r="J12" s="7"/>
      <c r="K12" s="6" t="str">
        <f t="shared" si="1"/>
        <v/>
      </c>
      <c r="L12" s="8"/>
      <c r="M12" s="7"/>
      <c r="N12" s="7" t="s">
        <v>42</v>
      </c>
    </row>
    <row r="13" spans="1:14" x14ac:dyDescent="0.2">
      <c r="A13" s="2" t="s">
        <v>9</v>
      </c>
      <c r="B13" s="2" t="s">
        <v>43</v>
      </c>
      <c r="C13" s="2" t="s">
        <v>46</v>
      </c>
      <c r="D13" s="2">
        <v>21</v>
      </c>
      <c r="E13" s="2">
        <v>15</v>
      </c>
      <c r="F13" s="5" t="str">
        <f t="shared" si="0"/>
        <v>יומי</v>
      </c>
      <c r="G13" s="6">
        <f>IF(F13="חודשי",VLOOKUP(A13,'רשימת עובדים'!$A$4:$C$100,2,FALSE),VLOOKUP(A13,'רשימת עובדים'!$A$4:$C$100,3,FALSE)*E13)</f>
        <v>13151.822796492846</v>
      </c>
      <c r="H13" s="7"/>
      <c r="I13" s="8"/>
      <c r="J13" s="7"/>
      <c r="K13" s="6" t="str">
        <f t="shared" si="1"/>
        <v/>
      </c>
      <c r="L13" s="8"/>
      <c r="M13" s="7"/>
      <c r="N13" s="7" t="s">
        <v>42</v>
      </c>
    </row>
    <row r="14" spans="1:14" x14ac:dyDescent="0.2">
      <c r="A14" s="2" t="s">
        <v>9</v>
      </c>
      <c r="B14" s="2" t="s">
        <v>43</v>
      </c>
      <c r="C14" s="2" t="s">
        <v>50</v>
      </c>
      <c r="D14" s="2">
        <v>5</v>
      </c>
      <c r="E14" s="2">
        <v>4</v>
      </c>
      <c r="F14" s="5" t="str">
        <f t="shared" si="0"/>
        <v>יומי</v>
      </c>
      <c r="G14" s="6">
        <f>IF(F14="חודשי",VLOOKUP(A14,'רשימת עובדים'!$A$4:$C$100,2,FALSE),VLOOKUP(A14,'רשימת עובדים'!$A$4:$C$100,3,FALSE)*E14)</f>
        <v>3507.1527457314255</v>
      </c>
      <c r="H14" s="7"/>
      <c r="I14" s="8"/>
      <c r="J14" s="7"/>
      <c r="K14" s="6" t="str">
        <f t="shared" si="1"/>
        <v/>
      </c>
      <c r="L14" s="8"/>
      <c r="M14" s="7"/>
      <c r="N14" s="7" t="s">
        <v>42</v>
      </c>
    </row>
    <row r="15" spans="1:14" x14ac:dyDescent="0.2">
      <c r="A15" s="2" t="s">
        <v>10</v>
      </c>
      <c r="B15" s="2" t="s">
        <v>43</v>
      </c>
      <c r="C15" s="2" t="s">
        <v>45</v>
      </c>
      <c r="D15" s="2">
        <v>5</v>
      </c>
      <c r="E15" s="2">
        <v>4</v>
      </c>
      <c r="F15" s="5" t="str">
        <f t="shared" si="0"/>
        <v>יומי</v>
      </c>
      <c r="G15" s="6">
        <f>IF(F15="חודשי",VLOOKUP(A15,'רשימת עובדים'!$A$4:$C$100,2,FALSE),VLOOKUP(A15,'רשימת עובדים'!$A$4:$C$100,3,FALSE)*E15)</f>
        <v>2714.7208121827407</v>
      </c>
      <c r="H15" s="7"/>
      <c r="I15" s="8"/>
      <c r="J15" s="7"/>
      <c r="K15" s="6" t="str">
        <f t="shared" si="1"/>
        <v/>
      </c>
      <c r="L15" s="8"/>
      <c r="M15" s="7"/>
      <c r="N15" s="7" t="s">
        <v>42</v>
      </c>
    </row>
    <row r="16" spans="1:14" x14ac:dyDescent="0.2">
      <c r="A16" s="2" t="s">
        <v>10</v>
      </c>
      <c r="B16" s="2" t="s">
        <v>43</v>
      </c>
      <c r="C16" s="2" t="s">
        <v>49</v>
      </c>
      <c r="D16" s="2">
        <v>9</v>
      </c>
      <c r="E16" s="2">
        <v>7</v>
      </c>
      <c r="F16" s="5" t="str">
        <f t="shared" si="0"/>
        <v>יומי</v>
      </c>
      <c r="G16" s="6">
        <f>IF(F16="חודשי",VLOOKUP(A16,'רשימת עובדים'!$A$4:$C$100,2,FALSE),VLOOKUP(A16,'רשימת עובדים'!$A$4:$C$100,3,FALSE)*E16)</f>
        <v>4750.7614213197958</v>
      </c>
      <c r="H16" s="7"/>
      <c r="I16" s="8"/>
      <c r="J16" s="7"/>
      <c r="K16" s="6" t="str">
        <f t="shared" si="1"/>
        <v/>
      </c>
      <c r="L16" s="8"/>
      <c r="M16" s="7"/>
      <c r="N16" s="7" t="s">
        <v>42</v>
      </c>
    </row>
    <row r="17" spans="1:14" x14ac:dyDescent="0.2">
      <c r="A17" s="2" t="s">
        <v>10</v>
      </c>
      <c r="B17" s="2" t="s">
        <v>43</v>
      </c>
      <c r="C17" s="2" t="s">
        <v>46</v>
      </c>
      <c r="D17" s="2">
        <v>29</v>
      </c>
      <c r="E17" s="2">
        <v>21</v>
      </c>
      <c r="F17" s="5" t="str">
        <f t="shared" si="0"/>
        <v>חודשי</v>
      </c>
      <c r="G17" s="6">
        <f>IF(F17="חודשי",VLOOKUP(A17,'רשימת עובדים'!$A$4:$C$100,2,FALSE),VLOOKUP(A17,'רשימת עובדים'!$A$4:$C$100,3,FALSE)*E17)</f>
        <v>14707</v>
      </c>
      <c r="H17" s="7"/>
      <c r="I17" s="8"/>
      <c r="J17" s="7"/>
      <c r="K17" s="6" t="str">
        <f t="shared" si="1"/>
        <v/>
      </c>
      <c r="L17" s="8"/>
      <c r="M17" s="7"/>
      <c r="N17" s="7" t="s">
        <v>42</v>
      </c>
    </row>
    <row r="18" spans="1:14" x14ac:dyDescent="0.2">
      <c r="A18" s="2" t="s">
        <v>10</v>
      </c>
      <c r="B18" s="2" t="s">
        <v>43</v>
      </c>
      <c r="C18" s="2" t="s">
        <v>47</v>
      </c>
      <c r="D18" s="2">
        <v>28</v>
      </c>
      <c r="E18" s="2">
        <v>20</v>
      </c>
      <c r="F18" s="5" t="str">
        <f t="shared" si="0"/>
        <v>חודשי</v>
      </c>
      <c r="G18" s="6">
        <f>IF(F18="חודשי",VLOOKUP(A18,'רשימת עובדים'!$A$4:$C$100,2,FALSE),VLOOKUP(A18,'רשימת עובדים'!$A$4:$C$100,3,FALSE)*E18)</f>
        <v>14707</v>
      </c>
      <c r="H18" s="7"/>
      <c r="I18" s="8"/>
      <c r="J18" s="7"/>
      <c r="K18" s="6" t="str">
        <f t="shared" si="1"/>
        <v/>
      </c>
      <c r="L18" s="8"/>
      <c r="M18" s="7"/>
      <c r="N18" s="7" t="s">
        <v>42</v>
      </c>
    </row>
    <row r="19" spans="1:14" x14ac:dyDescent="0.2">
      <c r="A19" s="2" t="s">
        <v>10</v>
      </c>
      <c r="B19" s="2" t="s">
        <v>43</v>
      </c>
      <c r="C19" s="2" t="s">
        <v>48</v>
      </c>
      <c r="D19" s="2">
        <v>3</v>
      </c>
      <c r="E19" s="2">
        <v>2</v>
      </c>
      <c r="F19" s="5" t="str">
        <f t="shared" si="0"/>
        <v>יומי</v>
      </c>
      <c r="G19" s="6">
        <f>IF(F19="חודשי",VLOOKUP(A19,'רשימת עובדים'!$A$4:$C$100,2,FALSE),VLOOKUP(A19,'רשימת עובדים'!$A$4:$C$100,3,FALSE)*E19)</f>
        <v>1357.3604060913704</v>
      </c>
      <c r="H19" s="7"/>
      <c r="I19" s="8"/>
      <c r="J19" s="7"/>
      <c r="K19" s="6" t="str">
        <f t="shared" si="1"/>
        <v/>
      </c>
      <c r="L19" s="8"/>
      <c r="M19" s="7"/>
      <c r="N19" s="7" t="s">
        <v>42</v>
      </c>
    </row>
    <row r="20" spans="1:14" x14ac:dyDescent="0.2">
      <c r="A20" s="2" t="s">
        <v>10</v>
      </c>
      <c r="B20" s="2" t="s">
        <v>43</v>
      </c>
      <c r="C20" s="2" t="s">
        <v>50</v>
      </c>
      <c r="D20" s="2">
        <v>2</v>
      </c>
      <c r="E20" s="2">
        <v>2</v>
      </c>
      <c r="F20" s="5" t="str">
        <f t="shared" si="0"/>
        <v>יומי</v>
      </c>
      <c r="G20" s="6">
        <f>IF(F20="חודשי",VLOOKUP(A20,'רשימת עובדים'!$A$4:$C$100,2,FALSE),VLOOKUP(A20,'רשימת עובדים'!$A$4:$C$100,3,FALSE)*E20)</f>
        <v>1357.3604060913704</v>
      </c>
      <c r="H20" s="7"/>
      <c r="I20" s="8"/>
      <c r="J20" s="7"/>
      <c r="K20" s="6" t="str">
        <f t="shared" si="1"/>
        <v/>
      </c>
      <c r="L20" s="8"/>
      <c r="M20" s="7"/>
      <c r="N20" s="7" t="s">
        <v>42</v>
      </c>
    </row>
    <row r="21" spans="1:14" x14ac:dyDescent="0.2">
      <c r="A21" s="2" t="s">
        <v>10</v>
      </c>
      <c r="B21" s="2" t="s">
        <v>43</v>
      </c>
      <c r="C21" s="2" t="s">
        <v>44</v>
      </c>
      <c r="D21" s="2">
        <v>4</v>
      </c>
      <c r="E21" s="2">
        <v>4</v>
      </c>
      <c r="F21" s="5" t="str">
        <f t="shared" si="0"/>
        <v>יומי</v>
      </c>
      <c r="G21" s="6">
        <f>IF(F21="חודשי",VLOOKUP(A21,'רשימת עובדים'!$A$4:$C$100,2,FALSE),VLOOKUP(A21,'רשימת עובדים'!$A$4:$C$100,3,FALSE)*E21)</f>
        <v>2714.7208121827407</v>
      </c>
      <c r="H21" s="7"/>
      <c r="I21" s="8"/>
      <c r="J21" s="7"/>
      <c r="K21" s="6" t="str">
        <f t="shared" si="1"/>
        <v/>
      </c>
      <c r="L21" s="8"/>
      <c r="M21" s="7"/>
      <c r="N21" s="7" t="s">
        <v>42</v>
      </c>
    </row>
    <row r="22" spans="1:14" x14ac:dyDescent="0.2">
      <c r="A22" s="2" t="s">
        <v>11</v>
      </c>
      <c r="B22" s="2" t="s">
        <v>43</v>
      </c>
      <c r="C22" s="2" t="s">
        <v>47</v>
      </c>
      <c r="D22" s="2">
        <v>1</v>
      </c>
      <c r="E22" s="2">
        <v>1</v>
      </c>
      <c r="F22" s="5" t="str">
        <f t="shared" si="0"/>
        <v>יומי</v>
      </c>
      <c r="G22" s="6">
        <f>IF(F22="חודשי",VLOOKUP(A22,'רשימת עובדים'!$A$4:$C$100,2,FALSE),VLOOKUP(A22,'רשימת עובדים'!$A$4:$C$100,3,FALSE)*E22)</f>
        <v>962.89801568989378</v>
      </c>
      <c r="H22" s="7"/>
      <c r="I22" s="8"/>
      <c r="J22" s="7"/>
      <c r="K22" s="6" t="str">
        <f t="shared" si="1"/>
        <v/>
      </c>
      <c r="L22" s="8"/>
      <c r="M22" s="7"/>
      <c r="N22" s="7" t="s">
        <v>42</v>
      </c>
    </row>
    <row r="23" spans="1:14" x14ac:dyDescent="0.2">
      <c r="A23" s="2" t="s">
        <v>12</v>
      </c>
      <c r="B23" s="2" t="s">
        <v>51</v>
      </c>
      <c r="C23" s="2" t="s">
        <v>52</v>
      </c>
      <c r="D23" s="2">
        <v>2</v>
      </c>
      <c r="E23" s="2">
        <v>1</v>
      </c>
      <c r="F23" s="5" t="str">
        <f t="shared" si="0"/>
        <v>יומי</v>
      </c>
      <c r="G23" s="6">
        <f>IF(F23="חודשי",VLOOKUP(A23,'רשימת עובדים'!$A$4:$C$100,2,FALSE),VLOOKUP(A23,'רשימת עובדים'!$A$4:$C$100,3,FALSE)*E23)</f>
        <v>1180.1107521919703</v>
      </c>
      <c r="H23" s="7"/>
      <c r="I23" s="8"/>
      <c r="J23" s="7"/>
      <c r="K23" s="6" t="str">
        <f t="shared" si="1"/>
        <v/>
      </c>
      <c r="L23" s="8"/>
      <c r="M23" s="7"/>
      <c r="N23" s="7" t="s">
        <v>42</v>
      </c>
    </row>
    <row r="24" spans="1:14" x14ac:dyDescent="0.2">
      <c r="A24" s="2" t="s">
        <v>12</v>
      </c>
      <c r="B24" s="2" t="s">
        <v>51</v>
      </c>
      <c r="C24" s="2" t="s">
        <v>47</v>
      </c>
      <c r="D24" s="2">
        <v>18</v>
      </c>
      <c r="E24" s="2">
        <v>12</v>
      </c>
      <c r="F24" s="5" t="str">
        <f t="shared" si="0"/>
        <v>יומי</v>
      </c>
      <c r="G24" s="6">
        <f>IF(F24="חודשי",VLOOKUP(A24,'רשימת עובדים'!$A$4:$C$100,2,FALSE),VLOOKUP(A24,'רשימת עובדים'!$A$4:$C$100,3,FALSE)*E24)</f>
        <v>14161.329026303643</v>
      </c>
      <c r="H24" s="7"/>
      <c r="I24" s="8"/>
      <c r="J24" s="7"/>
      <c r="K24" s="6" t="str">
        <f t="shared" si="1"/>
        <v/>
      </c>
      <c r="L24" s="8"/>
      <c r="M24" s="7"/>
      <c r="N24" s="7" t="s">
        <v>42</v>
      </c>
    </row>
    <row r="25" spans="1:14" x14ac:dyDescent="0.2">
      <c r="A25" s="2" t="s">
        <v>13</v>
      </c>
      <c r="B25" s="2" t="s">
        <v>51</v>
      </c>
      <c r="C25" s="2" t="s">
        <v>45</v>
      </c>
      <c r="D25" s="2">
        <v>6</v>
      </c>
      <c r="E25" s="2">
        <v>5</v>
      </c>
      <c r="F25" s="5" t="str">
        <f t="shared" si="0"/>
        <v>יומי</v>
      </c>
      <c r="G25" s="6">
        <f>IF(F25="חודשי",VLOOKUP(A25,'רשימת עובדים'!$A$4:$C$100,2,FALSE),VLOOKUP(A25,'רשימת עובדים'!$A$4:$C$100,3,FALSE)*E25)</f>
        <v>5536.686663590217</v>
      </c>
      <c r="H25" s="7"/>
      <c r="I25" s="8"/>
      <c r="J25" s="7"/>
      <c r="K25" s="6" t="str">
        <f t="shared" si="1"/>
        <v/>
      </c>
      <c r="L25" s="8"/>
      <c r="M25" s="7"/>
      <c r="N25" s="7" t="s">
        <v>42</v>
      </c>
    </row>
    <row r="26" spans="1:14" x14ac:dyDescent="0.2">
      <c r="A26" s="2" t="s">
        <v>13</v>
      </c>
      <c r="B26" s="2" t="s">
        <v>51</v>
      </c>
      <c r="C26" s="2" t="s">
        <v>52</v>
      </c>
      <c r="D26" s="2">
        <v>4</v>
      </c>
      <c r="E26" s="2">
        <v>4</v>
      </c>
      <c r="F26" s="5" t="str">
        <f t="shared" si="0"/>
        <v>יומי</v>
      </c>
      <c r="G26" s="6">
        <f>IF(F26="חודשי",VLOOKUP(A26,'רשימת עובדים'!$A$4:$C$100,2,FALSE),VLOOKUP(A26,'רשימת עובדים'!$A$4:$C$100,3,FALSE)*E26)</f>
        <v>4429.3493308721736</v>
      </c>
      <c r="H26" s="7"/>
      <c r="I26" s="8"/>
      <c r="J26" s="7"/>
      <c r="K26" s="6" t="str">
        <f t="shared" si="1"/>
        <v/>
      </c>
      <c r="L26" s="8"/>
      <c r="M26" s="7"/>
      <c r="N26" s="7" t="s">
        <v>42</v>
      </c>
    </row>
    <row r="27" spans="1:14" x14ac:dyDescent="0.2">
      <c r="A27" s="2" t="s">
        <v>13</v>
      </c>
      <c r="B27" s="2" t="s">
        <v>51</v>
      </c>
      <c r="C27" s="2" t="s">
        <v>41</v>
      </c>
      <c r="D27" s="2">
        <v>6</v>
      </c>
      <c r="E27" s="2">
        <v>5</v>
      </c>
      <c r="F27" s="5" t="str">
        <f t="shared" si="0"/>
        <v>יומי</v>
      </c>
      <c r="G27" s="6">
        <f>IF(F27="חודשי",VLOOKUP(A27,'רשימת עובדים'!$A$4:$C$100,2,FALSE),VLOOKUP(A27,'רשימת עובדים'!$A$4:$C$100,3,FALSE)*E27)</f>
        <v>5536.686663590217</v>
      </c>
      <c r="H27" s="7"/>
      <c r="I27" s="8"/>
      <c r="J27" s="7"/>
      <c r="K27" s="6" t="str">
        <f t="shared" si="1"/>
        <v/>
      </c>
      <c r="L27" s="8"/>
      <c r="M27" s="7"/>
      <c r="N27" s="7" t="s">
        <v>42</v>
      </c>
    </row>
    <row r="28" spans="1:14" x14ac:dyDescent="0.2">
      <c r="A28" s="2" t="s">
        <v>13</v>
      </c>
      <c r="B28" s="2" t="s">
        <v>51</v>
      </c>
      <c r="C28" s="2" t="s">
        <v>49</v>
      </c>
      <c r="D28" s="2">
        <v>5</v>
      </c>
      <c r="E28" s="2">
        <v>5</v>
      </c>
      <c r="F28" s="5" t="str">
        <f t="shared" si="0"/>
        <v>יומי</v>
      </c>
      <c r="G28" s="6">
        <f>IF(F28="חודשי",VLOOKUP(A28,'רשימת עובדים'!$A$4:$C$100,2,FALSE),VLOOKUP(A28,'רשימת עובדים'!$A$4:$C$100,3,FALSE)*E28)</f>
        <v>5536.686663590217</v>
      </c>
      <c r="H28" s="7"/>
      <c r="I28" s="8"/>
      <c r="J28" s="7"/>
      <c r="K28" s="6" t="str">
        <f t="shared" si="1"/>
        <v/>
      </c>
      <c r="L28" s="8"/>
      <c r="M28" s="7"/>
      <c r="N28" s="7" t="s">
        <v>42</v>
      </c>
    </row>
    <row r="29" spans="1:14" x14ac:dyDescent="0.2">
      <c r="A29" s="2" t="s">
        <v>13</v>
      </c>
      <c r="B29" s="2" t="s">
        <v>51</v>
      </c>
      <c r="C29" s="2" t="s">
        <v>46</v>
      </c>
      <c r="D29" s="2">
        <v>6</v>
      </c>
      <c r="E29" s="2">
        <v>6</v>
      </c>
      <c r="F29" s="5" t="str">
        <f t="shared" si="0"/>
        <v>יומי</v>
      </c>
      <c r="G29" s="6">
        <f>IF(F29="חודשי",VLOOKUP(A29,'רשימת עובדים'!$A$4:$C$100,2,FALSE),VLOOKUP(A29,'רשימת עובדים'!$A$4:$C$100,3,FALSE)*E29)</f>
        <v>6644.0239963082604</v>
      </c>
      <c r="H29" s="7"/>
      <c r="I29" s="8"/>
      <c r="J29" s="7"/>
      <c r="K29" s="6" t="str">
        <f t="shared" si="1"/>
        <v/>
      </c>
      <c r="L29" s="8"/>
      <c r="M29" s="7"/>
      <c r="N29" s="7" t="s">
        <v>42</v>
      </c>
    </row>
    <row r="30" spans="1:14" x14ac:dyDescent="0.2">
      <c r="A30" s="2" t="s">
        <v>13</v>
      </c>
      <c r="B30" s="2" t="s">
        <v>51</v>
      </c>
      <c r="C30" s="2" t="s">
        <v>47</v>
      </c>
      <c r="D30" s="2">
        <v>3</v>
      </c>
      <c r="E30" s="2">
        <v>3</v>
      </c>
      <c r="F30" s="5" t="str">
        <f t="shared" si="0"/>
        <v>יומי</v>
      </c>
      <c r="G30" s="6">
        <f>IF(F30="חודשי",VLOOKUP(A30,'רשימת עובדים'!$A$4:$C$100,2,FALSE),VLOOKUP(A30,'רשימת עובדים'!$A$4:$C$100,3,FALSE)*E30)</f>
        <v>3322.0119981541302</v>
      </c>
      <c r="H30" s="7"/>
      <c r="I30" s="8"/>
      <c r="J30" s="7"/>
      <c r="K30" s="6" t="str">
        <f t="shared" si="1"/>
        <v/>
      </c>
      <c r="L30" s="8"/>
      <c r="M30" s="7"/>
      <c r="N30" s="7" t="s">
        <v>42</v>
      </c>
    </row>
    <row r="31" spans="1:14" x14ac:dyDescent="0.2">
      <c r="A31" s="2" t="s">
        <v>13</v>
      </c>
      <c r="B31" s="2" t="s">
        <v>51</v>
      </c>
      <c r="C31" s="2" t="s">
        <v>48</v>
      </c>
      <c r="D31" s="2">
        <v>4</v>
      </c>
      <c r="E31" s="2">
        <v>4</v>
      </c>
      <c r="F31" s="5" t="str">
        <f t="shared" si="0"/>
        <v>יומי</v>
      </c>
      <c r="G31" s="6">
        <f>IF(F31="חודשי",VLOOKUP(A31,'רשימת עובדים'!$A$4:$C$100,2,FALSE),VLOOKUP(A31,'רשימת עובדים'!$A$4:$C$100,3,FALSE)*E31)</f>
        <v>4429.3493308721736</v>
      </c>
      <c r="H31" s="7"/>
      <c r="I31" s="8"/>
      <c r="J31" s="7"/>
      <c r="K31" s="6" t="str">
        <f t="shared" si="1"/>
        <v/>
      </c>
      <c r="L31" s="8"/>
      <c r="M31" s="7"/>
      <c r="N31" s="7" t="s">
        <v>42</v>
      </c>
    </row>
    <row r="32" spans="1:14" x14ac:dyDescent="0.2">
      <c r="A32" s="2" t="s">
        <v>13</v>
      </c>
      <c r="B32" s="2" t="s">
        <v>51</v>
      </c>
      <c r="C32" s="2" t="s">
        <v>44</v>
      </c>
      <c r="D32" s="2">
        <v>2</v>
      </c>
      <c r="E32" s="2">
        <v>2</v>
      </c>
      <c r="F32" s="5" t="str">
        <f t="shared" si="0"/>
        <v>יומי</v>
      </c>
      <c r="G32" s="6">
        <f>IF(F32="חודשי",VLOOKUP(A32,'רשימת עובדים'!$A$4:$C$100,2,FALSE),VLOOKUP(A32,'רשימת עובדים'!$A$4:$C$100,3,FALSE)*E32)</f>
        <v>2214.6746654360868</v>
      </c>
      <c r="H32" s="7"/>
      <c r="I32" s="8"/>
      <c r="J32" s="7"/>
      <c r="K32" s="6" t="str">
        <f t="shared" si="1"/>
        <v/>
      </c>
      <c r="L32" s="8"/>
      <c r="M32" s="7"/>
      <c r="N32" s="7" t="s">
        <v>42</v>
      </c>
    </row>
    <row r="33" spans="1:14" x14ac:dyDescent="0.2">
      <c r="A33" s="2" t="s">
        <v>14</v>
      </c>
      <c r="B33" s="2" t="s">
        <v>40</v>
      </c>
      <c r="C33" s="2" t="s">
        <v>48</v>
      </c>
      <c r="D33" s="2">
        <v>6</v>
      </c>
      <c r="E33" s="2">
        <v>6</v>
      </c>
      <c r="F33" s="5" t="str">
        <f t="shared" si="0"/>
        <v>יומי</v>
      </c>
      <c r="G33" s="6" t="e">
        <f>IF(F33="חודשי",VLOOKUP(A33,'רשימת עובדים'!$A$4:$C$100,2,FALSE),VLOOKUP(A33,'רשימת עובדים'!$A$4:$C$100,3,FALSE)*E33)</f>
        <v>#VALUE!</v>
      </c>
      <c r="H33" s="7"/>
      <c r="I33" s="8"/>
      <c r="J33" s="7"/>
      <c r="K33" s="6" t="str">
        <f t="shared" si="1"/>
        <v/>
      </c>
      <c r="L33" s="8"/>
      <c r="M33" s="7"/>
      <c r="N33" s="7" t="s">
        <v>42</v>
      </c>
    </row>
    <row r="34" spans="1:14" x14ac:dyDescent="0.2">
      <c r="A34" s="2" t="s">
        <v>14</v>
      </c>
      <c r="B34" s="2" t="s">
        <v>40</v>
      </c>
      <c r="C34" s="2" t="s">
        <v>50</v>
      </c>
      <c r="D34" s="2">
        <v>3</v>
      </c>
      <c r="E34" s="2">
        <v>3</v>
      </c>
      <c r="F34" s="5" t="str">
        <f t="shared" si="0"/>
        <v>יומי</v>
      </c>
      <c r="G34" s="6" t="e">
        <f>IF(F34="חודשי",VLOOKUP(A34,'רשימת עובדים'!$A$4:$C$100,2,FALSE),VLOOKUP(A34,'רשימת עובדים'!$A$4:$C$100,3,FALSE)*E34)</f>
        <v>#VALUE!</v>
      </c>
      <c r="H34" s="7"/>
      <c r="I34" s="8"/>
      <c r="J34" s="7"/>
      <c r="K34" s="6" t="str">
        <f t="shared" si="1"/>
        <v/>
      </c>
      <c r="L34" s="8"/>
      <c r="M34" s="7"/>
      <c r="N34" s="7" t="s">
        <v>42</v>
      </c>
    </row>
    <row r="35" spans="1:14" x14ac:dyDescent="0.2">
      <c r="A35" s="2" t="s">
        <v>14</v>
      </c>
      <c r="B35" s="2" t="s">
        <v>40</v>
      </c>
      <c r="C35" s="2" t="s">
        <v>44</v>
      </c>
      <c r="D35" s="2">
        <v>3</v>
      </c>
      <c r="E35" s="2">
        <v>2</v>
      </c>
      <c r="F35" s="5" t="str">
        <f t="shared" ref="F35:F66" si="2">IF(D35&gt;21.67,"חודשי","יומי")</f>
        <v>יומי</v>
      </c>
      <c r="G35" s="6" t="e">
        <f>IF(F35="חודשי",VLOOKUP(A35,'רשימת עובדים'!$A$4:$C$100,2,FALSE),VLOOKUP(A35,'רשימת עובדים'!$A$4:$C$100,3,FALSE)*E35)</f>
        <v>#VALUE!</v>
      </c>
      <c r="H35" s="7"/>
      <c r="I35" s="8"/>
      <c r="J35" s="7"/>
      <c r="K35" s="6" t="str">
        <f t="shared" ref="K35:K66" si="3">IF(I35="","",G35-I35)</f>
        <v/>
      </c>
      <c r="L35" s="8"/>
      <c r="M35" s="7"/>
      <c r="N35" s="7" t="s">
        <v>42</v>
      </c>
    </row>
    <row r="36" spans="1:14" x14ac:dyDescent="0.2">
      <c r="A36" s="2" t="s">
        <v>15</v>
      </c>
      <c r="B36" s="2" t="s">
        <v>51</v>
      </c>
      <c r="C36" s="2" t="s">
        <v>41</v>
      </c>
      <c r="D36" s="2">
        <v>1</v>
      </c>
      <c r="E36" s="2">
        <v>1</v>
      </c>
      <c r="F36" s="5" t="str">
        <f t="shared" si="2"/>
        <v>יומי</v>
      </c>
      <c r="G36" s="6">
        <f>IF(F36="חודשי",VLOOKUP(A36,'רשימת עובדים'!$A$4:$C$100,2,FALSE),VLOOKUP(A36,'רשימת עובדים'!$A$4:$C$100,3,FALSE)*E36)</f>
        <v>599.90770650669128</v>
      </c>
      <c r="H36" s="7"/>
      <c r="I36" s="8"/>
      <c r="J36" s="7"/>
      <c r="K36" s="6" t="str">
        <f t="shared" si="3"/>
        <v/>
      </c>
      <c r="L36" s="8"/>
      <c r="M36" s="7"/>
      <c r="N36" s="7" t="s">
        <v>42</v>
      </c>
    </row>
    <row r="37" spans="1:14" x14ac:dyDescent="0.2">
      <c r="A37" s="2" t="s">
        <v>15</v>
      </c>
      <c r="B37" s="2" t="s">
        <v>51</v>
      </c>
      <c r="C37" s="2" t="s">
        <v>46</v>
      </c>
      <c r="D37" s="2">
        <v>3</v>
      </c>
      <c r="E37" s="2">
        <v>2</v>
      </c>
      <c r="F37" s="5" t="str">
        <f t="shared" si="2"/>
        <v>יומי</v>
      </c>
      <c r="G37" s="6">
        <f>IF(F37="חודשי",VLOOKUP(A37,'רשימת עובדים'!$A$4:$C$100,2,FALSE),VLOOKUP(A37,'רשימת עובדים'!$A$4:$C$100,3,FALSE)*E37)</f>
        <v>1199.8154130133826</v>
      </c>
      <c r="H37" s="7"/>
      <c r="I37" s="8"/>
      <c r="J37" s="7"/>
      <c r="K37" s="6" t="str">
        <f t="shared" si="3"/>
        <v/>
      </c>
      <c r="L37" s="8"/>
      <c r="M37" s="7"/>
      <c r="N37" s="7" t="s">
        <v>42</v>
      </c>
    </row>
    <row r="38" spans="1:14" x14ac:dyDescent="0.2">
      <c r="A38" s="2" t="s">
        <v>15</v>
      </c>
      <c r="B38" s="2" t="s">
        <v>51</v>
      </c>
      <c r="C38" s="2" t="s">
        <v>47</v>
      </c>
      <c r="D38" s="2">
        <v>8</v>
      </c>
      <c r="E38" s="2">
        <v>6</v>
      </c>
      <c r="F38" s="5" t="str">
        <f t="shared" si="2"/>
        <v>יומי</v>
      </c>
      <c r="G38" s="6">
        <f>IF(F38="חודשי",VLOOKUP(A38,'רשימת עובדים'!$A$4:$C$100,2,FALSE),VLOOKUP(A38,'רשימת עובדים'!$A$4:$C$100,3,FALSE)*E38)</f>
        <v>3599.4462390401477</v>
      </c>
      <c r="H38" s="7"/>
      <c r="I38" s="8"/>
      <c r="J38" s="7"/>
      <c r="K38" s="6" t="str">
        <f t="shared" si="3"/>
        <v/>
      </c>
      <c r="L38" s="8"/>
      <c r="M38" s="7"/>
      <c r="N38" s="7" t="s">
        <v>42</v>
      </c>
    </row>
    <row r="39" spans="1:14" x14ac:dyDescent="0.2">
      <c r="A39" s="2" t="s">
        <v>15</v>
      </c>
      <c r="B39" s="2" t="s">
        <v>51</v>
      </c>
      <c r="C39" s="2" t="s">
        <v>48</v>
      </c>
      <c r="D39" s="2">
        <v>3</v>
      </c>
      <c r="E39" s="2">
        <v>2</v>
      </c>
      <c r="F39" s="5" t="str">
        <f t="shared" si="2"/>
        <v>יומי</v>
      </c>
      <c r="G39" s="6">
        <f>IF(F39="חודשי",VLOOKUP(A39,'רשימת עובדים'!$A$4:$C$100,2,FALSE),VLOOKUP(A39,'רשימת עובדים'!$A$4:$C$100,3,FALSE)*E39)</f>
        <v>1199.8154130133826</v>
      </c>
      <c r="H39" s="7"/>
      <c r="I39" s="8"/>
      <c r="J39" s="7"/>
      <c r="K39" s="6" t="str">
        <f t="shared" si="3"/>
        <v/>
      </c>
      <c r="L39" s="8"/>
      <c r="M39" s="7"/>
      <c r="N39" s="7" t="s">
        <v>42</v>
      </c>
    </row>
    <row r="40" spans="1:14" x14ac:dyDescent="0.2">
      <c r="A40" s="2" t="s">
        <v>15</v>
      </c>
      <c r="B40" s="2" t="s">
        <v>51</v>
      </c>
      <c r="C40" s="2" t="s">
        <v>50</v>
      </c>
      <c r="D40" s="2">
        <v>4</v>
      </c>
      <c r="E40" s="2">
        <v>3</v>
      </c>
      <c r="F40" s="5" t="str">
        <f t="shared" si="2"/>
        <v>יומי</v>
      </c>
      <c r="G40" s="6">
        <f>IF(F40="חודשי",VLOOKUP(A40,'רשימת עובדים'!$A$4:$C$100,2,FALSE),VLOOKUP(A40,'רשימת עובדים'!$A$4:$C$100,3,FALSE)*E40)</f>
        <v>1799.7231195200739</v>
      </c>
      <c r="H40" s="7"/>
      <c r="I40" s="8"/>
      <c r="J40" s="7"/>
      <c r="K40" s="6" t="str">
        <f t="shared" si="3"/>
        <v/>
      </c>
      <c r="L40" s="8"/>
      <c r="M40" s="7"/>
      <c r="N40" s="7" t="s">
        <v>42</v>
      </c>
    </row>
    <row r="41" spans="1:14" x14ac:dyDescent="0.2">
      <c r="A41" s="2" t="s">
        <v>16</v>
      </c>
      <c r="B41" s="2" t="s">
        <v>40</v>
      </c>
      <c r="C41" s="2" t="s">
        <v>45</v>
      </c>
      <c r="D41" s="2">
        <v>9</v>
      </c>
      <c r="E41" s="2">
        <v>7</v>
      </c>
      <c r="F41" s="5" t="str">
        <f t="shared" si="2"/>
        <v>יומי</v>
      </c>
      <c r="G41" s="6">
        <f>IF(F41="חודשי",VLOOKUP(A41,'רשימת עובדים'!$A$4:$C$100,2,FALSE),VLOOKUP(A41,'רשימת עובדים'!$A$4:$C$100,3,FALSE)*E41)</f>
        <v>5210.4291647438858</v>
      </c>
      <c r="H41" s="7"/>
      <c r="I41" s="8"/>
      <c r="J41" s="7"/>
      <c r="K41" s="6" t="str">
        <f t="shared" si="3"/>
        <v/>
      </c>
      <c r="L41" s="8"/>
      <c r="M41" s="7"/>
      <c r="N41" s="7" t="s">
        <v>42</v>
      </c>
    </row>
    <row r="42" spans="1:14" x14ac:dyDescent="0.2">
      <c r="A42" s="2" t="s">
        <v>16</v>
      </c>
      <c r="B42" s="2" t="s">
        <v>40</v>
      </c>
      <c r="C42" s="2" t="s">
        <v>49</v>
      </c>
      <c r="D42" s="2">
        <v>3</v>
      </c>
      <c r="E42" s="2">
        <v>3</v>
      </c>
      <c r="F42" s="5" t="str">
        <f t="shared" si="2"/>
        <v>יומי</v>
      </c>
      <c r="G42" s="6">
        <f>IF(F42="חודשי",VLOOKUP(A42,'רשימת עובדים'!$A$4:$C$100,2,FALSE),VLOOKUP(A42,'רשימת עובדים'!$A$4:$C$100,3,FALSE)*E42)</f>
        <v>2233.0410706045222</v>
      </c>
      <c r="H42" s="7"/>
      <c r="I42" s="8"/>
      <c r="J42" s="7"/>
      <c r="K42" s="6" t="str">
        <f t="shared" si="3"/>
        <v/>
      </c>
      <c r="L42" s="8"/>
      <c r="M42" s="7"/>
      <c r="N42" s="7" t="s">
        <v>42</v>
      </c>
    </row>
    <row r="43" spans="1:14" x14ac:dyDescent="0.2">
      <c r="A43" s="2" t="s">
        <v>16</v>
      </c>
      <c r="B43" s="2" t="s">
        <v>40</v>
      </c>
      <c r="C43" s="2" t="s">
        <v>46</v>
      </c>
      <c r="D43" s="2">
        <v>8</v>
      </c>
      <c r="E43" s="2">
        <v>8</v>
      </c>
      <c r="F43" s="5" t="str">
        <f t="shared" si="2"/>
        <v>יומי</v>
      </c>
      <c r="G43" s="6">
        <f>IF(F43="חודשי",VLOOKUP(A43,'רשימת עובדים'!$A$4:$C$100,2,FALSE),VLOOKUP(A43,'רשימת עובדים'!$A$4:$C$100,3,FALSE)*E43)</f>
        <v>5954.7761882787263</v>
      </c>
      <c r="H43" s="7"/>
      <c r="I43" s="8"/>
      <c r="J43" s="7"/>
      <c r="K43" s="6" t="str">
        <f t="shared" si="3"/>
        <v/>
      </c>
      <c r="L43" s="8"/>
      <c r="M43" s="7"/>
      <c r="N43" s="7" t="s">
        <v>42</v>
      </c>
    </row>
    <row r="44" spans="1:14" x14ac:dyDescent="0.2">
      <c r="A44" s="2" t="s">
        <v>16</v>
      </c>
      <c r="B44" s="2" t="s">
        <v>40</v>
      </c>
      <c r="C44" s="2" t="s">
        <v>47</v>
      </c>
      <c r="D44" s="2">
        <v>5</v>
      </c>
      <c r="E44" s="2">
        <v>3</v>
      </c>
      <c r="F44" s="5" t="str">
        <f t="shared" si="2"/>
        <v>יומי</v>
      </c>
      <c r="G44" s="6">
        <f>IF(F44="חודשי",VLOOKUP(A44,'רשימת עובדים'!$A$4:$C$100,2,FALSE),VLOOKUP(A44,'רשימת עובדים'!$A$4:$C$100,3,FALSE)*E44)</f>
        <v>2233.0410706045222</v>
      </c>
      <c r="H44" s="7"/>
      <c r="I44" s="8"/>
      <c r="J44" s="7"/>
      <c r="K44" s="6" t="str">
        <f t="shared" si="3"/>
        <v/>
      </c>
      <c r="L44" s="8"/>
      <c r="M44" s="7"/>
      <c r="N44" s="7" t="s">
        <v>42</v>
      </c>
    </row>
    <row r="45" spans="1:14" x14ac:dyDescent="0.2">
      <c r="A45" s="2" t="s">
        <v>16</v>
      </c>
      <c r="B45" s="2" t="s">
        <v>40</v>
      </c>
      <c r="C45" s="2" t="s">
        <v>48</v>
      </c>
      <c r="D45" s="2">
        <v>1</v>
      </c>
      <c r="E45" s="2">
        <v>1</v>
      </c>
      <c r="F45" s="5" t="str">
        <f t="shared" si="2"/>
        <v>יומי</v>
      </c>
      <c r="G45" s="6">
        <f>IF(F45="חודשי",VLOOKUP(A45,'רשימת עובדים'!$A$4:$C$100,2,FALSE),VLOOKUP(A45,'רשימת עובדים'!$A$4:$C$100,3,FALSE)*E45)</f>
        <v>744.34702353484079</v>
      </c>
      <c r="H45" s="7"/>
      <c r="I45" s="8"/>
      <c r="J45" s="7"/>
      <c r="K45" s="6" t="str">
        <f t="shared" si="3"/>
        <v/>
      </c>
      <c r="L45" s="8"/>
      <c r="M45" s="7"/>
      <c r="N45" s="7" t="s">
        <v>42</v>
      </c>
    </row>
    <row r="46" spans="1:14" x14ac:dyDescent="0.2">
      <c r="A46" s="2" t="s">
        <v>16</v>
      </c>
      <c r="B46" s="2" t="s">
        <v>40</v>
      </c>
      <c r="C46" s="2" t="s">
        <v>50</v>
      </c>
      <c r="D46" s="2">
        <v>6</v>
      </c>
      <c r="E46" s="2">
        <v>6</v>
      </c>
      <c r="F46" s="5" t="str">
        <f t="shared" si="2"/>
        <v>יומי</v>
      </c>
      <c r="G46" s="6">
        <f>IF(F46="חודשי",VLOOKUP(A46,'רשימת עובדים'!$A$4:$C$100,2,FALSE),VLOOKUP(A46,'רשימת עובדים'!$A$4:$C$100,3,FALSE)*E46)</f>
        <v>4466.0821412090445</v>
      </c>
      <c r="H46" s="7"/>
      <c r="I46" s="8"/>
      <c r="J46" s="7"/>
      <c r="K46" s="6" t="str">
        <f t="shared" si="3"/>
        <v/>
      </c>
      <c r="L46" s="8"/>
      <c r="M46" s="7"/>
      <c r="N46" s="7" t="s">
        <v>42</v>
      </c>
    </row>
    <row r="47" spans="1:14" x14ac:dyDescent="0.2">
      <c r="A47" s="2" t="s">
        <v>17</v>
      </c>
      <c r="B47" s="2" t="s">
        <v>40</v>
      </c>
      <c r="C47" s="2" t="s">
        <v>45</v>
      </c>
      <c r="D47" s="2">
        <v>2</v>
      </c>
      <c r="E47" s="2">
        <v>2</v>
      </c>
      <c r="F47" s="5" t="str">
        <f t="shared" si="2"/>
        <v>יומי</v>
      </c>
      <c r="G47" s="6">
        <f>IF(F47="חודשי",VLOOKUP(A47,'רשימת עובדים'!$A$4:$C$100,2,FALSE),VLOOKUP(A47,'רשימת עובדים'!$A$4:$C$100,3,FALSE)*E47)</f>
        <v>1691.8320258421779</v>
      </c>
      <c r="H47" s="7"/>
      <c r="I47" s="8"/>
      <c r="J47" s="7"/>
      <c r="K47" s="6" t="str">
        <f t="shared" si="3"/>
        <v/>
      </c>
      <c r="L47" s="8"/>
      <c r="M47" s="7"/>
      <c r="N47" s="7" t="s">
        <v>42</v>
      </c>
    </row>
    <row r="48" spans="1:14" x14ac:dyDescent="0.2">
      <c r="A48" s="2" t="s">
        <v>17</v>
      </c>
      <c r="B48" s="2" t="s">
        <v>40</v>
      </c>
      <c r="C48" s="2" t="s">
        <v>52</v>
      </c>
      <c r="D48" s="2">
        <v>5</v>
      </c>
      <c r="E48" s="2">
        <v>5</v>
      </c>
      <c r="F48" s="5" t="str">
        <f t="shared" si="2"/>
        <v>יומי</v>
      </c>
      <c r="G48" s="6">
        <f>IF(F48="חודשי",VLOOKUP(A48,'רשימת עובדים'!$A$4:$C$100,2,FALSE),VLOOKUP(A48,'רשימת עובדים'!$A$4:$C$100,3,FALSE)*E48)</f>
        <v>4229.5800646054449</v>
      </c>
      <c r="H48" s="7"/>
      <c r="I48" s="8"/>
      <c r="J48" s="7"/>
      <c r="K48" s="6" t="str">
        <f t="shared" si="3"/>
        <v/>
      </c>
      <c r="L48" s="8"/>
      <c r="M48" s="7"/>
      <c r="N48" s="7" t="s">
        <v>42</v>
      </c>
    </row>
    <row r="49" spans="1:14" x14ac:dyDescent="0.2">
      <c r="A49" s="2" t="s">
        <v>17</v>
      </c>
      <c r="B49" s="2" t="s">
        <v>40</v>
      </c>
      <c r="C49" s="2" t="s">
        <v>41</v>
      </c>
      <c r="D49" s="2">
        <v>3</v>
      </c>
      <c r="E49" s="2">
        <v>3</v>
      </c>
      <c r="F49" s="5" t="str">
        <f t="shared" si="2"/>
        <v>יומי</v>
      </c>
      <c r="G49" s="6">
        <f>IF(F49="חודשי",VLOOKUP(A49,'רשימת עובדים'!$A$4:$C$100,2,FALSE),VLOOKUP(A49,'רשימת עובדים'!$A$4:$C$100,3,FALSE)*E49)</f>
        <v>2537.7480387632668</v>
      </c>
      <c r="H49" s="7"/>
      <c r="I49" s="8"/>
      <c r="J49" s="7"/>
      <c r="K49" s="6" t="str">
        <f t="shared" si="3"/>
        <v/>
      </c>
      <c r="L49" s="8"/>
      <c r="M49" s="7"/>
      <c r="N49" s="7" t="s">
        <v>42</v>
      </c>
    </row>
    <row r="50" spans="1:14" x14ac:dyDescent="0.2">
      <c r="A50" s="2" t="s">
        <v>17</v>
      </c>
      <c r="B50" s="2" t="s">
        <v>40</v>
      </c>
      <c r="C50" s="2" t="s">
        <v>49</v>
      </c>
      <c r="D50" s="2">
        <v>2</v>
      </c>
      <c r="E50" s="2">
        <v>2</v>
      </c>
      <c r="F50" s="5" t="str">
        <f t="shared" si="2"/>
        <v>יומי</v>
      </c>
      <c r="G50" s="6">
        <f>IF(F50="חודשי",VLOOKUP(A50,'רשימת עובדים'!$A$4:$C$100,2,FALSE),VLOOKUP(A50,'רשימת עובדים'!$A$4:$C$100,3,FALSE)*E50)</f>
        <v>1691.8320258421779</v>
      </c>
      <c r="H50" s="7"/>
      <c r="I50" s="8"/>
      <c r="J50" s="7"/>
      <c r="K50" s="6" t="str">
        <f t="shared" si="3"/>
        <v/>
      </c>
      <c r="L50" s="8"/>
      <c r="M50" s="7"/>
      <c r="N50" s="7" t="s">
        <v>42</v>
      </c>
    </row>
    <row r="51" spans="1:14" x14ac:dyDescent="0.2">
      <c r="A51" s="2" t="s">
        <v>17</v>
      </c>
      <c r="B51" s="2" t="s">
        <v>40</v>
      </c>
      <c r="C51" s="2" t="s">
        <v>46</v>
      </c>
      <c r="D51" s="2">
        <v>11</v>
      </c>
      <c r="E51" s="2">
        <v>7</v>
      </c>
      <c r="F51" s="5" t="str">
        <f t="shared" si="2"/>
        <v>יומי</v>
      </c>
      <c r="G51" s="6">
        <f>IF(F51="חודשי",VLOOKUP(A51,'רשימת עובדים'!$A$4:$C$100,2,FALSE),VLOOKUP(A51,'רשימת עובדים'!$A$4:$C$100,3,FALSE)*E51)</f>
        <v>5921.4120904476231</v>
      </c>
      <c r="H51" s="7"/>
      <c r="I51" s="8"/>
      <c r="J51" s="7"/>
      <c r="K51" s="6" t="str">
        <f t="shared" si="3"/>
        <v/>
      </c>
      <c r="L51" s="8"/>
      <c r="M51" s="7"/>
      <c r="N51" s="7" t="s">
        <v>42</v>
      </c>
    </row>
    <row r="52" spans="1:14" x14ac:dyDescent="0.2">
      <c r="A52" s="2" t="s">
        <v>17</v>
      </c>
      <c r="B52" s="2" t="s">
        <v>40</v>
      </c>
      <c r="C52" s="2" t="s">
        <v>47</v>
      </c>
      <c r="D52" s="2">
        <v>30</v>
      </c>
      <c r="E52" s="2">
        <v>21</v>
      </c>
      <c r="F52" s="5" t="str">
        <f t="shared" si="2"/>
        <v>חודשי</v>
      </c>
      <c r="G52" s="6">
        <f>IF(F52="חודשי",VLOOKUP(A52,'רשימת עובדים'!$A$4:$C$100,2,FALSE),VLOOKUP(A52,'רשימת עובדים'!$A$4:$C$100,3,FALSE)*E52)</f>
        <v>18331</v>
      </c>
      <c r="H52" s="7"/>
      <c r="I52" s="8"/>
      <c r="J52" s="7"/>
      <c r="K52" s="6" t="str">
        <f t="shared" si="3"/>
        <v/>
      </c>
      <c r="L52" s="8"/>
      <c r="M52" s="7"/>
      <c r="N52" s="7" t="s">
        <v>42</v>
      </c>
    </row>
    <row r="53" spans="1:14" x14ac:dyDescent="0.2">
      <c r="A53" s="2" t="s">
        <v>17</v>
      </c>
      <c r="B53" s="2" t="s">
        <v>40</v>
      </c>
      <c r="C53" s="2" t="s">
        <v>48</v>
      </c>
      <c r="D53" s="2">
        <v>31</v>
      </c>
      <c r="E53" s="2">
        <v>23</v>
      </c>
      <c r="F53" s="5" t="str">
        <f t="shared" si="2"/>
        <v>חודשי</v>
      </c>
      <c r="G53" s="6">
        <f>IF(F53="חודשי",VLOOKUP(A53,'רשימת עובדים'!$A$4:$C$100,2,FALSE),VLOOKUP(A53,'רשימת עובדים'!$A$4:$C$100,3,FALSE)*E53)</f>
        <v>18331</v>
      </c>
      <c r="H53" s="7"/>
      <c r="I53" s="8"/>
      <c r="J53" s="7"/>
      <c r="K53" s="6" t="str">
        <f t="shared" si="3"/>
        <v/>
      </c>
      <c r="L53" s="8"/>
      <c r="M53" s="7"/>
      <c r="N53" s="7" t="s">
        <v>42</v>
      </c>
    </row>
    <row r="54" spans="1:14" x14ac:dyDescent="0.2">
      <c r="A54" s="2" t="s">
        <v>17</v>
      </c>
      <c r="B54" s="2" t="s">
        <v>40</v>
      </c>
      <c r="C54" s="2" t="s">
        <v>50</v>
      </c>
      <c r="D54" s="2">
        <v>31</v>
      </c>
      <c r="E54" s="2">
        <v>21</v>
      </c>
      <c r="F54" s="5" t="str">
        <f t="shared" si="2"/>
        <v>חודשי</v>
      </c>
      <c r="G54" s="6">
        <f>IF(F54="חודשי",VLOOKUP(A54,'רשימת עובדים'!$A$4:$C$100,2,FALSE),VLOOKUP(A54,'רשימת עובדים'!$A$4:$C$100,3,FALSE)*E54)</f>
        <v>18331</v>
      </c>
      <c r="H54" s="7"/>
      <c r="I54" s="8"/>
      <c r="J54" s="7"/>
      <c r="K54" s="6" t="str">
        <f t="shared" si="3"/>
        <v/>
      </c>
      <c r="L54" s="8"/>
      <c r="M54" s="7"/>
      <c r="N54" s="7" t="s">
        <v>42</v>
      </c>
    </row>
    <row r="55" spans="1:14" x14ac:dyDescent="0.2">
      <c r="A55" s="2" t="s">
        <v>17</v>
      </c>
      <c r="B55" s="2" t="s">
        <v>40</v>
      </c>
      <c r="C55" s="2" t="s">
        <v>44</v>
      </c>
      <c r="D55" s="2">
        <v>30</v>
      </c>
      <c r="E55" s="2">
        <v>22</v>
      </c>
      <c r="F55" s="5" t="str">
        <f t="shared" si="2"/>
        <v>חודשי</v>
      </c>
      <c r="G55" s="6">
        <f>IF(F55="חודשי",VLOOKUP(A55,'רשימת עובדים'!$A$4:$C$100,2,FALSE),VLOOKUP(A55,'רשימת עובדים'!$A$4:$C$100,3,FALSE)*E55)</f>
        <v>18331</v>
      </c>
      <c r="H55" s="7"/>
      <c r="I55" s="8"/>
      <c r="J55" s="7"/>
      <c r="K55" s="6" t="str">
        <f t="shared" si="3"/>
        <v/>
      </c>
      <c r="L55" s="8"/>
      <c r="M55" s="7"/>
      <c r="N55" s="7" t="s">
        <v>42</v>
      </c>
    </row>
    <row r="56" spans="1:14" x14ac:dyDescent="0.2">
      <c r="A56" s="2" t="s">
        <v>18</v>
      </c>
      <c r="B56" s="2" t="s">
        <v>40</v>
      </c>
      <c r="C56" s="2" t="s">
        <v>45</v>
      </c>
      <c r="D56" s="2">
        <v>3</v>
      </c>
      <c r="E56" s="2">
        <v>3</v>
      </c>
      <c r="F56" s="5" t="str">
        <f t="shared" si="2"/>
        <v>יומי</v>
      </c>
      <c r="G56" s="6">
        <f>IF(F56="חודשי",VLOOKUP(A56,'רשימת עובדים'!$A$4:$C$100,2,FALSE),VLOOKUP(A56,'רשימת עובדים'!$A$4:$C$100,3,FALSE)*E56)</f>
        <v>2605.9990770650666</v>
      </c>
      <c r="H56" s="7"/>
      <c r="I56" s="8"/>
      <c r="J56" s="7"/>
      <c r="K56" s="6" t="str">
        <f t="shared" si="3"/>
        <v/>
      </c>
      <c r="L56" s="8"/>
      <c r="M56" s="7"/>
      <c r="N56" s="7" t="s">
        <v>42</v>
      </c>
    </row>
    <row r="57" spans="1:14" x14ac:dyDescent="0.2">
      <c r="A57" s="2" t="s">
        <v>18</v>
      </c>
      <c r="B57" s="2" t="s">
        <v>40</v>
      </c>
      <c r="C57" s="2" t="s">
        <v>52</v>
      </c>
      <c r="D57" s="2">
        <v>2</v>
      </c>
      <c r="E57" s="2">
        <v>1</v>
      </c>
      <c r="F57" s="5" t="str">
        <f t="shared" si="2"/>
        <v>יומי</v>
      </c>
      <c r="G57" s="6">
        <f>IF(F57="חודשי",VLOOKUP(A57,'רשימת עובדים'!$A$4:$C$100,2,FALSE),VLOOKUP(A57,'רשימת עובדים'!$A$4:$C$100,3,FALSE)*E57)</f>
        <v>868.66635902168889</v>
      </c>
      <c r="H57" s="7"/>
      <c r="I57" s="8"/>
      <c r="J57" s="7"/>
      <c r="K57" s="6" t="str">
        <f t="shared" si="3"/>
        <v/>
      </c>
      <c r="L57" s="8"/>
      <c r="M57" s="7"/>
      <c r="N57" s="7" t="s">
        <v>42</v>
      </c>
    </row>
    <row r="58" spans="1:14" x14ac:dyDescent="0.2">
      <c r="A58" s="2" t="s">
        <v>18</v>
      </c>
      <c r="B58" s="2" t="s">
        <v>40</v>
      </c>
      <c r="C58" s="2" t="s">
        <v>41</v>
      </c>
      <c r="D58" s="2">
        <v>4</v>
      </c>
      <c r="E58" s="2">
        <v>4</v>
      </c>
      <c r="F58" s="5" t="str">
        <f t="shared" si="2"/>
        <v>יומי</v>
      </c>
      <c r="G58" s="6">
        <f>IF(F58="חודשי",VLOOKUP(A58,'רשימת עובדים'!$A$4:$C$100,2,FALSE),VLOOKUP(A58,'רשימת עובדים'!$A$4:$C$100,3,FALSE)*E58)</f>
        <v>3474.6654360867556</v>
      </c>
      <c r="H58" s="7"/>
      <c r="I58" s="8"/>
      <c r="J58" s="7"/>
      <c r="K58" s="6" t="str">
        <f t="shared" si="3"/>
        <v/>
      </c>
      <c r="L58" s="8"/>
      <c r="M58" s="7"/>
      <c r="N58" s="7" t="s">
        <v>42</v>
      </c>
    </row>
    <row r="59" spans="1:14" x14ac:dyDescent="0.2">
      <c r="A59" s="2" t="s">
        <v>18</v>
      </c>
      <c r="B59" s="2" t="s">
        <v>40</v>
      </c>
      <c r="C59" s="2" t="s">
        <v>49</v>
      </c>
      <c r="D59" s="2">
        <v>2</v>
      </c>
      <c r="E59" s="2">
        <v>1</v>
      </c>
      <c r="F59" s="5" t="str">
        <f t="shared" si="2"/>
        <v>יומי</v>
      </c>
      <c r="G59" s="6">
        <f>IF(F59="חודשי",VLOOKUP(A59,'רשימת עובדים'!$A$4:$C$100,2,FALSE),VLOOKUP(A59,'רשימת עובדים'!$A$4:$C$100,3,FALSE)*E59)</f>
        <v>868.66635902168889</v>
      </c>
      <c r="H59" s="7"/>
      <c r="I59" s="8"/>
      <c r="J59" s="7"/>
      <c r="K59" s="6" t="str">
        <f t="shared" si="3"/>
        <v/>
      </c>
      <c r="L59" s="8"/>
      <c r="M59" s="7"/>
      <c r="N59" s="7" t="s">
        <v>42</v>
      </c>
    </row>
    <row r="60" spans="1:14" x14ac:dyDescent="0.2">
      <c r="A60" s="2" t="s">
        <v>18</v>
      </c>
      <c r="B60" s="2" t="s">
        <v>40</v>
      </c>
      <c r="C60" s="2" t="s">
        <v>46</v>
      </c>
      <c r="D60" s="2">
        <v>12</v>
      </c>
      <c r="E60" s="2">
        <v>10</v>
      </c>
      <c r="F60" s="5" t="str">
        <f t="shared" si="2"/>
        <v>יומי</v>
      </c>
      <c r="G60" s="6">
        <f>IF(F60="חודשי",VLOOKUP(A60,'רשימת עובדים'!$A$4:$C$100,2,FALSE),VLOOKUP(A60,'רשימת עובדים'!$A$4:$C$100,3,FALSE)*E60)</f>
        <v>8686.6635902168891</v>
      </c>
      <c r="H60" s="7"/>
      <c r="I60" s="8"/>
      <c r="J60" s="7"/>
      <c r="K60" s="6" t="str">
        <f t="shared" si="3"/>
        <v/>
      </c>
      <c r="L60" s="8"/>
      <c r="M60" s="7"/>
      <c r="N60" s="7" t="s">
        <v>42</v>
      </c>
    </row>
    <row r="61" spans="1:14" x14ac:dyDescent="0.2">
      <c r="A61" s="2" t="s">
        <v>18</v>
      </c>
      <c r="B61" s="2" t="s">
        <v>40</v>
      </c>
      <c r="C61" s="2" t="s">
        <v>48</v>
      </c>
      <c r="D61" s="2">
        <v>1</v>
      </c>
      <c r="E61" s="2">
        <v>1</v>
      </c>
      <c r="F61" s="5" t="str">
        <f t="shared" si="2"/>
        <v>יומי</v>
      </c>
      <c r="G61" s="6">
        <f>IF(F61="חודשי",VLOOKUP(A61,'רשימת עובדים'!$A$4:$C$100,2,FALSE),VLOOKUP(A61,'רשימת עובדים'!$A$4:$C$100,3,FALSE)*E61)</f>
        <v>868.66635902168889</v>
      </c>
      <c r="H61" s="7"/>
      <c r="I61" s="8"/>
      <c r="J61" s="7"/>
      <c r="K61" s="6" t="str">
        <f t="shared" si="3"/>
        <v/>
      </c>
      <c r="L61" s="8"/>
      <c r="M61" s="7"/>
      <c r="N61" s="7" t="s">
        <v>42</v>
      </c>
    </row>
    <row r="62" spans="1:14" x14ac:dyDescent="0.2">
      <c r="A62" s="2" t="s">
        <v>18</v>
      </c>
      <c r="B62" s="2" t="s">
        <v>40</v>
      </c>
      <c r="C62" s="2" t="s">
        <v>50</v>
      </c>
      <c r="D62" s="2">
        <v>5</v>
      </c>
      <c r="E62" s="2">
        <v>4</v>
      </c>
      <c r="F62" s="5" t="str">
        <f t="shared" si="2"/>
        <v>יומי</v>
      </c>
      <c r="G62" s="6">
        <f>IF(F62="חודשי",VLOOKUP(A62,'רשימת עובדים'!$A$4:$C$100,2,FALSE),VLOOKUP(A62,'רשימת עובדים'!$A$4:$C$100,3,FALSE)*E62)</f>
        <v>3474.6654360867556</v>
      </c>
      <c r="H62" s="7"/>
      <c r="I62" s="8"/>
      <c r="J62" s="7"/>
      <c r="K62" s="6" t="str">
        <f t="shared" si="3"/>
        <v/>
      </c>
      <c r="L62" s="8"/>
      <c r="M62" s="7"/>
      <c r="N62" s="7" t="s">
        <v>42</v>
      </c>
    </row>
    <row r="63" spans="1:14" x14ac:dyDescent="0.2">
      <c r="A63" s="2" t="s">
        <v>18</v>
      </c>
      <c r="B63" s="2" t="s">
        <v>40</v>
      </c>
      <c r="C63" s="2" t="s">
        <v>44</v>
      </c>
      <c r="D63" s="2">
        <v>4</v>
      </c>
      <c r="E63" s="2">
        <v>3</v>
      </c>
      <c r="F63" s="5" t="str">
        <f t="shared" si="2"/>
        <v>יומי</v>
      </c>
      <c r="G63" s="6">
        <f>IF(F63="חודשי",VLOOKUP(A63,'רשימת עובדים'!$A$4:$C$100,2,FALSE),VLOOKUP(A63,'רשימת עובדים'!$A$4:$C$100,3,FALSE)*E63)</f>
        <v>2605.9990770650666</v>
      </c>
      <c r="H63" s="7"/>
      <c r="I63" s="8"/>
      <c r="J63" s="7"/>
      <c r="K63" s="6" t="str">
        <f t="shared" si="3"/>
        <v/>
      </c>
      <c r="L63" s="8"/>
      <c r="M63" s="7"/>
      <c r="N63" s="7" t="s">
        <v>42</v>
      </c>
    </row>
    <row r="64" spans="1:14" x14ac:dyDescent="0.2">
      <c r="A64" s="2" t="s">
        <v>19</v>
      </c>
      <c r="B64" s="2" t="s">
        <v>51</v>
      </c>
      <c r="C64" s="2" t="s">
        <v>41</v>
      </c>
      <c r="D64" s="2">
        <v>3</v>
      </c>
      <c r="E64" s="2">
        <v>3</v>
      </c>
      <c r="F64" s="5" t="str">
        <f t="shared" si="2"/>
        <v>יומי</v>
      </c>
      <c r="G64" s="6" t="e">
        <f>IF(F64="חודשי",VLOOKUP(A64,'רשימת עובדים'!$A$4:$C$100,2,FALSE),VLOOKUP(A64,'רשימת עובדים'!$A$4:$C$100,3,FALSE)*E64)</f>
        <v>#VALUE!</v>
      </c>
      <c r="H64" s="7"/>
      <c r="I64" s="8"/>
      <c r="J64" s="7"/>
      <c r="K64" s="6" t="str">
        <f t="shared" si="3"/>
        <v/>
      </c>
      <c r="L64" s="8"/>
      <c r="M64" s="7"/>
      <c r="N64" s="7" t="s">
        <v>42</v>
      </c>
    </row>
    <row r="65" spans="1:14" x14ac:dyDescent="0.2">
      <c r="A65" s="2" t="s">
        <v>19</v>
      </c>
      <c r="B65" s="2" t="s">
        <v>51</v>
      </c>
      <c r="C65" s="2" t="s">
        <v>47</v>
      </c>
      <c r="D65" s="2">
        <v>6</v>
      </c>
      <c r="E65" s="2">
        <v>4</v>
      </c>
      <c r="F65" s="5" t="str">
        <f t="shared" si="2"/>
        <v>יומי</v>
      </c>
      <c r="G65" s="6" t="e">
        <f>IF(F65="חודשי",VLOOKUP(A65,'רשימת עובדים'!$A$4:$C$100,2,FALSE),VLOOKUP(A65,'רשימת עובדים'!$A$4:$C$100,3,FALSE)*E65)</f>
        <v>#VALUE!</v>
      </c>
      <c r="H65" s="7"/>
      <c r="I65" s="8"/>
      <c r="J65" s="7"/>
      <c r="K65" s="6" t="str">
        <f t="shared" si="3"/>
        <v/>
      </c>
      <c r="L65" s="8"/>
      <c r="M65" s="7"/>
      <c r="N65" s="7" t="s">
        <v>42</v>
      </c>
    </row>
    <row r="66" spans="1:14" x14ac:dyDescent="0.2">
      <c r="A66" s="2" t="s">
        <v>20</v>
      </c>
      <c r="B66" s="2" t="s">
        <v>51</v>
      </c>
      <c r="C66" s="2" t="s">
        <v>45</v>
      </c>
      <c r="D66" s="2">
        <v>16</v>
      </c>
      <c r="E66" s="2">
        <v>12</v>
      </c>
      <c r="F66" s="5" t="str">
        <f t="shared" si="2"/>
        <v>יומי</v>
      </c>
      <c r="G66" s="6">
        <f>IF(F66="חודשי",VLOOKUP(A66,'רשימת עובדים'!$A$4:$C$100,2,FALSE),VLOOKUP(A66,'רשימת עובדים'!$A$4:$C$100,3,FALSE)*E66)</f>
        <v>10687.586525149976</v>
      </c>
      <c r="H66" s="7"/>
      <c r="I66" s="8"/>
      <c r="J66" s="7"/>
      <c r="K66" s="6" t="str">
        <f t="shared" si="3"/>
        <v/>
      </c>
      <c r="L66" s="8"/>
      <c r="M66" s="7"/>
      <c r="N66" s="7" t="s">
        <v>42</v>
      </c>
    </row>
    <row r="67" spans="1:14" x14ac:dyDescent="0.2">
      <c r="A67" s="2" t="s">
        <v>20</v>
      </c>
      <c r="B67" s="2" t="s">
        <v>51</v>
      </c>
      <c r="C67" s="2" t="s">
        <v>52</v>
      </c>
      <c r="D67" s="2">
        <v>7</v>
      </c>
      <c r="E67" s="2">
        <v>7</v>
      </c>
      <c r="F67" s="5" t="str">
        <f t="shared" ref="F67:F81" si="4">IF(D67&gt;21.67,"חודשי","יומי")</f>
        <v>יומי</v>
      </c>
      <c r="G67" s="6">
        <f>IF(F67="חודשי",VLOOKUP(A67,'רשימת עובדים'!$A$4:$C$100,2,FALSE),VLOOKUP(A67,'רשימת עובדים'!$A$4:$C$100,3,FALSE)*E67)</f>
        <v>6234.425473004153</v>
      </c>
      <c r="H67" s="7"/>
      <c r="I67" s="8"/>
      <c r="J67" s="7"/>
      <c r="K67" s="6" t="str">
        <f t="shared" ref="K67:K81" si="5">IF(I67="","",G67-I67)</f>
        <v/>
      </c>
      <c r="L67" s="8"/>
      <c r="M67" s="7"/>
      <c r="N67" s="7" t="s">
        <v>42</v>
      </c>
    </row>
    <row r="68" spans="1:14" x14ac:dyDescent="0.2">
      <c r="A68" s="2" t="s">
        <v>20</v>
      </c>
      <c r="B68" s="2" t="s">
        <v>51</v>
      </c>
      <c r="C68" s="2" t="s">
        <v>41</v>
      </c>
      <c r="D68" s="2">
        <v>13</v>
      </c>
      <c r="E68" s="2">
        <v>12</v>
      </c>
      <c r="F68" s="5" t="str">
        <f t="shared" si="4"/>
        <v>יומי</v>
      </c>
      <c r="G68" s="6">
        <f>IF(F68="חודשי",VLOOKUP(A68,'רשימת עובדים'!$A$4:$C$100,2,FALSE),VLOOKUP(A68,'רשימת עובדים'!$A$4:$C$100,3,FALSE)*E68)</f>
        <v>10687.586525149976</v>
      </c>
      <c r="H68" s="7"/>
      <c r="I68" s="8"/>
      <c r="J68" s="7"/>
      <c r="K68" s="6" t="str">
        <f t="shared" si="5"/>
        <v/>
      </c>
      <c r="L68" s="8"/>
      <c r="M68" s="7"/>
      <c r="N68" s="7" t="s">
        <v>42</v>
      </c>
    </row>
    <row r="69" spans="1:14" x14ac:dyDescent="0.2">
      <c r="A69" s="2" t="s">
        <v>20</v>
      </c>
      <c r="B69" s="2" t="s">
        <v>51</v>
      </c>
      <c r="C69" s="2" t="s">
        <v>49</v>
      </c>
      <c r="D69" s="2">
        <v>9</v>
      </c>
      <c r="E69" s="2">
        <v>8</v>
      </c>
      <c r="F69" s="5" t="str">
        <f t="shared" si="4"/>
        <v>יומי</v>
      </c>
      <c r="G69" s="6">
        <f>IF(F69="חודשי",VLOOKUP(A69,'רשימת עובדים'!$A$4:$C$100,2,FALSE),VLOOKUP(A69,'רשימת עובדים'!$A$4:$C$100,3,FALSE)*E69)</f>
        <v>7125.0576834333178</v>
      </c>
      <c r="H69" s="7"/>
      <c r="I69" s="8"/>
      <c r="J69" s="7"/>
      <c r="K69" s="6" t="str">
        <f t="shared" si="5"/>
        <v/>
      </c>
      <c r="L69" s="8"/>
      <c r="M69" s="7"/>
      <c r="N69" s="7" t="s">
        <v>42</v>
      </c>
    </row>
    <row r="70" spans="1:14" x14ac:dyDescent="0.2">
      <c r="A70" s="2" t="s">
        <v>20</v>
      </c>
      <c r="B70" s="2" t="s">
        <v>51</v>
      </c>
      <c r="C70" s="2" t="s">
        <v>46</v>
      </c>
      <c r="D70" s="2">
        <v>6</v>
      </c>
      <c r="E70" s="2">
        <v>4</v>
      </c>
      <c r="F70" s="5" t="str">
        <f t="shared" si="4"/>
        <v>יומי</v>
      </c>
      <c r="G70" s="6">
        <f>IF(F70="חודשי",VLOOKUP(A70,'רשימת עובדים'!$A$4:$C$100,2,FALSE),VLOOKUP(A70,'רשימת עובדים'!$A$4:$C$100,3,FALSE)*E70)</f>
        <v>3562.5288417166589</v>
      </c>
      <c r="H70" s="7"/>
      <c r="I70" s="8"/>
      <c r="J70" s="7"/>
      <c r="K70" s="6" t="str">
        <f t="shared" si="5"/>
        <v/>
      </c>
      <c r="L70" s="8"/>
      <c r="M70" s="7"/>
      <c r="N70" s="7" t="s">
        <v>42</v>
      </c>
    </row>
    <row r="71" spans="1:14" x14ac:dyDescent="0.2">
      <c r="A71" s="2" t="s">
        <v>20</v>
      </c>
      <c r="B71" s="2" t="s">
        <v>51</v>
      </c>
      <c r="C71" s="2" t="s">
        <v>47</v>
      </c>
      <c r="D71" s="2">
        <v>22</v>
      </c>
      <c r="E71" s="2">
        <v>15</v>
      </c>
      <c r="F71" s="5" t="str">
        <f t="shared" si="4"/>
        <v>חודשי</v>
      </c>
      <c r="G71" s="6">
        <f>IF(F71="חודשי",VLOOKUP(A71,'רשימת עובדים'!$A$4:$C$100,2,FALSE),VLOOKUP(A71,'רשימת עובדים'!$A$4:$C$100,3,FALSE)*E71)</f>
        <v>19300</v>
      </c>
      <c r="H71" s="7"/>
      <c r="I71" s="8"/>
      <c r="J71" s="7"/>
      <c r="K71" s="6" t="str">
        <f t="shared" si="5"/>
        <v/>
      </c>
      <c r="L71" s="8"/>
      <c r="M71" s="7"/>
      <c r="N71" s="7" t="s">
        <v>42</v>
      </c>
    </row>
    <row r="72" spans="1:14" x14ac:dyDescent="0.2">
      <c r="A72" s="2" t="s">
        <v>20</v>
      </c>
      <c r="B72" s="2" t="s">
        <v>51</v>
      </c>
      <c r="C72" s="2" t="s">
        <v>48</v>
      </c>
      <c r="D72" s="2">
        <v>5</v>
      </c>
      <c r="E72" s="2">
        <v>5</v>
      </c>
      <c r="F72" s="5" t="str">
        <f t="shared" si="4"/>
        <v>יומי</v>
      </c>
      <c r="G72" s="6">
        <f>IF(F72="חודשי",VLOOKUP(A72,'רשימת עובדים'!$A$4:$C$100,2,FALSE),VLOOKUP(A72,'רשימת עובדים'!$A$4:$C$100,3,FALSE)*E72)</f>
        <v>4453.1610521458233</v>
      </c>
      <c r="H72" s="7"/>
      <c r="I72" s="8"/>
      <c r="J72" s="7"/>
      <c r="K72" s="6" t="str">
        <f t="shared" si="5"/>
        <v/>
      </c>
      <c r="L72" s="8"/>
      <c r="M72" s="7"/>
      <c r="N72" s="7" t="s">
        <v>42</v>
      </c>
    </row>
    <row r="73" spans="1:14" x14ac:dyDescent="0.2">
      <c r="A73" s="2" t="s">
        <v>20</v>
      </c>
      <c r="B73" s="2" t="s">
        <v>51</v>
      </c>
      <c r="C73" s="2" t="s">
        <v>50</v>
      </c>
      <c r="D73" s="2">
        <v>2</v>
      </c>
      <c r="E73" s="2">
        <v>2</v>
      </c>
      <c r="F73" s="5" t="str">
        <f t="shared" si="4"/>
        <v>יומי</v>
      </c>
      <c r="G73" s="6">
        <f>IF(F73="חודשי",VLOOKUP(A73,'רשימת עובדים'!$A$4:$C$100,2,FALSE),VLOOKUP(A73,'רשימת עובדים'!$A$4:$C$100,3,FALSE)*E73)</f>
        <v>1781.2644208583295</v>
      </c>
      <c r="H73" s="7"/>
      <c r="I73" s="8"/>
      <c r="J73" s="7"/>
      <c r="K73" s="6" t="str">
        <f t="shared" si="5"/>
        <v/>
      </c>
      <c r="L73" s="8"/>
      <c r="M73" s="7"/>
      <c r="N73" s="7" t="s">
        <v>42</v>
      </c>
    </row>
    <row r="74" spans="1:14" x14ac:dyDescent="0.2">
      <c r="A74" s="2" t="s">
        <v>20</v>
      </c>
      <c r="B74" s="2" t="s">
        <v>51</v>
      </c>
      <c r="C74" s="2" t="s">
        <v>44</v>
      </c>
      <c r="D74" s="2">
        <v>4</v>
      </c>
      <c r="E74" s="2">
        <v>2</v>
      </c>
      <c r="F74" s="5" t="str">
        <f t="shared" si="4"/>
        <v>יומי</v>
      </c>
      <c r="G74" s="6">
        <f>IF(F74="חודשי",VLOOKUP(A74,'רשימת עובדים'!$A$4:$C$100,2,FALSE),VLOOKUP(A74,'רשימת עובדים'!$A$4:$C$100,3,FALSE)*E74)</f>
        <v>1781.2644208583295</v>
      </c>
      <c r="H74" s="7"/>
      <c r="I74" s="8"/>
      <c r="J74" s="7"/>
      <c r="K74" s="6" t="str">
        <f t="shared" si="5"/>
        <v/>
      </c>
      <c r="L74" s="8"/>
      <c r="M74" s="7"/>
      <c r="N74" s="7" t="s">
        <v>42</v>
      </c>
    </row>
    <row r="75" spans="1:14" x14ac:dyDescent="0.2">
      <c r="A75" s="2" t="s">
        <v>21</v>
      </c>
      <c r="B75" s="2" t="s">
        <v>40</v>
      </c>
      <c r="C75" s="2" t="s">
        <v>41</v>
      </c>
      <c r="D75" s="2">
        <v>4</v>
      </c>
      <c r="E75" s="2">
        <v>4</v>
      </c>
      <c r="F75" s="5" t="str">
        <f t="shared" si="4"/>
        <v>יומי</v>
      </c>
      <c r="G75" s="6">
        <f>IF(F75="חודשי",VLOOKUP(A75,'רשימת עובדים'!$A$4:$C$100,2,FALSE),VLOOKUP(A75,'רשימת עובדים'!$A$4:$C$100,3,FALSE)*E75)</f>
        <v>2916.4743885556068</v>
      </c>
      <c r="H75" s="7"/>
      <c r="I75" s="8"/>
      <c r="J75" s="7"/>
      <c r="K75" s="6" t="str">
        <f t="shared" si="5"/>
        <v/>
      </c>
      <c r="L75" s="8"/>
      <c r="M75" s="7"/>
      <c r="N75" s="7" t="s">
        <v>42</v>
      </c>
    </row>
    <row r="76" spans="1:14" x14ac:dyDescent="0.2">
      <c r="A76" s="2" t="s">
        <v>21</v>
      </c>
      <c r="B76" s="2" t="s">
        <v>40</v>
      </c>
      <c r="C76" s="2" t="s">
        <v>46</v>
      </c>
      <c r="D76" s="2">
        <v>7</v>
      </c>
      <c r="E76" s="2">
        <v>6</v>
      </c>
      <c r="F76" s="5" t="str">
        <f t="shared" si="4"/>
        <v>יומי</v>
      </c>
      <c r="G76" s="6">
        <f>IF(F76="חודשי",VLOOKUP(A76,'רשימת עובדים'!$A$4:$C$100,2,FALSE),VLOOKUP(A76,'רשימת עובדים'!$A$4:$C$100,3,FALSE)*E76)</f>
        <v>4374.7115828334099</v>
      </c>
      <c r="H76" s="7"/>
      <c r="I76" s="8"/>
      <c r="J76" s="7"/>
      <c r="K76" s="6" t="str">
        <f t="shared" si="5"/>
        <v/>
      </c>
      <c r="L76" s="8"/>
      <c r="M76" s="7"/>
      <c r="N76" s="7" t="s">
        <v>42</v>
      </c>
    </row>
    <row r="77" spans="1:14" x14ac:dyDescent="0.2">
      <c r="A77" s="2" t="s">
        <v>21</v>
      </c>
      <c r="B77" s="2" t="s">
        <v>40</v>
      </c>
      <c r="C77" s="2" t="s">
        <v>47</v>
      </c>
      <c r="D77" s="2">
        <v>4</v>
      </c>
      <c r="E77" s="2">
        <v>3</v>
      </c>
      <c r="F77" s="5" t="str">
        <f t="shared" si="4"/>
        <v>יומי</v>
      </c>
      <c r="G77" s="6">
        <f>IF(F77="חודשי",VLOOKUP(A77,'רשימת עובדים'!$A$4:$C$100,2,FALSE),VLOOKUP(A77,'רשימת עובדים'!$A$4:$C$100,3,FALSE)*E77)</f>
        <v>2187.355791416705</v>
      </c>
      <c r="H77" s="7"/>
      <c r="I77" s="8"/>
      <c r="J77" s="7"/>
      <c r="K77" s="6" t="str">
        <f t="shared" si="5"/>
        <v/>
      </c>
      <c r="L77" s="8"/>
      <c r="M77" s="7"/>
      <c r="N77" s="7" t="s">
        <v>42</v>
      </c>
    </row>
    <row r="78" spans="1:14" x14ac:dyDescent="0.2">
      <c r="A78" s="2" t="s">
        <v>21</v>
      </c>
      <c r="B78" s="2" t="s">
        <v>40</v>
      </c>
      <c r="C78" s="2" t="s">
        <v>50</v>
      </c>
      <c r="D78" s="2">
        <v>4</v>
      </c>
      <c r="E78" s="2">
        <v>4</v>
      </c>
      <c r="F78" s="5" t="str">
        <f t="shared" si="4"/>
        <v>יומי</v>
      </c>
      <c r="G78" s="6">
        <f>IF(F78="חודשי",VLOOKUP(A78,'רשימת עובדים'!$A$4:$C$100,2,FALSE),VLOOKUP(A78,'רשימת עובדים'!$A$4:$C$100,3,FALSE)*E78)</f>
        <v>2916.4743885556068</v>
      </c>
      <c r="H78" s="7"/>
      <c r="I78" s="8"/>
      <c r="J78" s="7"/>
      <c r="K78" s="6" t="str">
        <f t="shared" si="5"/>
        <v/>
      </c>
      <c r="L78" s="8"/>
      <c r="M78" s="7"/>
      <c r="N78" s="7" t="s">
        <v>42</v>
      </c>
    </row>
    <row r="79" spans="1:14" x14ac:dyDescent="0.2">
      <c r="A79" s="2" t="s">
        <v>21</v>
      </c>
      <c r="B79" s="2" t="s">
        <v>40</v>
      </c>
      <c r="C79" s="2" t="s">
        <v>44</v>
      </c>
      <c r="D79" s="2">
        <v>3</v>
      </c>
      <c r="E79" s="2">
        <v>2</v>
      </c>
      <c r="F79" s="5" t="str">
        <f t="shared" si="4"/>
        <v>יומי</v>
      </c>
      <c r="G79" s="6">
        <f>IF(F79="חודשי",VLOOKUP(A79,'רשימת עובדים'!$A$4:$C$100,2,FALSE),VLOOKUP(A79,'רשימת עובדים'!$A$4:$C$100,3,FALSE)*E79)</f>
        <v>1458.2371942778034</v>
      </c>
      <c r="H79" s="7"/>
      <c r="I79" s="8"/>
      <c r="J79" s="7"/>
      <c r="K79" s="6" t="str">
        <f t="shared" si="5"/>
        <v/>
      </c>
      <c r="L79" s="8"/>
      <c r="M79" s="7"/>
      <c r="N79" s="7" t="s">
        <v>42</v>
      </c>
    </row>
    <row r="80" spans="1:14" x14ac:dyDescent="0.2">
      <c r="A80" s="2" t="s">
        <v>22</v>
      </c>
      <c r="B80" s="2" t="s">
        <v>43</v>
      </c>
      <c r="C80" s="2" t="s">
        <v>46</v>
      </c>
      <c r="D80" s="2">
        <v>2</v>
      </c>
      <c r="E80" s="2">
        <v>2</v>
      </c>
      <c r="F80" s="5" t="str">
        <f t="shared" si="4"/>
        <v>יומי</v>
      </c>
      <c r="G80" s="6" t="e">
        <f>IF(F80="חודשי",VLOOKUP(A80,'רשימת עובדים'!$A$4:$C$100,2,FALSE),VLOOKUP(A80,'רשימת עובדים'!$A$4:$C$100,3,FALSE)*E80)</f>
        <v>#VALUE!</v>
      </c>
      <c r="H80" s="7"/>
      <c r="I80" s="8"/>
      <c r="J80" s="7"/>
      <c r="K80" s="6" t="str">
        <f t="shared" si="5"/>
        <v/>
      </c>
      <c r="L80" s="8"/>
      <c r="M80" s="7"/>
      <c r="N80" s="7" t="s">
        <v>42</v>
      </c>
    </row>
    <row r="81" spans="1:14" x14ac:dyDescent="0.2">
      <c r="A81" s="2" t="s">
        <v>22</v>
      </c>
      <c r="B81" s="2" t="s">
        <v>43</v>
      </c>
      <c r="C81" s="2" t="s">
        <v>47</v>
      </c>
      <c r="D81" s="2">
        <v>21</v>
      </c>
      <c r="E81" s="2">
        <v>16</v>
      </c>
      <c r="F81" s="5" t="str">
        <f t="shared" si="4"/>
        <v>יומי</v>
      </c>
      <c r="G81" s="6" t="e">
        <f>IF(F81="חודשי",VLOOKUP(A81,'רשימת עובדים'!$A$4:$C$100,2,FALSE),VLOOKUP(A81,'רשימת עובדים'!$A$4:$C$100,3,FALSE)*E81)</f>
        <v>#VALUE!</v>
      </c>
      <c r="H81" s="7"/>
      <c r="I81" s="8"/>
      <c r="J81" s="7"/>
      <c r="K81" s="6" t="str">
        <f t="shared" si="5"/>
        <v/>
      </c>
      <c r="L81" s="8"/>
      <c r="M81" s="7"/>
      <c r="N81" s="7" t="s">
        <v>42</v>
      </c>
    </row>
  </sheetData>
  <mergeCells count="5">
    <mergeCell ref="H1:J1"/>
    <mergeCell ref="L1:N1"/>
    <mergeCell ref="A1:C1"/>
    <mergeCell ref="D1:G1"/>
    <mergeCell ref="K1"/>
  </mergeCells>
  <dataValidations count="2">
    <dataValidation type="list" sqref="M3:M81 J3:J81" xr:uid="{00000000-0002-0000-0100-000000000000}">
      <formula1>"01/2025,02/2025,03/2025,04/2025,05/2025,06/2025,07/2025,08/2025,09/2025,10/2025,11/2025,12/2025"</formula1>
    </dataValidation>
    <dataValidation type="list" sqref="N3:N81" xr:uid="{00000000-0002-0000-0100-000001000000}">
      <formula1>"ממתין לתקבול,התקבל תקבול,שולם לעובד,הסתיים"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2"/>
  <sheetViews>
    <sheetView rightToLeft="1" tabSelected="1" workbookViewId="0"/>
  </sheetViews>
  <sheetFormatPr defaultRowHeight="14.25" x14ac:dyDescent="0.2"/>
  <cols>
    <col min="1" max="1" width="70" customWidth="1"/>
  </cols>
  <sheetData>
    <row r="1" spans="1:1" ht="16.5" x14ac:dyDescent="0.25">
      <c r="A1" s="9" t="s">
        <v>53</v>
      </c>
    </row>
    <row r="2" spans="1:1" x14ac:dyDescent="0.2">
      <c r="A2" s="10"/>
    </row>
    <row r="3" spans="1:1" x14ac:dyDescent="0.2">
      <c r="A3" s="10" t="s">
        <v>54</v>
      </c>
    </row>
    <row r="4" spans="1:1" x14ac:dyDescent="0.2">
      <c r="A4" s="10"/>
    </row>
    <row r="5" spans="1:1" x14ac:dyDescent="0.2">
      <c r="A5" s="10" t="s">
        <v>55</v>
      </c>
    </row>
    <row r="6" spans="1:1" x14ac:dyDescent="0.2">
      <c r="A6" s="10" t="s">
        <v>56</v>
      </c>
    </row>
    <row r="7" spans="1:1" x14ac:dyDescent="0.2">
      <c r="A7" s="10" t="s">
        <v>57</v>
      </c>
    </row>
    <row r="8" spans="1:1" x14ac:dyDescent="0.2">
      <c r="A8" s="10"/>
    </row>
    <row r="9" spans="1:1" x14ac:dyDescent="0.2">
      <c r="A9" s="10" t="s">
        <v>58</v>
      </c>
    </row>
    <row r="10" spans="1:1" x14ac:dyDescent="0.2">
      <c r="A10" s="10" t="s">
        <v>59</v>
      </c>
    </row>
    <row r="11" spans="1:1" x14ac:dyDescent="0.2">
      <c r="A11" s="10" t="s">
        <v>60</v>
      </c>
    </row>
    <row r="12" spans="1:1" x14ac:dyDescent="0.2">
      <c r="A12" s="10" t="s">
        <v>61</v>
      </c>
    </row>
    <row r="13" spans="1:1" x14ac:dyDescent="0.2">
      <c r="A13" s="10" t="s">
        <v>62</v>
      </c>
    </row>
    <row r="14" spans="1:1" x14ac:dyDescent="0.2">
      <c r="A14" s="10" t="s">
        <v>63</v>
      </c>
    </row>
    <row r="15" spans="1:1" x14ac:dyDescent="0.2">
      <c r="A15" s="10"/>
    </row>
    <row r="16" spans="1:1" x14ac:dyDescent="0.2">
      <c r="A16" s="10" t="s">
        <v>64</v>
      </c>
    </row>
    <row r="17" spans="1:1" x14ac:dyDescent="0.2">
      <c r="A17" s="10" t="s">
        <v>65</v>
      </c>
    </row>
    <row r="18" spans="1:1" x14ac:dyDescent="0.2">
      <c r="A18" s="10" t="s">
        <v>66</v>
      </c>
    </row>
    <row r="19" spans="1:1" x14ac:dyDescent="0.2">
      <c r="A19" s="10" t="s">
        <v>67</v>
      </c>
    </row>
    <row r="20" spans="1:1" x14ac:dyDescent="0.2">
      <c r="A20" s="10"/>
    </row>
    <row r="21" spans="1:1" x14ac:dyDescent="0.2">
      <c r="A21" s="10" t="s">
        <v>68</v>
      </c>
    </row>
    <row r="22" spans="1:1" x14ac:dyDescent="0.2">
      <c r="A22" s="10" t="s">
        <v>69</v>
      </c>
    </row>
    <row r="23" spans="1:1" x14ac:dyDescent="0.2">
      <c r="A23" s="10"/>
    </row>
    <row r="24" spans="1:1" x14ac:dyDescent="0.2">
      <c r="A24" s="10" t="s">
        <v>70</v>
      </c>
    </row>
    <row r="25" spans="1:1" x14ac:dyDescent="0.2">
      <c r="A25" s="10" t="s">
        <v>71</v>
      </c>
    </row>
    <row r="26" spans="1:1" x14ac:dyDescent="0.2">
      <c r="A26" s="10" t="s">
        <v>72</v>
      </c>
    </row>
    <row r="27" spans="1:1" x14ac:dyDescent="0.2">
      <c r="A27" s="10" t="s">
        <v>73</v>
      </c>
    </row>
    <row r="28" spans="1:1" x14ac:dyDescent="0.2">
      <c r="A28" s="10"/>
    </row>
    <row r="29" spans="1:1" x14ac:dyDescent="0.2">
      <c r="A29" s="10" t="s">
        <v>74</v>
      </c>
    </row>
    <row r="30" spans="1:1" x14ac:dyDescent="0.2">
      <c r="A30" s="10" t="s">
        <v>75</v>
      </c>
    </row>
    <row r="31" spans="1:1" x14ac:dyDescent="0.2">
      <c r="A31" s="10" t="s">
        <v>76</v>
      </c>
    </row>
    <row r="32" spans="1:1" x14ac:dyDescent="0.2">
      <c r="A32" s="10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רשימת עובדים</vt:lpstr>
      <vt:lpstr>תשלומי מילואים</vt:lpstr>
      <vt:lpstr>📖 הוראות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2025-11-06T12:39:31Z</dcterms:created>
  <dcterms:modified xsi:type="dcterms:W3CDTF">2025-11-06T12:48:11Z</dcterms:modified>
</cp:coreProperties>
</file>