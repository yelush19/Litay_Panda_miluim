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D7D03B54-4583-4828-8E4F-819D94E49107}" xr6:coauthVersionLast="47" xr6:coauthVersionMax="47" xr10:uidLastSave="{00000000-0000-0000-0000-000000000000}"/>
  <bookViews>
    <workbookView xWindow="-120" yWindow="-120" windowWidth="29040" windowHeight="15720" xr2:uid="{0CEF0F43-C47B-4816-B6C3-DFEF22E4E8CC}"/>
  </bookViews>
  <sheets>
    <sheet name="גיליון1" sheetId="1" r:id="rId1"/>
    <sheet name="גיליון2" sheetId="2" r:id="rId2"/>
  </sheets>
  <externalReferences>
    <externalReference r:id="rId3"/>
  </externalReferences>
  <definedNames>
    <definedName name="_xlnm._FilterDatabase" localSheetId="0" hidden="1">גיליון1!$A$1:$T$153</definedName>
    <definedName name="_xlnm._FilterDatabase" localSheetId="1" hidden="1">גיליון2!$A$1:$X$1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Q22" i="1"/>
  <c r="Q20" i="1"/>
  <c r="R22" i="1"/>
  <c r="R20" i="1"/>
  <c r="P22" i="1"/>
  <c r="P20" i="1"/>
  <c r="R19" i="1"/>
  <c r="R18" i="1"/>
  <c r="R16" i="1"/>
  <c r="R17" i="1"/>
  <c r="Q17" i="1"/>
  <c r="Q18" i="1"/>
  <c r="Q16" i="1"/>
  <c r="P18" i="1"/>
  <c r="P17" i="1"/>
  <c r="P16" i="1"/>
  <c r="Q8" i="1"/>
  <c r="P8" i="1"/>
  <c r="Q4" i="1"/>
  <c r="P4" i="1"/>
  <c r="P3" i="1"/>
  <c r="L14" i="1"/>
  <c r="L13" i="1"/>
  <c r="R13" i="1"/>
  <c r="Q15" i="1"/>
  <c r="P15" i="1"/>
  <c r="R15" i="1" s="1"/>
  <c r="R14" i="1"/>
  <c r="Q13" i="1"/>
  <c r="P13" i="1"/>
  <c r="Q40" i="1"/>
  <c r="Q39" i="1"/>
  <c r="Q38" i="1"/>
  <c r="Q28" i="1"/>
  <c r="Q27" i="1"/>
  <c r="P40" i="1"/>
  <c r="P39" i="1"/>
  <c r="P38" i="1"/>
  <c r="P28" i="1"/>
  <c r="P27" i="1"/>
  <c r="Q26" i="1"/>
  <c r="P26" i="1"/>
  <c r="R25" i="1"/>
  <c r="Q25" i="1"/>
  <c r="O25" i="1"/>
  <c r="Q6" i="1"/>
  <c r="O6" i="1"/>
  <c r="R6" i="1" s="1"/>
  <c r="Q7" i="1"/>
  <c r="Q5" i="1"/>
  <c r="P7" i="1"/>
  <c r="P5" i="1"/>
  <c r="R48" i="1"/>
  <c r="Q44" i="1"/>
  <c r="P44" i="1"/>
  <c r="R44" i="1" s="1"/>
  <c r="Q42" i="1"/>
  <c r="R43" i="1"/>
  <c r="P42" i="1"/>
  <c r="R42" i="1" s="1"/>
  <c r="Q29" i="1"/>
  <c r="P29" i="1"/>
  <c r="R29" i="1" s="1"/>
  <c r="M29" i="1"/>
  <c r="Q11" i="1"/>
  <c r="Q9" i="1"/>
  <c r="P11" i="1"/>
  <c r="R11" i="1" s="1"/>
  <c r="P9" i="1"/>
  <c r="R9" i="1" s="1"/>
  <c r="M3" i="1"/>
  <c r="R3" i="1" s="1"/>
  <c r="M153" i="1"/>
  <c r="M152" i="1"/>
  <c r="R152" i="1" s="1"/>
  <c r="P151" i="1"/>
  <c r="N151" i="1"/>
  <c r="M151" i="1"/>
  <c r="M150" i="1"/>
  <c r="R150" i="1" s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R119" i="1" s="1"/>
  <c r="M118" i="1"/>
  <c r="M117" i="1"/>
  <c r="M116" i="1"/>
  <c r="M115" i="1"/>
  <c r="M114" i="1"/>
  <c r="M113" i="1"/>
  <c r="R113" i="1" s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R98" i="1" s="1"/>
  <c r="M97" i="1"/>
  <c r="R97" i="1" s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R84" i="1" s="1"/>
  <c r="M83" i="1"/>
  <c r="R83" i="1" s="1"/>
  <c r="M82" i="1"/>
  <c r="R82" i="1" s="1"/>
  <c r="M81" i="1"/>
  <c r="R81" i="1" s="1"/>
  <c r="M80" i="1"/>
  <c r="R80" i="1" s="1"/>
  <c r="M79" i="1"/>
  <c r="R79" i="1" s="1"/>
  <c r="M78" i="1"/>
  <c r="R78" i="1" s="1"/>
  <c r="M77" i="1"/>
  <c r="R77" i="1" s="1"/>
  <c r="M76" i="1"/>
  <c r="M75" i="1"/>
  <c r="M74" i="1"/>
  <c r="M73" i="1"/>
  <c r="R73" i="1" s="1"/>
  <c r="M72" i="1"/>
  <c r="R72" i="1" s="1"/>
  <c r="M71" i="1"/>
  <c r="R71" i="1" s="1"/>
  <c r="M70" i="1"/>
  <c r="M69" i="1"/>
  <c r="M68" i="1"/>
  <c r="M67" i="1"/>
  <c r="M66" i="1"/>
  <c r="M65" i="1"/>
  <c r="M64" i="1"/>
  <c r="M63" i="1"/>
  <c r="R63" i="1" s="1"/>
  <c r="M62" i="1"/>
  <c r="R62" i="1" s="1"/>
  <c r="M61" i="1"/>
  <c r="R61" i="1" s="1"/>
  <c r="M60" i="1"/>
  <c r="M59" i="1"/>
  <c r="R59" i="1" s="1"/>
  <c r="M58" i="1"/>
  <c r="M57" i="1"/>
  <c r="M56" i="1"/>
  <c r="M55" i="1"/>
  <c r="M54" i="1"/>
  <c r="M53" i="1"/>
  <c r="M52" i="1"/>
  <c r="M51" i="1"/>
  <c r="R51" i="1" s="1"/>
  <c r="M50" i="1"/>
  <c r="R50" i="1" s="1"/>
  <c r="M49" i="1"/>
  <c r="M47" i="1"/>
  <c r="R47" i="1" s="1"/>
  <c r="M46" i="1"/>
  <c r="R46" i="1" s="1"/>
  <c r="M45" i="1"/>
  <c r="R45" i="1" s="1"/>
  <c r="M44" i="1"/>
  <c r="M42" i="1"/>
  <c r="M41" i="1"/>
  <c r="M40" i="1"/>
  <c r="M39" i="1"/>
  <c r="R39" i="1" s="1"/>
  <c r="M38" i="1"/>
  <c r="R38" i="1" s="1"/>
  <c r="M37" i="1"/>
  <c r="M36" i="1"/>
  <c r="M35" i="1"/>
  <c r="M34" i="1"/>
  <c r="M33" i="1"/>
  <c r="M32" i="1"/>
  <c r="M31" i="1"/>
  <c r="M30" i="1"/>
  <c r="M28" i="1"/>
  <c r="R28" i="1" s="1"/>
  <c r="M27" i="1"/>
  <c r="R27" i="1" s="1"/>
  <c r="M26" i="1"/>
  <c r="M24" i="1"/>
  <c r="M23" i="1"/>
  <c r="M22" i="1"/>
  <c r="M20" i="1"/>
  <c r="M18" i="1"/>
  <c r="M17" i="1"/>
  <c r="M16" i="1"/>
  <c r="M15" i="1"/>
  <c r="M13" i="1"/>
  <c r="R12" i="1"/>
  <c r="M11" i="1"/>
  <c r="R10" i="1"/>
  <c r="M9" i="1"/>
  <c r="M8" i="1"/>
  <c r="M7" i="1"/>
  <c r="M5" i="1"/>
  <c r="R5" i="1" s="1"/>
  <c r="M4" i="1"/>
  <c r="M2" i="1"/>
  <c r="R2" i="1" s="1"/>
  <c r="R8" i="1" l="1"/>
  <c r="R4" i="1"/>
  <c r="R26" i="1"/>
  <c r="R40" i="1"/>
  <c r="R7" i="1"/>
  <c r="R151" i="1"/>
</calcChain>
</file>

<file path=xl/sharedStrings.xml><?xml version="1.0" encoding="utf-8"?>
<sst xmlns="http://schemas.openxmlformats.org/spreadsheetml/2006/main" count="1160" uniqueCount="369">
  <si>
    <t>מזהה תקופה</t>
  </si>
  <si>
    <t>שם עובד</t>
  </si>
  <si>
    <t>מחלקה</t>
  </si>
  <si>
    <t>תאריך התחלה</t>
  </si>
  <si>
    <t>תאריך סיום</t>
  </si>
  <si>
    <t>חודש</t>
  </si>
  <si>
    <t>סה"כ ימים</t>
  </si>
  <si>
    <t>ימי א-ה</t>
  </si>
  <si>
    <t>ימי שישי</t>
  </si>
  <si>
    <t>ימי שבת</t>
  </si>
  <si>
    <t>ימי חג</t>
  </si>
  <si>
    <t>תעריף יומי</t>
  </si>
  <si>
    <t>תשלום מעסיק (א-ה)</t>
  </si>
  <si>
    <t>פיצוי 20% למעסיק</t>
  </si>
  <si>
    <t>תוספת 40%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</si>
  <si>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</si>
  <si>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</si>
  <si>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</si>
  <si>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</si>
  <si>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</si>
  <si>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P0003</t>
  </si>
  <si>
    <t>אייל מלח</t>
  </si>
  <si>
    <t>רפאל</t>
  </si>
  <si>
    <t>01/01/2025</t>
  </si>
  <si>
    <t>03/01/2025</t>
  </si>
  <si>
    <t>01/2025</t>
  </si>
  <si>
    <t>P0008</t>
  </si>
  <si>
    <t>אריאל אליה</t>
  </si>
  <si>
    <t>מל"מ</t>
  </si>
  <si>
    <t>19/01/2025</t>
  </si>
  <si>
    <t>22/01/2025</t>
  </si>
  <si>
    <t>P0014</t>
  </si>
  <si>
    <t>דניאל בנדרימר</t>
  </si>
  <si>
    <t>26/01/2025</t>
  </si>
  <si>
    <t>30/01/2025</t>
  </si>
  <si>
    <t>P0026</t>
  </si>
  <si>
    <t>יורם שלמה</t>
  </si>
  <si>
    <t>רוה"מ</t>
  </si>
  <si>
    <t>P0027</t>
  </si>
  <si>
    <t>23/01/2025</t>
  </si>
  <si>
    <t>P0055</t>
  </si>
  <si>
    <t>לוי דור</t>
  </si>
  <si>
    <t>P0063</t>
  </si>
  <si>
    <t>מנפרד מרקוביץ'</t>
  </si>
  <si>
    <t>07/01/2025</t>
  </si>
  <si>
    <t>P0064</t>
  </si>
  <si>
    <t>16/01/2025</t>
  </si>
  <si>
    <t>P0074</t>
  </si>
  <si>
    <t>משה בורך</t>
  </si>
  <si>
    <t>09/01/2025</t>
  </si>
  <si>
    <t>P0075</t>
  </si>
  <si>
    <t>29/01/2025</t>
  </si>
  <si>
    <t>P0095</t>
  </si>
  <si>
    <t>נתן פרדר</t>
  </si>
  <si>
    <t>P0096</t>
  </si>
  <si>
    <t>05/01/2025</t>
  </si>
  <si>
    <t>11/01/2025</t>
  </si>
  <si>
    <t>P0097</t>
  </si>
  <si>
    <t>14/01/2025</t>
  </si>
  <si>
    <t>17/01/2025</t>
  </si>
  <si>
    <t>P0098</t>
  </si>
  <si>
    <t>20/01/2025</t>
  </si>
  <si>
    <t>P0099</t>
  </si>
  <si>
    <t>24/01/2025</t>
  </si>
  <si>
    <t>P0023</t>
  </si>
  <si>
    <t>יום טוב מוסארי</t>
  </si>
  <si>
    <t>20/02/2025</t>
  </si>
  <si>
    <t>02/2025</t>
  </si>
  <si>
    <t>P0024</t>
  </si>
  <si>
    <t>23/02/2025</t>
  </si>
  <si>
    <t>P0028</t>
  </si>
  <si>
    <t>10/02/2025</t>
  </si>
  <si>
    <t>P0029</t>
  </si>
  <si>
    <t>18/02/2025</t>
  </si>
  <si>
    <t>19/02/2025</t>
  </si>
  <si>
    <t>P0030</t>
  </si>
  <si>
    <t>26/02/2025</t>
  </si>
  <si>
    <t>P0065</t>
  </si>
  <si>
    <t>24/02/2025</t>
  </si>
  <si>
    <t>28/02/2025</t>
  </si>
  <si>
    <t>P0076</t>
  </si>
  <si>
    <t>P0077</t>
  </si>
  <si>
    <t>P0100</t>
  </si>
  <si>
    <t>11/02/2025</t>
  </si>
  <si>
    <t>P0101</t>
  </si>
  <si>
    <t>13/02/2025</t>
  </si>
  <si>
    <t>P0102</t>
  </si>
  <si>
    <t>17/02/2025</t>
  </si>
  <si>
    <t>P0103</t>
  </si>
  <si>
    <t>25/02/2025</t>
  </si>
  <si>
    <t>P0001</t>
  </si>
  <si>
    <t>אוראל שווקי</t>
  </si>
  <si>
    <t>19/03/2025</t>
  </si>
  <si>
    <t>03/2025</t>
  </si>
  <si>
    <t>P0009</t>
  </si>
  <si>
    <t>02/03/2025</t>
  </si>
  <si>
    <t>05/03/2025</t>
  </si>
  <si>
    <t>P0031</t>
  </si>
  <si>
    <t>04/03/2025</t>
  </si>
  <si>
    <t>P0032</t>
  </si>
  <si>
    <t>17/03/2025</t>
  </si>
  <si>
    <t>P0033</t>
  </si>
  <si>
    <t>30/03/2025</t>
  </si>
  <si>
    <t>P0050</t>
  </si>
  <si>
    <t>לאון שמייב</t>
  </si>
  <si>
    <t>24/03/2025</t>
  </si>
  <si>
    <t>P0066</t>
  </si>
  <si>
    <t>20/03/2025</t>
  </si>
  <si>
    <t>P0067</t>
  </si>
  <si>
    <t>26/03/2025</t>
  </si>
  <si>
    <t>P0034</t>
  </si>
  <si>
    <t>04/2025</t>
  </si>
  <si>
    <t>לא שולם- בני- בהמשך -09.11.25</t>
  </si>
  <si>
    <t>09/04/2025</t>
  </si>
  <si>
    <t>10/04/2025</t>
  </si>
  <si>
    <t>P0035</t>
  </si>
  <si>
    <t>08/05/2025</t>
  </si>
  <si>
    <t>05/2025</t>
  </si>
  <si>
    <t>P0093</t>
  </si>
  <si>
    <t>משה פינץ</t>
  </si>
  <si>
    <t>18/03/2025</t>
  </si>
  <si>
    <t>P0036</t>
  </si>
  <si>
    <t>12/05/2025</t>
  </si>
  <si>
    <t>P0037</t>
  </si>
  <si>
    <t>28/05/2025</t>
  </si>
  <si>
    <t>P0106</t>
  </si>
  <si>
    <t>25/03/2025</t>
  </si>
  <si>
    <t>P0107</t>
  </si>
  <si>
    <t>27/03/2025</t>
  </si>
  <si>
    <t>28/03/2025</t>
  </si>
  <si>
    <t>P0108</t>
  </si>
  <si>
    <t>03/04/2025</t>
  </si>
  <si>
    <t>P0128</t>
  </si>
  <si>
    <t>צחי חנגל</t>
  </si>
  <si>
    <t>P0010</t>
  </si>
  <si>
    <t>23/04/2025</t>
  </si>
  <si>
    <t>P0011</t>
  </si>
  <si>
    <t>27/04/2025</t>
  </si>
  <si>
    <t>P0015</t>
  </si>
  <si>
    <t>22/04/2025</t>
  </si>
  <si>
    <t>29/05/2025</t>
  </si>
  <si>
    <t>P0038</t>
  </si>
  <si>
    <t>05/06/2025</t>
  </si>
  <si>
    <t>06/2025</t>
  </si>
  <si>
    <t>P0056</t>
  </si>
  <si>
    <t>24/04/2025</t>
  </si>
  <si>
    <t>P0039</t>
  </si>
  <si>
    <t>11/06/2025</t>
  </si>
  <si>
    <t>12/06/2025</t>
  </si>
  <si>
    <t>P0068</t>
  </si>
  <si>
    <t>02/04/2025</t>
  </si>
  <si>
    <t>P0069</t>
  </si>
  <si>
    <t>08/04/2025</t>
  </si>
  <si>
    <t>P0082</t>
  </si>
  <si>
    <t>P0109</t>
  </si>
  <si>
    <t>06/04/2025</t>
  </si>
  <si>
    <t>P0110</t>
  </si>
  <si>
    <t>P0111</t>
  </si>
  <si>
    <t>21/04/2025</t>
  </si>
  <si>
    <t>P0112</t>
  </si>
  <si>
    <t>29/04/2025</t>
  </si>
  <si>
    <t>P0004</t>
  </si>
  <si>
    <t>19/05/2025</t>
  </si>
  <si>
    <t>21/05/2025</t>
  </si>
  <si>
    <t>P0012</t>
  </si>
  <si>
    <t>04/05/2025</t>
  </si>
  <si>
    <t>24/05/2025</t>
  </si>
  <si>
    <t>P0070</t>
  </si>
  <si>
    <t>P0071</t>
  </si>
  <si>
    <t>07/05/2025</t>
  </si>
  <si>
    <t>P0072</t>
  </si>
  <si>
    <t>P0051</t>
  </si>
  <si>
    <t>25/05/2025</t>
  </si>
  <si>
    <t>27/05/2025</t>
  </si>
  <si>
    <t>P0057</t>
  </si>
  <si>
    <t>20/05/2025</t>
  </si>
  <si>
    <t>22/05/2025</t>
  </si>
  <si>
    <t>P0058</t>
  </si>
  <si>
    <t>26/05/2025</t>
  </si>
  <si>
    <t>30/05/2025</t>
  </si>
  <si>
    <t>P0073</t>
  </si>
  <si>
    <t>07/2025</t>
  </si>
  <si>
    <t>P0078</t>
  </si>
  <si>
    <t>לא שולם- מועבר לולדה לבדיקה שח 05-07.2025- הפרשים שליליים</t>
  </si>
  <si>
    <t>P0079</t>
  </si>
  <si>
    <t>P0080</t>
  </si>
  <si>
    <t>P0081</t>
  </si>
  <si>
    <t>P0113</t>
  </si>
  <si>
    <t>05/05/2025</t>
  </si>
  <si>
    <t>06/05/2025</t>
  </si>
  <si>
    <t>P0114</t>
  </si>
  <si>
    <t>18/05/2025</t>
  </si>
  <si>
    <t>P0115</t>
  </si>
  <si>
    <t>P0116</t>
  </si>
  <si>
    <t>P0117</t>
  </si>
  <si>
    <t>P0129</t>
  </si>
  <si>
    <t>P0130</t>
  </si>
  <si>
    <t>P0136</t>
  </si>
  <si>
    <t>רפאל שועה</t>
  </si>
  <si>
    <t>P0005</t>
  </si>
  <si>
    <t>26/06/2025</t>
  </si>
  <si>
    <t>P0016</t>
  </si>
  <si>
    <t>03/06/2025</t>
  </si>
  <si>
    <t>30/06/2025</t>
  </si>
  <si>
    <t>P0022</t>
  </si>
  <si>
    <t>חיים ראש</t>
  </si>
  <si>
    <t>P0025</t>
  </si>
  <si>
    <t>29/06/2025</t>
  </si>
  <si>
    <t>P0083</t>
  </si>
  <si>
    <t>P0084</t>
  </si>
  <si>
    <t>15/05/2025</t>
  </si>
  <si>
    <t>P0052</t>
  </si>
  <si>
    <t>16/06/2025</t>
  </si>
  <si>
    <t>23/06/2025</t>
  </si>
  <si>
    <t>P0059</t>
  </si>
  <si>
    <t>18/06/2025</t>
  </si>
  <si>
    <t>22/06/2025</t>
  </si>
  <si>
    <t>P0094</t>
  </si>
  <si>
    <t>19/06/2025</t>
  </si>
  <si>
    <t>24/06/2025</t>
  </si>
  <si>
    <t>P0118</t>
  </si>
  <si>
    <t>04/06/2025</t>
  </si>
  <si>
    <t>P0119</t>
  </si>
  <si>
    <t>08/06/2025</t>
  </si>
  <si>
    <t>P0120</t>
  </si>
  <si>
    <t>P0131</t>
  </si>
  <si>
    <t>10/06/2025</t>
  </si>
  <si>
    <t>P0132</t>
  </si>
  <si>
    <t>15/06/2025</t>
  </si>
  <si>
    <t>P0137</t>
  </si>
  <si>
    <t>P0138</t>
  </si>
  <si>
    <t>09/06/2025</t>
  </si>
  <si>
    <t>P0139</t>
  </si>
  <si>
    <t>28/06/2025</t>
  </si>
  <si>
    <t>P0006</t>
  </si>
  <si>
    <t>29/07/2025</t>
  </si>
  <si>
    <t>31/07/2025</t>
  </si>
  <si>
    <t>P0017</t>
  </si>
  <si>
    <t>07/07/2025</t>
  </si>
  <si>
    <t>P0018</t>
  </si>
  <si>
    <t>27/07/2025</t>
  </si>
  <si>
    <t>28/07/2025</t>
  </si>
  <si>
    <t>P0085</t>
  </si>
  <si>
    <t>P0042</t>
  </si>
  <si>
    <t>יענקל מונטבולינסקי</t>
  </si>
  <si>
    <t>21/07/2025</t>
  </si>
  <si>
    <t>P0043</t>
  </si>
  <si>
    <t>23/07/2025</t>
  </si>
  <si>
    <t>24/07/2025</t>
  </si>
  <si>
    <t>P0044</t>
  </si>
  <si>
    <t>30/07/2025</t>
  </si>
  <si>
    <t>P0053</t>
  </si>
  <si>
    <t>P0060</t>
  </si>
  <si>
    <t>22/07/2025</t>
  </si>
  <si>
    <t>P0087</t>
  </si>
  <si>
    <t>15/07/2025</t>
  </si>
  <si>
    <t>P0121</t>
  </si>
  <si>
    <t>16/07/2025</t>
  </si>
  <si>
    <t>P0122</t>
  </si>
  <si>
    <t>P0123</t>
  </si>
  <si>
    <t>P0013</t>
  </si>
  <si>
    <t>17/08/2025</t>
  </si>
  <si>
    <t>21/08/2025</t>
  </si>
  <si>
    <t>08/2025</t>
  </si>
  <si>
    <t>P0019</t>
  </si>
  <si>
    <t>06/08/2025</t>
  </si>
  <si>
    <t>07/08/2025</t>
  </si>
  <si>
    <t>P0045</t>
  </si>
  <si>
    <t>04/08/2025</t>
  </si>
  <si>
    <t>P0046</t>
  </si>
  <si>
    <t>P0047</t>
  </si>
  <si>
    <t>12/08/2025</t>
  </si>
  <si>
    <t>P0054</t>
  </si>
  <si>
    <t>20/08/2025</t>
  </si>
  <si>
    <t>P0061</t>
  </si>
  <si>
    <t>05/08/2025</t>
  </si>
  <si>
    <t>P0062</t>
  </si>
  <si>
    <t>19/08/2025</t>
  </si>
  <si>
    <t>P0088</t>
  </si>
  <si>
    <t>P0089</t>
  </si>
  <si>
    <t>13/08/2025</t>
  </si>
  <si>
    <t>P0090</t>
  </si>
  <si>
    <t>P0124</t>
  </si>
  <si>
    <t>P0125</t>
  </si>
  <si>
    <t>18/08/2025</t>
  </si>
  <si>
    <t>P0133</t>
  </si>
  <si>
    <t>P0134</t>
  </si>
  <si>
    <t>11/08/2025</t>
  </si>
  <si>
    <t>P0002</t>
  </si>
  <si>
    <t>אורי אשתר</t>
  </si>
  <si>
    <t>01/09/2025</t>
  </si>
  <si>
    <t>17/09/2025</t>
  </si>
  <si>
    <t>09/2025</t>
  </si>
  <si>
    <t>P0007</t>
  </si>
  <si>
    <t>11/09/2025</t>
  </si>
  <si>
    <t>14/09/2025</t>
  </si>
  <si>
    <t>P0020</t>
  </si>
  <si>
    <t>09/09/2025</t>
  </si>
  <si>
    <t>P0021</t>
  </si>
  <si>
    <t>30/09/2025</t>
  </si>
  <si>
    <t>P0040</t>
  </si>
  <si>
    <t>P0048</t>
  </si>
  <si>
    <t>15/09/2025</t>
  </si>
  <si>
    <t>16/09/2025</t>
  </si>
  <si>
    <t>P0049</t>
  </si>
  <si>
    <t>21/09/2025</t>
  </si>
  <si>
    <t>P0091</t>
  </si>
  <si>
    <t>P0092</t>
  </si>
  <si>
    <t>P0126</t>
  </si>
  <si>
    <t>03/09/2025</t>
  </si>
  <si>
    <t>04/09/2025</t>
  </si>
  <si>
    <t>P0127</t>
  </si>
  <si>
    <t>P0135</t>
  </si>
  <si>
    <t>07/09/2025</t>
  </si>
  <si>
    <t>P0086</t>
  </si>
  <si>
    <t>P0104</t>
  </si>
  <si>
    <t>10/03/2025</t>
  </si>
  <si>
    <t>13/03/2025</t>
  </si>
  <si>
    <t>עודכן במרכז</t>
  </si>
  <si>
    <t>P0105</t>
  </si>
  <si>
    <t>P0041</t>
  </si>
  <si>
    <t>זהות</t>
  </si>
  <si>
    <t>תאריך שרות</t>
  </si>
  <si>
    <t>תאריך סיום שרות</t>
  </si>
  <si>
    <t>ימי שרות</t>
  </si>
  <si>
    <t>סידורי תביעה</t>
  </si>
  <si>
    <t>סוג תביעה</t>
  </si>
  <si>
    <t>סוג שרות</t>
  </si>
  <si>
    <t>סיבת עיכוב</t>
  </si>
  <si>
    <t>החלטה</t>
  </si>
  <si>
    <t>שם משפחה</t>
  </si>
  <si>
    <t>שם פרטי</t>
  </si>
  <si>
    <t>קוד שגיאה</t>
  </si>
  <si>
    <t>תאור שגיאה</t>
  </si>
  <si>
    <t>סיבת דחיה</t>
  </si>
  <si>
    <t>תגמול</t>
  </si>
  <si>
    <t>תגמול נדרש</t>
  </si>
  <si>
    <t>פיצוי %20 למעסיק</t>
  </si>
  <si>
    <t>סכום הצמדה</t>
  </si>
  <si>
    <t>תאריך משכורת</t>
  </si>
  <si>
    <t>שיוך מחלקתי</t>
  </si>
  <si>
    <t xml:space="preserve">מס' תביעת מעסיק                                                                           </t>
  </si>
  <si>
    <t>מנה</t>
  </si>
  <si>
    <t>מקור</t>
  </si>
  <si>
    <t>רגיל</t>
  </si>
  <si>
    <t>אישור</t>
  </si>
  <si>
    <t>בורך</t>
  </si>
  <si>
    <t>משה</t>
  </si>
  <si>
    <t>אליה</t>
  </si>
  <si>
    <t>אריאל</t>
  </si>
  <si>
    <t>לוי</t>
  </si>
  <si>
    <t>דור</t>
  </si>
  <si>
    <t>בנדרימר</t>
  </si>
  <si>
    <t>דניאל</t>
  </si>
  <si>
    <t>ת_תשלום</t>
  </si>
  <si>
    <t>מרקוביץ'</t>
  </si>
  <si>
    <t>מנפרד</t>
  </si>
  <si>
    <t>שלמה</t>
  </si>
  <si>
    <t>יורם</t>
  </si>
  <si>
    <t>פרדר</t>
  </si>
  <si>
    <t>נתן</t>
  </si>
  <si>
    <t>תאריך שרות שונה בהתא</t>
  </si>
  <si>
    <t>מלח</t>
  </si>
  <si>
    <t>אייל</t>
  </si>
  <si>
    <t>תוספת 40% לעובד</t>
  </si>
  <si>
    <t>תוספת</t>
  </si>
  <si>
    <t>חודש שכר תשלום הפרשים</t>
  </si>
  <si>
    <t>במרכז</t>
  </si>
  <si>
    <t>לבדוק תקינות יום+ הפרש ששולם לא כלל שישי- שבת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</si>
</sst>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</font>
    <font>
      <b/>
      <sz val="11"/>
      <color rgb="FFFFFFFF"/>
      <name val="Arial"/>
      <family val="2"/>
    </font>
    <font>
      <b/>
      <sz val="11"/>
      <color rgb="FFFFFFFF"/>
      <name val="Assistant"/>
    </font>
    <font>
      <b/>
      <sz val="11"/>
      <color rgb="FFFFFFFF"/>
      <name val="Assistant"/>
      <charset val="177"/>
    </font>
    <font>
      <sz val="11"/>
      <color rgb="FFFF0000"/>
      <name val="Arial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528163"/>
        <bgColor rgb="FF528163"/>
      </patternFill>
    </fill>
    <fill>
      <patternFill patternType="solid">
        <fgColor rgb="FFF39C12"/>
        <bgColor rgb="FFF39C1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39C1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14" fontId="0" fillId="0" borderId="0" xfId="0" applyNumberFormat="1"/>
    <xf numFmtId="2" fontId="0" fillId="0" borderId="0" xfId="0" applyNumberFormat="1"/>
    <xf numFmtId="17" fontId="0" fillId="0" borderId="0" xfId="0" applyNumberFormat="1"/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/>
    <xf numFmtId="0" fontId="5" fillId="0" borderId="1" xfId="0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  <xf numFmtId="0" fontId="0" fillId="5" borderId="0" xfId="0" applyFill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7" fontId="6" fillId="0" borderId="0" xfId="0" applyNumberFormat="1" applyFont="1"/>
    <xf numFmtId="0" fontId="7" fillId="0" borderId="0" xfId="0" applyFont="1"/>
    <xf numFmtId="14" fontId="7" fillId="0" borderId="0" xfId="0" applyNumberFormat="1" applyFont="1"/>
    <xf numFmtId="0" fontId="0" fillId="6" borderId="1" xfId="0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right" vertical="center"/>
    </xf>
    <xf numFmtId="14" fontId="0" fillId="6" borderId="0" xfId="0" applyNumberFormat="1" applyFill="1"/>
    <xf numFmtId="2" fontId="0" fillId="6" borderId="0" xfId="0" applyNumberFormat="1" applyFill="1"/>
    <xf numFmtId="0" fontId="7" fillId="6" borderId="0" xfId="0" applyFont="1" applyFill="1"/>
    <xf numFmtId="14" fontId="7" fillId="6" borderId="0" xfId="0" applyNumberFormat="1" applyFont="1" applyFill="1"/>
    <xf numFmtId="0" fontId="0" fillId="6" borderId="0" xfId="0" applyFill="1" applyAlignment="1">
      <alignment horizontal="right"/>
    </xf>
    <xf numFmtId="14" fontId="0" fillId="6" borderId="0" xfId="0" applyNumberFormat="1" applyFill="1" applyAlignment="1">
      <alignment horizontal="right"/>
    </xf>
    <xf numFmtId="0" fontId="0" fillId="6" borderId="0" xfId="0" applyFill="1"/>
    <xf numFmtId="14" fontId="0" fillId="6" borderId="1" xfId="0" applyNumberFormat="1" applyFill="1" applyBorder="1" applyAlignment="1">
      <alignment horizontal="right" vertical="center"/>
    </xf>
    <xf numFmtId="14" fontId="0" fillId="6" borderId="1" xfId="0" applyNumberFormat="1" applyFill="1" applyBorder="1"/>
    <xf numFmtId="0" fontId="0" fillId="6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LitayPandaMiluim\&#1502;&#1506;&#1512;&#1499;&#1514;_&#1502;&#1497;&#1500;&#1493;&#1488;&#1497;&#1501;_&#1502;&#1500;&#1488;&#1492;.xlsx" TargetMode="External"/><Relationship Id="rId1" Type="http://schemas.openxmlformats.org/officeDocument/2006/relationships/externalLinkPath" Target="&#1502;&#1506;&#1512;&#1499;&#1514;_&#1502;&#1497;&#1500;&#1493;&#1488;&#1497;&#1501;_&#1502;&#1500;&#1488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רשימות"/>
      <sheetName val="📖 הוראות שימוש"/>
      <sheetName val="1️⃣ רשימת עובדים"/>
      <sheetName val="💵 רשימת תשלומים"/>
      <sheetName val="4️⃣ דוח מסכם"/>
      <sheetName val="3️⃣ תשלומי ב&quot;ל"/>
      <sheetName val="2️⃣ תקופות מילואים"/>
      <sheetName val="📈 היסטוריית שכר"/>
    </sheetNames>
    <sheetDataSet>
      <sheetData sheetId="0" refreshError="1"/>
      <sheetData sheetId="1" refreshError="1"/>
      <sheetData sheetId="2">
        <row r="5">
          <cell r="F5">
            <v>18828</v>
          </cell>
        </row>
        <row r="13">
          <cell r="F13">
            <v>18822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ED19-6996-45FA-AFB4-D20486CBCE49}">
  <dimension ref="A1:T153"/>
  <sheetViews>
    <sheetView rightToLeft="1" tabSelected="1" workbookViewId="0">
      <selection activeCell="O23" sqref="O23"/>
    </sheetView>
  </sheetViews>
  <sheetFormatPr defaultRowHeight="14.25" x14ac:dyDescent="0.2"/>
  <cols>
    <col min="4" max="4" width="15.75" bestFit="1" customWidth="1"/>
    <col min="5" max="5" width="13.5" bestFit="1" customWidth="1"/>
    <col min="13" max="13" width="20.25" bestFit="1" customWidth="1"/>
    <col min="14" max="14" width="19" bestFit="1" customWidth="1"/>
    <col min="17" max="17" width="9.875" bestFit="1" customWidth="1"/>
  </cols>
  <sheetData>
    <row r="1" spans="1:20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5" t="s">
        <v>19</v>
      </c>
    </row>
    <row r="2" spans="1:20" ht="15" x14ac:dyDescent="0.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>
        <v>3</v>
      </c>
      <c r="H2" s="6">
        <v>3</v>
      </c>
      <c r="I2" s="6">
        <v>0</v>
      </c>
      <c r="J2" s="6">
        <v>0</v>
      </c>
      <c r="K2" s="6">
        <v>0</v>
      </c>
      <c r="L2" s="7">
        <v>801.06</v>
      </c>
      <c r="M2" s="7">
        <f t="shared" ref="M2:M9" si="0">L2*H2</f>
        <v>2403.1799999999998</v>
      </c>
      <c r="N2" s="7"/>
      <c r="O2" s="7"/>
      <c r="P2" s="8">
        <f>גיליון2!O23</f>
        <v>2206</v>
      </c>
      <c r="Q2" s="9">
        <v>45697</v>
      </c>
      <c r="R2" s="10">
        <f>P2-M2</f>
        <v>-197.17999999999984</v>
      </c>
      <c r="T2" t="s">
        <v>367</v>
      </c>
    </row>
    <row r="3" spans="1:20" ht="15" x14ac:dyDescent="0.2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25</v>
      </c>
      <c r="G3" s="6">
        <v>4</v>
      </c>
      <c r="H3" s="6">
        <v>4</v>
      </c>
      <c r="I3" s="6">
        <v>0</v>
      </c>
      <c r="J3" s="6">
        <v>0</v>
      </c>
      <c r="K3" s="6">
        <v>0</v>
      </c>
      <c r="L3" s="7">
        <v>876.93</v>
      </c>
      <c r="M3" s="7">
        <f t="shared" si="0"/>
        <v>3507.72</v>
      </c>
      <c r="N3" s="7"/>
      <c r="O3" s="7"/>
      <c r="P3" s="8">
        <f>גיליון2!O24</f>
        <v>3710</v>
      </c>
      <c r="Q3" s="9">
        <v>45700</v>
      </c>
      <c r="R3" s="10">
        <f>P3-M3</f>
        <v>202.2800000000002</v>
      </c>
      <c r="S3" s="11">
        <v>45717</v>
      </c>
    </row>
    <row r="4" spans="1:20" ht="15" x14ac:dyDescent="0.2">
      <c r="A4" s="6" t="s">
        <v>31</v>
      </c>
      <c r="B4" s="6" t="s">
        <v>32</v>
      </c>
      <c r="C4" s="6" t="s">
        <v>28</v>
      </c>
      <c r="D4" s="6" t="s">
        <v>33</v>
      </c>
      <c r="E4" s="6" t="s">
        <v>34</v>
      </c>
      <c r="F4" s="6" t="s">
        <v>25</v>
      </c>
      <c r="G4" s="6">
        <v>5</v>
      </c>
      <c r="H4" s="6">
        <v>5</v>
      </c>
      <c r="I4" s="6">
        <v>0</v>
      </c>
      <c r="J4" s="6">
        <v>1</v>
      </c>
      <c r="K4" s="6">
        <v>0</v>
      </c>
      <c r="L4" s="7">
        <v>670.60452238117205</v>
      </c>
      <c r="M4" s="7">
        <f t="shared" si="0"/>
        <v>3353.0226119058602</v>
      </c>
      <c r="N4" s="7"/>
      <c r="O4" s="7"/>
      <c r="P4" s="8">
        <f>גיליון2!O26</f>
        <v>3981</v>
      </c>
      <c r="Q4" s="9">
        <f>גיליון2!X26</f>
        <v>45700</v>
      </c>
      <c r="R4" s="10">
        <f>P4-M4</f>
        <v>627.97738809413977</v>
      </c>
      <c r="S4" s="11">
        <v>45717</v>
      </c>
    </row>
    <row r="5" spans="1:20" ht="15" x14ac:dyDescent="0.2">
      <c r="A5" s="6" t="s">
        <v>35</v>
      </c>
      <c r="B5" s="6" t="s">
        <v>36</v>
      </c>
      <c r="C5" s="6" t="s">
        <v>37</v>
      </c>
      <c r="D5" s="6" t="s">
        <v>23</v>
      </c>
      <c r="E5" s="6" t="s">
        <v>23</v>
      </c>
      <c r="F5" s="6" t="s">
        <v>25</v>
      </c>
      <c r="G5" s="6">
        <v>1</v>
      </c>
      <c r="H5" s="6">
        <v>1</v>
      </c>
      <c r="I5" s="6">
        <v>0</v>
      </c>
      <c r="J5" s="6">
        <v>0</v>
      </c>
      <c r="K5" s="6">
        <v>0</v>
      </c>
      <c r="L5" s="7">
        <v>1096.169820027688</v>
      </c>
      <c r="M5" s="7">
        <f t="shared" si="0"/>
        <v>1096.169820027688</v>
      </c>
      <c r="N5" s="7"/>
      <c r="O5" s="7"/>
      <c r="P5" s="8">
        <f>גיליון2!O6</f>
        <v>1051</v>
      </c>
      <c r="Q5" s="9">
        <f>גיליון2!X6</f>
        <v>45697</v>
      </c>
      <c r="R5" s="10">
        <f>P5-M5</f>
        <v>-45.169820027688047</v>
      </c>
      <c r="S5" s="11">
        <v>45809</v>
      </c>
    </row>
    <row r="6" spans="1:20" ht="15" x14ac:dyDescent="0.2">
      <c r="A6" s="6" t="s">
        <v>35</v>
      </c>
      <c r="B6" s="6" t="s">
        <v>36</v>
      </c>
      <c r="C6" s="6" t="s">
        <v>37</v>
      </c>
      <c r="D6" s="6" t="s">
        <v>23</v>
      </c>
      <c r="E6" s="6" t="s">
        <v>23</v>
      </c>
      <c r="F6" s="6" t="s">
        <v>25</v>
      </c>
      <c r="G6" s="6">
        <v>1</v>
      </c>
      <c r="H6" s="6">
        <v>1</v>
      </c>
      <c r="I6" s="6">
        <v>0</v>
      </c>
      <c r="J6" s="6">
        <v>0</v>
      </c>
      <c r="K6" s="6">
        <v>0</v>
      </c>
      <c r="L6" s="7"/>
      <c r="M6" s="7"/>
      <c r="N6" s="7"/>
      <c r="O6" s="7">
        <f>גיליון2!S8</f>
        <v>422</v>
      </c>
      <c r="P6" s="8"/>
      <c r="Q6" s="9">
        <f>גיליון2!X8</f>
        <v>45775</v>
      </c>
      <c r="R6" s="10">
        <f>O6</f>
        <v>422</v>
      </c>
      <c r="S6" s="11">
        <v>45809</v>
      </c>
    </row>
    <row r="7" spans="1:20" ht="15" x14ac:dyDescent="0.2">
      <c r="A7" s="6" t="s">
        <v>38</v>
      </c>
      <c r="B7" s="6" t="s">
        <v>36</v>
      </c>
      <c r="C7" s="6" t="s">
        <v>37</v>
      </c>
      <c r="D7" s="6" t="s">
        <v>29</v>
      </c>
      <c r="E7" s="6" t="s">
        <v>39</v>
      </c>
      <c r="F7" s="6" t="s">
        <v>25</v>
      </c>
      <c r="G7" s="6">
        <v>5</v>
      </c>
      <c r="H7" s="6">
        <v>4</v>
      </c>
      <c r="I7" s="6">
        <v>0</v>
      </c>
      <c r="J7" s="6">
        <v>1</v>
      </c>
      <c r="K7" s="6">
        <v>0</v>
      </c>
      <c r="L7" s="7">
        <v>1096.169820027688</v>
      </c>
      <c r="M7" s="7">
        <f t="shared" si="0"/>
        <v>4384.6792801107522</v>
      </c>
      <c r="N7" s="7"/>
      <c r="O7" s="7"/>
      <c r="P7" s="8">
        <f>גיליון2!O7</f>
        <v>5257</v>
      </c>
      <c r="Q7" s="9">
        <f>גיליון2!X7</f>
        <v>45697</v>
      </c>
      <c r="R7" s="10">
        <f>P7-M7</f>
        <v>872.32071988924781</v>
      </c>
      <c r="S7" s="11">
        <v>45809</v>
      </c>
    </row>
    <row r="8" spans="1:20" ht="15" x14ac:dyDescent="0.2">
      <c r="A8" s="6" t="s">
        <v>40</v>
      </c>
      <c r="B8" s="6" t="s">
        <v>41</v>
      </c>
      <c r="C8" s="6" t="s">
        <v>22</v>
      </c>
      <c r="D8" s="6" t="s">
        <v>30</v>
      </c>
      <c r="E8" s="6" t="s">
        <v>34</v>
      </c>
      <c r="F8" s="6" t="s">
        <v>25</v>
      </c>
      <c r="G8" s="6">
        <v>9</v>
      </c>
      <c r="H8" s="6">
        <v>7</v>
      </c>
      <c r="I8" s="6">
        <v>1</v>
      </c>
      <c r="J8" s="6">
        <v>1</v>
      </c>
      <c r="K8" s="6">
        <v>0</v>
      </c>
      <c r="L8" s="7">
        <v>826.99584679280099</v>
      </c>
      <c r="M8" s="7">
        <f t="shared" si="0"/>
        <v>5788.970927549607</v>
      </c>
      <c r="N8" s="7"/>
      <c r="O8" s="7"/>
      <c r="P8" s="8">
        <f>גיליון2!O25</f>
        <v>6992</v>
      </c>
      <c r="Q8" s="9">
        <f>גיליון2!X25</f>
        <v>45700</v>
      </c>
      <c r="R8" s="10">
        <f>P8-M8</f>
        <v>1203.029072450393</v>
      </c>
      <c r="S8" s="11">
        <v>45717</v>
      </c>
      <c r="T8" t="s">
        <v>368</v>
      </c>
    </row>
    <row r="9" spans="1:20" ht="15" x14ac:dyDescent="0.2">
      <c r="A9" s="6" t="s">
        <v>42</v>
      </c>
      <c r="B9" s="6" t="s">
        <v>43</v>
      </c>
      <c r="C9" s="6" t="s">
        <v>22</v>
      </c>
      <c r="D9" s="6" t="s">
        <v>44</v>
      </c>
      <c r="E9" s="6" t="s">
        <v>44</v>
      </c>
      <c r="F9" s="6" t="s">
        <v>25</v>
      </c>
      <c r="G9" s="6">
        <v>1</v>
      </c>
      <c r="H9" s="6">
        <v>1</v>
      </c>
      <c r="I9" s="6">
        <v>0</v>
      </c>
      <c r="J9" s="6">
        <v>0</v>
      </c>
      <c r="K9" s="6">
        <v>0</v>
      </c>
      <c r="L9" s="7">
        <v>868.57406552838017</v>
      </c>
      <c r="M9" s="7">
        <f t="shared" si="0"/>
        <v>868.57406552838017</v>
      </c>
      <c r="N9" s="7"/>
      <c r="O9" s="7"/>
      <c r="P9" s="8">
        <f>גיליון2!O2</f>
        <v>1437</v>
      </c>
      <c r="Q9" s="9">
        <f>גיליון2!X2</f>
        <v>45697</v>
      </c>
      <c r="R9" s="10">
        <f>P9-(L9*G9)</f>
        <v>568.42593447161983</v>
      </c>
      <c r="S9" s="11">
        <v>45717</v>
      </c>
    </row>
    <row r="10" spans="1:20" ht="15" x14ac:dyDescent="0.2">
      <c r="A10" s="6" t="s">
        <v>42</v>
      </c>
      <c r="B10" s="6" t="s">
        <v>43</v>
      </c>
      <c r="C10" s="6" t="s">
        <v>22</v>
      </c>
      <c r="D10" s="6" t="s">
        <v>44</v>
      </c>
      <c r="E10" s="6" t="s">
        <v>44</v>
      </c>
      <c r="F10" s="6" t="s">
        <v>25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7"/>
      <c r="M10" s="7"/>
      <c r="N10" s="7"/>
      <c r="O10" s="7">
        <v>575</v>
      </c>
      <c r="P10" s="8"/>
      <c r="Q10" s="9">
        <v>45775</v>
      </c>
      <c r="R10" s="10">
        <f>O10</f>
        <v>575</v>
      </c>
      <c r="S10" s="11">
        <v>45809</v>
      </c>
    </row>
    <row r="11" spans="1:20" ht="15" x14ac:dyDescent="0.2">
      <c r="A11" s="6" t="s">
        <v>45</v>
      </c>
      <c r="B11" s="6" t="s">
        <v>43</v>
      </c>
      <c r="C11" s="6" t="s">
        <v>22</v>
      </c>
      <c r="D11" s="6" t="s">
        <v>46</v>
      </c>
      <c r="E11" s="6" t="s">
        <v>46</v>
      </c>
      <c r="F11" s="6" t="s">
        <v>25</v>
      </c>
      <c r="G11" s="6">
        <v>1</v>
      </c>
      <c r="H11" s="6">
        <v>1</v>
      </c>
      <c r="I11" s="6">
        <v>0</v>
      </c>
      <c r="J11" s="6">
        <v>0</v>
      </c>
      <c r="K11" s="6">
        <v>0</v>
      </c>
      <c r="L11" s="7">
        <v>868.57406552838017</v>
      </c>
      <c r="M11" s="7">
        <f>L11*H11</f>
        <v>868.57406552838017</v>
      </c>
      <c r="N11" s="7"/>
      <c r="O11" s="7"/>
      <c r="P11" s="8">
        <f>גיליון2!O3</f>
        <v>1437</v>
      </c>
      <c r="Q11" s="9">
        <f>גיליון2!X3</f>
        <v>45697</v>
      </c>
      <c r="R11" s="10">
        <f>P11-(L11*G11)</f>
        <v>568.42593447161983</v>
      </c>
      <c r="S11" s="11">
        <v>45717</v>
      </c>
    </row>
    <row r="12" spans="1:20" ht="15" x14ac:dyDescent="0.2">
      <c r="A12" s="6" t="s">
        <v>45</v>
      </c>
      <c r="B12" s="6" t="s">
        <v>43</v>
      </c>
      <c r="C12" s="6" t="s">
        <v>22</v>
      </c>
      <c r="D12" s="6" t="s">
        <v>46</v>
      </c>
      <c r="E12" s="6" t="s">
        <v>46</v>
      </c>
      <c r="F12" s="6" t="s">
        <v>25</v>
      </c>
      <c r="G12" s="6">
        <v>1</v>
      </c>
      <c r="H12" s="6">
        <v>1</v>
      </c>
      <c r="I12" s="6">
        <v>0</v>
      </c>
      <c r="J12" s="6">
        <v>0</v>
      </c>
      <c r="K12" s="6">
        <v>0</v>
      </c>
      <c r="L12" s="7"/>
      <c r="M12" s="7"/>
      <c r="N12" s="7"/>
      <c r="O12" s="7">
        <v>575</v>
      </c>
      <c r="P12" s="8"/>
      <c r="Q12" s="9">
        <v>45775</v>
      </c>
      <c r="R12" s="10">
        <f>O12</f>
        <v>575</v>
      </c>
      <c r="S12" s="11">
        <v>45809</v>
      </c>
    </row>
    <row r="13" spans="1:20" ht="15" x14ac:dyDescent="0.2">
      <c r="A13" s="6" t="s">
        <v>47</v>
      </c>
      <c r="B13" s="6" t="s">
        <v>48</v>
      </c>
      <c r="C13" s="6" t="s">
        <v>22</v>
      </c>
      <c r="D13" s="6" t="s">
        <v>49</v>
      </c>
      <c r="E13" s="6" t="s">
        <v>49</v>
      </c>
      <c r="F13" s="6" t="s">
        <v>25</v>
      </c>
      <c r="G13" s="6">
        <v>1</v>
      </c>
      <c r="H13" s="6">
        <v>1</v>
      </c>
      <c r="I13" s="6">
        <v>0</v>
      </c>
      <c r="J13" s="6">
        <v>0</v>
      </c>
      <c r="K13" s="6">
        <v>0</v>
      </c>
      <c r="L13" s="7">
        <f>(17000+1265+1885)/21.67</f>
        <v>929.85694508537142</v>
      </c>
      <c r="M13" s="7">
        <f>L13*H13</f>
        <v>929.85694508537142</v>
      </c>
      <c r="N13" s="7"/>
      <c r="O13" s="7"/>
      <c r="P13" s="8">
        <f>גיליון2!O11</f>
        <v>763</v>
      </c>
      <c r="Q13" s="9">
        <f>גיליון2!X11</f>
        <v>45708</v>
      </c>
      <c r="R13">
        <f>P13-(L13*H13)</f>
        <v>-166.85694508537142</v>
      </c>
      <c r="S13" s="11">
        <v>45717</v>
      </c>
    </row>
    <row r="14" spans="1:20" ht="15" x14ac:dyDescent="0.2">
      <c r="A14" s="6" t="s">
        <v>47</v>
      </c>
      <c r="B14" s="6" t="s">
        <v>48</v>
      </c>
      <c r="C14" s="6" t="s">
        <v>22</v>
      </c>
      <c r="D14" s="6" t="s">
        <v>49</v>
      </c>
      <c r="E14" s="6" t="s">
        <v>49</v>
      </c>
      <c r="F14" s="6" t="s">
        <v>25</v>
      </c>
      <c r="G14" s="6">
        <v>1</v>
      </c>
      <c r="H14" s="6">
        <v>1</v>
      </c>
      <c r="I14" s="6">
        <v>0</v>
      </c>
      <c r="J14" s="6">
        <v>0</v>
      </c>
      <c r="K14" s="6">
        <v>0</v>
      </c>
      <c r="L14" s="7">
        <f>(17000+1265+1885)/21.67</f>
        <v>929.85694508537142</v>
      </c>
      <c r="M14" s="7"/>
      <c r="N14" s="7"/>
      <c r="O14" s="7">
        <v>305</v>
      </c>
      <c r="P14" s="8"/>
      <c r="Q14" s="9">
        <v>45775</v>
      </c>
      <c r="R14" s="10">
        <f>O14</f>
        <v>305</v>
      </c>
      <c r="S14" s="11">
        <v>45809</v>
      </c>
    </row>
    <row r="15" spans="1:20" ht="15" x14ac:dyDescent="0.2">
      <c r="A15" s="6" t="s">
        <v>50</v>
      </c>
      <c r="B15" s="6" t="s">
        <v>48</v>
      </c>
      <c r="C15" s="6" t="s">
        <v>22</v>
      </c>
      <c r="D15" s="6" t="s">
        <v>51</v>
      </c>
      <c r="E15" s="6" t="s">
        <v>34</v>
      </c>
      <c r="F15" s="6" t="s">
        <v>25</v>
      </c>
      <c r="G15" s="6">
        <v>2</v>
      </c>
      <c r="H15" s="6">
        <v>2</v>
      </c>
      <c r="I15" s="6">
        <v>0</v>
      </c>
      <c r="J15" s="6">
        <v>0</v>
      </c>
      <c r="K15" s="6">
        <v>0</v>
      </c>
      <c r="L15" s="7">
        <v>929.85694508537142</v>
      </c>
      <c r="M15" s="7">
        <f>L15*H15</f>
        <v>1859.7138901707428</v>
      </c>
      <c r="N15" s="7"/>
      <c r="O15" s="7"/>
      <c r="P15" s="8">
        <f>גיליון2!O10</f>
        <v>2137</v>
      </c>
      <c r="Q15" s="9">
        <f>גיליון2!X10</f>
        <v>45700</v>
      </c>
      <c r="R15">
        <f>P15-(L15*H15)</f>
        <v>277.28610982925716</v>
      </c>
      <c r="S15" s="11">
        <v>45717</v>
      </c>
    </row>
    <row r="16" spans="1:20" ht="15" x14ac:dyDescent="0.2">
      <c r="A16" s="6" t="s">
        <v>52</v>
      </c>
      <c r="B16" s="6" t="s">
        <v>53</v>
      </c>
      <c r="C16" s="6" t="s">
        <v>37</v>
      </c>
      <c r="D16" s="6" t="s">
        <v>23</v>
      </c>
      <c r="E16" s="12">
        <v>45660</v>
      </c>
      <c r="F16" s="6" t="s">
        <v>25</v>
      </c>
      <c r="G16" s="6">
        <v>3</v>
      </c>
      <c r="H16" s="6">
        <v>3</v>
      </c>
      <c r="I16" s="6">
        <v>0</v>
      </c>
      <c r="J16" s="6">
        <v>0</v>
      </c>
      <c r="K16" s="6">
        <v>0</v>
      </c>
      <c r="L16" s="7">
        <v>914.85925242270412</v>
      </c>
      <c r="M16" s="7">
        <f>L16*H16</f>
        <v>2744.5777572681122</v>
      </c>
      <c r="N16" s="7"/>
      <c r="O16" s="7"/>
      <c r="P16" s="8">
        <f>גיליון2!O23</f>
        <v>2206</v>
      </c>
      <c r="Q16" s="9">
        <f>גיליון2!X13</f>
        <v>45697</v>
      </c>
      <c r="R16">
        <f t="shared" ref="R16:R22" si="1">P16-(L16*H16)</f>
        <v>-538.57775726811224</v>
      </c>
      <c r="T16" t="s">
        <v>367</v>
      </c>
    </row>
    <row r="17" spans="1:20" ht="15" x14ac:dyDescent="0.2">
      <c r="A17" s="6" t="s">
        <v>54</v>
      </c>
      <c r="B17" s="6" t="s">
        <v>53</v>
      </c>
      <c r="C17" s="6" t="s">
        <v>37</v>
      </c>
      <c r="D17" s="6" t="s">
        <v>55</v>
      </c>
      <c r="E17" s="6" t="s">
        <v>56</v>
      </c>
      <c r="F17" s="6" t="s">
        <v>25</v>
      </c>
      <c r="G17" s="6">
        <v>7</v>
      </c>
      <c r="H17" s="6">
        <v>5</v>
      </c>
      <c r="I17" s="6">
        <v>1</v>
      </c>
      <c r="J17" s="6">
        <v>1</v>
      </c>
      <c r="K17" s="6">
        <v>0</v>
      </c>
      <c r="L17" s="7">
        <v>914.85925242270412</v>
      </c>
      <c r="M17" s="7">
        <f>L17*H17</f>
        <v>4574.2962621135202</v>
      </c>
      <c r="N17" s="7"/>
      <c r="O17" s="7"/>
      <c r="P17" s="8">
        <f>SUM(גיליון2!O13:O16)</f>
        <v>7809</v>
      </c>
      <c r="Q17" s="9">
        <f>גיליון2!X14</f>
        <v>45697</v>
      </c>
      <c r="R17">
        <f t="shared" si="1"/>
        <v>3234.7037378864798</v>
      </c>
      <c r="T17" t="s">
        <v>367</v>
      </c>
    </row>
    <row r="18" spans="1:20" ht="15" x14ac:dyDescent="0.2">
      <c r="A18" s="6" t="s">
        <v>57</v>
      </c>
      <c r="B18" s="6" t="s">
        <v>53</v>
      </c>
      <c r="C18" s="6" t="s">
        <v>37</v>
      </c>
      <c r="D18" s="6" t="s">
        <v>58</v>
      </c>
      <c r="E18" s="6" t="s">
        <v>59</v>
      </c>
      <c r="F18" s="6" t="s">
        <v>25</v>
      </c>
      <c r="G18" s="6">
        <v>4</v>
      </c>
      <c r="H18" s="6">
        <v>4</v>
      </c>
      <c r="I18" s="6">
        <v>0</v>
      </c>
      <c r="J18" s="6">
        <v>0</v>
      </c>
      <c r="K18" s="6">
        <v>0</v>
      </c>
      <c r="L18" s="7">
        <v>914.85925242270412</v>
      </c>
      <c r="M18" s="7">
        <f>L18*H18</f>
        <v>3659.4370096908165</v>
      </c>
      <c r="N18" s="7"/>
      <c r="O18" s="7"/>
      <c r="P18" s="8">
        <f>גיליון2!O17+גיליון2!O18</f>
        <v>4462</v>
      </c>
      <c r="Q18" s="9">
        <f>גיליון2!X15</f>
        <v>45697</v>
      </c>
      <c r="R18">
        <f t="shared" si="1"/>
        <v>802.56299030918353</v>
      </c>
      <c r="T18" t="s">
        <v>367</v>
      </c>
    </row>
    <row r="19" spans="1:20" ht="15" x14ac:dyDescent="0.2">
      <c r="A19" s="6" t="s">
        <v>57</v>
      </c>
      <c r="B19" s="6" t="s">
        <v>53</v>
      </c>
      <c r="C19" s="6" t="s">
        <v>37</v>
      </c>
      <c r="D19" s="6" t="s">
        <v>58</v>
      </c>
      <c r="E19" s="6" t="s">
        <v>59</v>
      </c>
      <c r="F19" s="6" t="s">
        <v>25</v>
      </c>
      <c r="G19" s="6">
        <v>4</v>
      </c>
      <c r="H19" s="6">
        <v>4</v>
      </c>
      <c r="I19" s="6">
        <v>0</v>
      </c>
      <c r="J19" s="6">
        <v>0</v>
      </c>
      <c r="K19" s="6">
        <v>0</v>
      </c>
      <c r="L19" s="7"/>
      <c r="M19" s="7"/>
      <c r="N19" s="7"/>
      <c r="O19" s="7">
        <v>1785</v>
      </c>
      <c r="P19" s="8"/>
      <c r="Q19" s="9">
        <v>45775</v>
      </c>
      <c r="R19" s="10">
        <f>O19</f>
        <v>1785</v>
      </c>
      <c r="T19" t="s">
        <v>367</v>
      </c>
    </row>
    <row r="20" spans="1:20" ht="15" x14ac:dyDescent="0.2">
      <c r="A20" s="6" t="s">
        <v>60</v>
      </c>
      <c r="B20" s="6" t="s">
        <v>53</v>
      </c>
      <c r="C20" s="6" t="s">
        <v>37</v>
      </c>
      <c r="D20" s="6" t="s">
        <v>61</v>
      </c>
      <c r="E20" s="6" t="s">
        <v>61</v>
      </c>
      <c r="F20" s="6" t="s">
        <v>25</v>
      </c>
      <c r="G20" s="6">
        <v>1</v>
      </c>
      <c r="H20" s="6">
        <v>1</v>
      </c>
      <c r="I20" s="6">
        <v>0</v>
      </c>
      <c r="J20" s="6">
        <v>0</v>
      </c>
      <c r="K20" s="6">
        <v>0</v>
      </c>
      <c r="L20" s="7">
        <v>914.85925242270412</v>
      </c>
      <c r="M20" s="7">
        <f>L20*H20</f>
        <v>914.85925242270412</v>
      </c>
      <c r="N20" s="7"/>
      <c r="O20" s="7"/>
      <c r="P20" s="8">
        <f>גיליון2!O19</f>
        <v>1116</v>
      </c>
      <c r="Q20" s="9">
        <f>גיליון2!X19</f>
        <v>45697</v>
      </c>
      <c r="R20">
        <f t="shared" si="1"/>
        <v>201.14074757729588</v>
      </c>
      <c r="T20" t="s">
        <v>367</v>
      </c>
    </row>
    <row r="21" spans="1:20" ht="15" x14ac:dyDescent="0.2">
      <c r="A21" s="6" t="s">
        <v>60</v>
      </c>
      <c r="B21" s="6" t="s">
        <v>53</v>
      </c>
      <c r="C21" s="6" t="s">
        <v>37</v>
      </c>
      <c r="D21" s="6" t="s">
        <v>61</v>
      </c>
      <c r="E21" s="6" t="s">
        <v>61</v>
      </c>
      <c r="F21" s="6" t="s">
        <v>25</v>
      </c>
      <c r="G21" s="6">
        <v>1</v>
      </c>
      <c r="H21" s="6">
        <v>1</v>
      </c>
      <c r="I21" s="6">
        <v>0</v>
      </c>
      <c r="J21" s="6">
        <v>0</v>
      </c>
      <c r="K21" s="6">
        <v>0</v>
      </c>
      <c r="L21" s="7"/>
      <c r="M21" s="7"/>
      <c r="N21" s="7"/>
      <c r="O21" s="7">
        <v>446</v>
      </c>
      <c r="P21" s="8"/>
      <c r="Q21" s="9">
        <v>45775</v>
      </c>
      <c r="T21" t="s">
        <v>367</v>
      </c>
    </row>
    <row r="22" spans="1:20" ht="15" x14ac:dyDescent="0.2">
      <c r="A22" s="6" t="s">
        <v>62</v>
      </c>
      <c r="B22" s="6" t="s">
        <v>53</v>
      </c>
      <c r="C22" s="6" t="s">
        <v>37</v>
      </c>
      <c r="D22" s="6" t="s">
        <v>63</v>
      </c>
      <c r="E22" s="6" t="s">
        <v>33</v>
      </c>
      <c r="F22" s="6" t="s">
        <v>25</v>
      </c>
      <c r="G22" s="6">
        <v>3</v>
      </c>
      <c r="H22" s="6">
        <v>1</v>
      </c>
      <c r="I22" s="6">
        <v>1</v>
      </c>
      <c r="J22" s="6">
        <v>1</v>
      </c>
      <c r="K22" s="6">
        <v>0</v>
      </c>
      <c r="L22" s="7">
        <v>914.85925242270412</v>
      </c>
      <c r="M22" s="7">
        <f t="shared" ref="M22:M28" si="2">L22*H22</f>
        <v>914.85925242270412</v>
      </c>
      <c r="N22" s="7"/>
      <c r="O22" s="7"/>
      <c r="P22" s="8">
        <f>גיליון2!O20</f>
        <v>1116</v>
      </c>
      <c r="Q22" s="9">
        <f>גיליון2!X21</f>
        <v>45775</v>
      </c>
      <c r="R22">
        <f t="shared" si="1"/>
        <v>201.14074757729588</v>
      </c>
      <c r="T22" t="s">
        <v>367</v>
      </c>
    </row>
    <row r="23" spans="1:20" ht="15" x14ac:dyDescent="0.2">
      <c r="A23" s="6" t="s">
        <v>64</v>
      </c>
      <c r="B23" s="6" t="s">
        <v>65</v>
      </c>
      <c r="C23" s="6" t="s">
        <v>37</v>
      </c>
      <c r="D23" s="6" t="s">
        <v>66</v>
      </c>
      <c r="E23" s="6" t="s">
        <v>66</v>
      </c>
      <c r="F23" s="6" t="s">
        <v>67</v>
      </c>
      <c r="G23" s="6">
        <v>1</v>
      </c>
      <c r="H23" s="6">
        <v>1</v>
      </c>
      <c r="I23" s="6">
        <v>0</v>
      </c>
      <c r="J23" s="6">
        <v>0</v>
      </c>
      <c r="K23" s="6">
        <v>0</v>
      </c>
      <c r="L23" s="7">
        <v>1282.464236271343</v>
      </c>
      <c r="M23" s="7">
        <f t="shared" si="2"/>
        <v>1282.464236271343</v>
      </c>
      <c r="N23" s="7">
        <v>256.49284725426861</v>
      </c>
      <c r="O23" s="7"/>
      <c r="P23" s="8"/>
    </row>
    <row r="24" spans="1:20" ht="15" x14ac:dyDescent="0.2">
      <c r="A24" s="6" t="s">
        <v>68</v>
      </c>
      <c r="B24" s="6" t="s">
        <v>65</v>
      </c>
      <c r="C24" s="6" t="s">
        <v>37</v>
      </c>
      <c r="D24" s="6" t="s">
        <v>69</v>
      </c>
      <c r="E24" s="6" t="s">
        <v>69</v>
      </c>
      <c r="F24" s="6" t="s">
        <v>67</v>
      </c>
      <c r="G24" s="6">
        <v>1</v>
      </c>
      <c r="H24" s="6">
        <v>0</v>
      </c>
      <c r="I24" s="6">
        <v>0</v>
      </c>
      <c r="J24" s="6">
        <v>1</v>
      </c>
      <c r="K24" s="6">
        <v>0</v>
      </c>
      <c r="L24" s="7">
        <v>1282.464236271343</v>
      </c>
      <c r="M24" s="7">
        <f t="shared" si="2"/>
        <v>0</v>
      </c>
      <c r="N24" s="7">
        <v>0</v>
      </c>
      <c r="O24" s="7"/>
      <c r="P24" s="8"/>
    </row>
    <row r="25" spans="1:20" ht="15" x14ac:dyDescent="0.2">
      <c r="A25" s="6" t="s">
        <v>38</v>
      </c>
      <c r="B25" s="6" t="s">
        <v>36</v>
      </c>
      <c r="C25" s="6" t="s">
        <v>37</v>
      </c>
      <c r="D25" s="6" t="s">
        <v>29</v>
      </c>
      <c r="E25" s="6" t="s">
        <v>39</v>
      </c>
      <c r="F25" s="6" t="s">
        <v>25</v>
      </c>
      <c r="G25" s="6">
        <v>5</v>
      </c>
      <c r="H25" s="6">
        <v>4</v>
      </c>
      <c r="I25" s="6">
        <v>0</v>
      </c>
      <c r="J25" s="6">
        <v>1</v>
      </c>
      <c r="K25" s="6">
        <v>0</v>
      </c>
      <c r="L25" s="7"/>
      <c r="M25" s="7"/>
      <c r="N25" s="7"/>
      <c r="O25" s="7">
        <f>גיליון2!S9</f>
        <v>2115</v>
      </c>
      <c r="P25" s="8"/>
      <c r="Q25" s="9">
        <f>גיליון2!X9</f>
        <v>45775</v>
      </c>
      <c r="R25" s="10">
        <f>O25</f>
        <v>2115</v>
      </c>
      <c r="S25" s="11">
        <v>45809</v>
      </c>
    </row>
    <row r="26" spans="1:20" ht="15" x14ac:dyDescent="0.2">
      <c r="A26" s="27" t="s">
        <v>70</v>
      </c>
      <c r="B26" s="27" t="s">
        <v>36</v>
      </c>
      <c r="C26" s="27" t="s">
        <v>37</v>
      </c>
      <c r="D26" s="27" t="s">
        <v>71</v>
      </c>
      <c r="E26" s="27" t="s">
        <v>71</v>
      </c>
      <c r="F26" s="27" t="s">
        <v>67</v>
      </c>
      <c r="G26" s="27">
        <v>1</v>
      </c>
      <c r="H26" s="27">
        <v>1</v>
      </c>
      <c r="I26" s="27">
        <v>0</v>
      </c>
      <c r="J26" s="27">
        <v>0</v>
      </c>
      <c r="K26" s="27">
        <v>0</v>
      </c>
      <c r="L26" s="28">
        <v>1096.169820027688</v>
      </c>
      <c r="M26" s="28">
        <f t="shared" si="2"/>
        <v>1096.169820027688</v>
      </c>
      <c r="N26" s="28"/>
      <c r="O26" s="28"/>
      <c r="P26" s="29">
        <f>גיליון2!O30</f>
        <v>1174</v>
      </c>
      <c r="Q26" s="30">
        <f>גיליון2!X30</f>
        <v>45770</v>
      </c>
      <c r="R26" s="31">
        <f t="shared" ref="R26:R28" si="3">P26-M26</f>
        <v>77.830179972311953</v>
      </c>
    </row>
    <row r="27" spans="1:20" ht="15" x14ac:dyDescent="0.2">
      <c r="A27" s="27" t="s">
        <v>72</v>
      </c>
      <c r="B27" s="27" t="s">
        <v>36</v>
      </c>
      <c r="C27" s="27" t="s">
        <v>37</v>
      </c>
      <c r="D27" s="27" t="s">
        <v>73</v>
      </c>
      <c r="E27" s="27" t="s">
        <v>74</v>
      </c>
      <c r="F27" s="27" t="s">
        <v>67</v>
      </c>
      <c r="G27" s="27">
        <v>2</v>
      </c>
      <c r="H27" s="27">
        <v>2</v>
      </c>
      <c r="I27" s="27">
        <v>0</v>
      </c>
      <c r="J27" s="27">
        <v>0</v>
      </c>
      <c r="K27" s="27">
        <v>0</v>
      </c>
      <c r="L27" s="28">
        <v>1096.169820027688</v>
      </c>
      <c r="M27" s="28">
        <f t="shared" si="2"/>
        <v>2192.3396400553761</v>
      </c>
      <c r="N27" s="28"/>
      <c r="O27" s="28"/>
      <c r="P27" s="29">
        <f>גיליון2!O31</f>
        <v>3287</v>
      </c>
      <c r="Q27" s="30">
        <f>גיליון2!X31</f>
        <v>45770</v>
      </c>
      <c r="R27" s="31">
        <f t="shared" si="3"/>
        <v>1094.6603599446239</v>
      </c>
    </row>
    <row r="28" spans="1:20" ht="15" x14ac:dyDescent="0.2">
      <c r="A28" s="27" t="s">
        <v>75</v>
      </c>
      <c r="B28" s="27" t="s">
        <v>36</v>
      </c>
      <c r="C28" s="27" t="s">
        <v>37</v>
      </c>
      <c r="D28" s="27" t="s">
        <v>76</v>
      </c>
      <c r="E28" s="27" t="s">
        <v>76</v>
      </c>
      <c r="F28" s="27" t="s">
        <v>67</v>
      </c>
      <c r="G28" s="27">
        <v>1</v>
      </c>
      <c r="H28" s="27">
        <v>1</v>
      </c>
      <c r="I28" s="27">
        <v>0</v>
      </c>
      <c r="J28" s="27">
        <v>0</v>
      </c>
      <c r="K28" s="27">
        <v>0</v>
      </c>
      <c r="L28" s="28">
        <v>1096.169820027688</v>
      </c>
      <c r="M28" s="28">
        <f t="shared" si="2"/>
        <v>1096.169820027688</v>
      </c>
      <c r="N28" s="28"/>
      <c r="O28" s="28"/>
      <c r="P28" s="29">
        <f>גיליון2!O32</f>
        <v>1174</v>
      </c>
      <c r="Q28" s="30">
        <f>גיליון2!X32</f>
        <v>45770</v>
      </c>
      <c r="R28" s="31">
        <f t="shared" si="3"/>
        <v>77.830179972311953</v>
      </c>
    </row>
    <row r="29" spans="1:20" ht="15" x14ac:dyDescent="0.2">
      <c r="A29" s="27" t="s">
        <v>77</v>
      </c>
      <c r="B29" s="27" t="s">
        <v>43</v>
      </c>
      <c r="C29" s="27" t="s">
        <v>22</v>
      </c>
      <c r="D29" s="27" t="s">
        <v>78</v>
      </c>
      <c r="E29" s="27" t="s">
        <v>79</v>
      </c>
      <c r="F29" s="27" t="s">
        <v>67</v>
      </c>
      <c r="G29" s="27">
        <v>5</v>
      </c>
      <c r="H29" s="27">
        <v>5</v>
      </c>
      <c r="I29" s="27">
        <v>0</v>
      </c>
      <c r="J29" s="27">
        <v>0</v>
      </c>
      <c r="K29" s="27">
        <v>0</v>
      </c>
      <c r="L29" s="28">
        <v>868.57406552838017</v>
      </c>
      <c r="M29" s="28">
        <f>L29*H29</f>
        <v>4342.870327641901</v>
      </c>
      <c r="N29" s="28"/>
      <c r="O29" s="28"/>
      <c r="P29" s="29">
        <f>גיליון2!O27</f>
        <v>7184</v>
      </c>
      <c r="Q29" s="30">
        <f>גיליון2!X27</f>
        <v>45770</v>
      </c>
      <c r="R29" s="31">
        <f>P29-(L29*G29)</f>
        <v>2841.129672358099</v>
      </c>
    </row>
    <row r="30" spans="1:20" ht="15" x14ac:dyDescent="0.2">
      <c r="A30" s="6" t="s">
        <v>80</v>
      </c>
      <c r="B30" s="6" t="s">
        <v>48</v>
      </c>
      <c r="C30" s="6" t="s">
        <v>22</v>
      </c>
      <c r="D30" s="6" t="s">
        <v>69</v>
      </c>
      <c r="E30" s="6" t="s">
        <v>69</v>
      </c>
      <c r="F30" s="6" t="s">
        <v>67</v>
      </c>
      <c r="G30" s="6">
        <v>1</v>
      </c>
      <c r="H30" s="6">
        <v>0</v>
      </c>
      <c r="I30" s="6">
        <v>0</v>
      </c>
      <c r="J30" s="6">
        <v>1</v>
      </c>
      <c r="K30" s="6">
        <v>0</v>
      </c>
      <c r="L30" s="7">
        <v>929.85694508537142</v>
      </c>
      <c r="M30" s="7">
        <f t="shared" ref="M30:M38" si="4">L30*H30</f>
        <v>0</v>
      </c>
      <c r="N30" s="7"/>
      <c r="O30" s="7"/>
      <c r="P30" s="8"/>
    </row>
    <row r="31" spans="1:20" ht="15" x14ac:dyDescent="0.2">
      <c r="A31" s="6" t="s">
        <v>81</v>
      </c>
      <c r="B31" s="6" t="s">
        <v>48</v>
      </c>
      <c r="C31" s="6" t="s">
        <v>22</v>
      </c>
      <c r="D31" s="6" t="s">
        <v>76</v>
      </c>
      <c r="E31" s="6" t="s">
        <v>76</v>
      </c>
      <c r="F31" s="6" t="s">
        <v>67</v>
      </c>
      <c r="G31" s="6">
        <v>1</v>
      </c>
      <c r="H31" s="6">
        <v>1</v>
      </c>
      <c r="I31" s="6">
        <v>0</v>
      </c>
      <c r="J31" s="6">
        <v>0</v>
      </c>
      <c r="K31" s="6">
        <v>0</v>
      </c>
      <c r="L31" s="7">
        <v>929.85694508537142</v>
      </c>
      <c r="M31" s="7">
        <f t="shared" si="4"/>
        <v>929.85694508537142</v>
      </c>
      <c r="N31" s="7"/>
      <c r="O31" s="7"/>
      <c r="P31" s="8"/>
    </row>
    <row r="32" spans="1:20" ht="15" x14ac:dyDescent="0.2">
      <c r="A32" s="6" t="s">
        <v>82</v>
      </c>
      <c r="B32" s="6" t="s">
        <v>53</v>
      </c>
      <c r="C32" s="6" t="s">
        <v>37</v>
      </c>
      <c r="D32" s="6" t="s">
        <v>71</v>
      </c>
      <c r="E32" s="6" t="s">
        <v>83</v>
      </c>
      <c r="F32" s="6" t="s">
        <v>67</v>
      </c>
      <c r="G32" s="6">
        <v>2</v>
      </c>
      <c r="H32" s="6">
        <v>2</v>
      </c>
      <c r="I32" s="6">
        <v>0</v>
      </c>
      <c r="J32" s="6">
        <v>0</v>
      </c>
      <c r="K32" s="6">
        <v>0</v>
      </c>
      <c r="L32" s="7">
        <v>914.85925242270412</v>
      </c>
      <c r="M32" s="7">
        <f t="shared" si="4"/>
        <v>1829.7185048454082</v>
      </c>
      <c r="N32" s="7"/>
      <c r="O32" s="7"/>
      <c r="P32" s="8"/>
    </row>
    <row r="33" spans="1:20" ht="15" x14ac:dyDescent="0.2">
      <c r="A33" s="6" t="s">
        <v>84</v>
      </c>
      <c r="B33" s="6" t="s">
        <v>53</v>
      </c>
      <c r="C33" s="6" t="s">
        <v>37</v>
      </c>
      <c r="D33" s="6" t="s">
        <v>85</v>
      </c>
      <c r="E33" s="6" t="s">
        <v>85</v>
      </c>
      <c r="F33" s="6" t="s">
        <v>67</v>
      </c>
      <c r="G33" s="6">
        <v>1</v>
      </c>
      <c r="H33" s="6">
        <v>1</v>
      </c>
      <c r="I33" s="6">
        <v>0</v>
      </c>
      <c r="J33" s="6">
        <v>0</v>
      </c>
      <c r="K33" s="6">
        <v>0</v>
      </c>
      <c r="L33" s="7">
        <v>914.85925242270412</v>
      </c>
      <c r="M33" s="7">
        <f t="shared" si="4"/>
        <v>914.85925242270412</v>
      </c>
      <c r="N33" s="7"/>
      <c r="O33" s="7"/>
      <c r="P33" s="8"/>
    </row>
    <row r="34" spans="1:20" ht="15" x14ac:dyDescent="0.2">
      <c r="A34" s="6" t="s">
        <v>86</v>
      </c>
      <c r="B34" s="6" t="s">
        <v>53</v>
      </c>
      <c r="C34" s="6" t="s">
        <v>37</v>
      </c>
      <c r="D34" s="6" t="s">
        <v>87</v>
      </c>
      <c r="E34" s="6" t="s">
        <v>73</v>
      </c>
      <c r="F34" s="6" t="s">
        <v>67</v>
      </c>
      <c r="G34" s="6">
        <v>2</v>
      </c>
      <c r="H34" s="6">
        <v>2</v>
      </c>
      <c r="I34" s="6">
        <v>0</v>
      </c>
      <c r="J34" s="6">
        <v>0</v>
      </c>
      <c r="K34" s="6">
        <v>0</v>
      </c>
      <c r="L34" s="7">
        <v>914.85925242270412</v>
      </c>
      <c r="M34" s="7">
        <f t="shared" si="4"/>
        <v>1829.7185048454082</v>
      </c>
      <c r="N34" s="7"/>
      <c r="O34" s="7"/>
      <c r="P34" s="8"/>
    </row>
    <row r="35" spans="1:20" ht="15" x14ac:dyDescent="0.2">
      <c r="A35" s="6" t="s">
        <v>88</v>
      </c>
      <c r="B35" s="6" t="s">
        <v>53</v>
      </c>
      <c r="C35" s="6" t="s">
        <v>37</v>
      </c>
      <c r="D35" s="6" t="s">
        <v>78</v>
      </c>
      <c r="E35" s="6" t="s">
        <v>89</v>
      </c>
      <c r="F35" s="6" t="s">
        <v>67</v>
      </c>
      <c r="G35" s="6">
        <v>2</v>
      </c>
      <c r="H35" s="6">
        <v>2</v>
      </c>
      <c r="I35" s="6">
        <v>0</v>
      </c>
      <c r="J35" s="6">
        <v>0</v>
      </c>
      <c r="K35" s="6">
        <v>0</v>
      </c>
      <c r="L35" s="7">
        <v>914.85925242270412</v>
      </c>
      <c r="M35" s="7">
        <f t="shared" si="4"/>
        <v>1829.7185048454082</v>
      </c>
      <c r="N35" s="7"/>
      <c r="O35" s="7"/>
      <c r="P35" s="8"/>
    </row>
    <row r="36" spans="1:20" ht="15" x14ac:dyDescent="0.2">
      <c r="A36" s="6" t="s">
        <v>90</v>
      </c>
      <c r="B36" s="6" t="s">
        <v>91</v>
      </c>
      <c r="C36" s="6" t="s">
        <v>22</v>
      </c>
      <c r="D36" s="6" t="s">
        <v>92</v>
      </c>
      <c r="E36" s="6" t="s">
        <v>92</v>
      </c>
      <c r="F36" s="6" t="s">
        <v>93</v>
      </c>
      <c r="G36" s="6">
        <v>1</v>
      </c>
      <c r="H36" s="6">
        <v>1</v>
      </c>
      <c r="I36" s="6">
        <v>0</v>
      </c>
      <c r="J36" s="6">
        <v>0</v>
      </c>
      <c r="K36" s="6">
        <v>0</v>
      </c>
      <c r="L36" s="7">
        <v>863.72865712967234</v>
      </c>
      <c r="M36" s="7">
        <f t="shared" si="4"/>
        <v>863.72865712967234</v>
      </c>
      <c r="N36" s="7">
        <v>172.74573142593451</v>
      </c>
      <c r="O36" s="7"/>
      <c r="P36" s="8"/>
    </row>
    <row r="37" spans="1:20" ht="15" x14ac:dyDescent="0.2">
      <c r="A37" s="6" t="s">
        <v>94</v>
      </c>
      <c r="B37" s="6" t="s">
        <v>27</v>
      </c>
      <c r="C37" s="6" t="s">
        <v>28</v>
      </c>
      <c r="D37" s="6" t="s">
        <v>95</v>
      </c>
      <c r="E37" s="6" t="s">
        <v>96</v>
      </c>
      <c r="F37" s="6" t="s">
        <v>93</v>
      </c>
      <c r="G37" s="6">
        <v>4</v>
      </c>
      <c r="H37" s="6">
        <v>3</v>
      </c>
      <c r="I37" s="6">
        <v>0</v>
      </c>
      <c r="J37" s="6">
        <v>1</v>
      </c>
      <c r="K37" s="6">
        <v>0</v>
      </c>
      <c r="L37" s="7">
        <v>868.85094600830632</v>
      </c>
      <c r="M37" s="7">
        <f t="shared" si="4"/>
        <v>2606.5528380249189</v>
      </c>
      <c r="N37" s="7">
        <v>521.31056760498382</v>
      </c>
      <c r="O37" s="7"/>
      <c r="P37" s="8"/>
    </row>
    <row r="38" spans="1:20" ht="15" x14ac:dyDescent="0.2">
      <c r="A38" s="27" t="s">
        <v>97</v>
      </c>
      <c r="B38" s="27" t="s">
        <v>36</v>
      </c>
      <c r="C38" s="27" t="s">
        <v>37</v>
      </c>
      <c r="D38" s="27" t="s">
        <v>98</v>
      </c>
      <c r="E38" s="27" t="s">
        <v>98</v>
      </c>
      <c r="F38" s="27" t="s">
        <v>93</v>
      </c>
      <c r="G38" s="27">
        <v>1</v>
      </c>
      <c r="H38" s="27">
        <v>1</v>
      </c>
      <c r="I38" s="27">
        <v>0</v>
      </c>
      <c r="J38" s="27">
        <v>0</v>
      </c>
      <c r="K38" s="27">
        <v>0</v>
      </c>
      <c r="L38" s="28">
        <v>1096.169820027688</v>
      </c>
      <c r="M38" s="28">
        <f t="shared" si="4"/>
        <v>1096.169820027688</v>
      </c>
      <c r="N38" s="28"/>
      <c r="O38" s="28"/>
      <c r="P38" s="29">
        <f>גיליון2!O33</f>
        <v>1233</v>
      </c>
      <c r="Q38" s="30">
        <f>גיליון2!X33</f>
        <v>45770</v>
      </c>
      <c r="R38" s="31">
        <f t="shared" ref="R38:R40" si="5">P38-M38</f>
        <v>136.83017997231195</v>
      </c>
    </row>
    <row r="39" spans="1:20" ht="15" x14ac:dyDescent="0.2">
      <c r="A39" s="27" t="s">
        <v>99</v>
      </c>
      <c r="B39" s="27" t="s">
        <v>36</v>
      </c>
      <c r="C39" s="27" t="s">
        <v>37</v>
      </c>
      <c r="D39" s="27" t="s">
        <v>100</v>
      </c>
      <c r="E39" s="37">
        <v>45735</v>
      </c>
      <c r="F39" s="27" t="s">
        <v>93</v>
      </c>
      <c r="G39" s="27">
        <v>3</v>
      </c>
      <c r="H39" s="27">
        <v>3</v>
      </c>
      <c r="I39" s="27">
        <v>0</v>
      </c>
      <c r="J39" s="27">
        <v>0</v>
      </c>
      <c r="K39" s="27">
        <v>0</v>
      </c>
      <c r="L39" s="28">
        <v>1096.169820027688</v>
      </c>
      <c r="M39" s="28">
        <f>L39*H39</f>
        <v>3288.5094600830644</v>
      </c>
      <c r="N39" s="28"/>
      <c r="O39" s="28"/>
      <c r="P39" s="29">
        <f>גיליון2!O34+גיליון2!O35</f>
        <v>3699</v>
      </c>
      <c r="Q39" s="30">
        <f>גיליון2!X33</f>
        <v>45770</v>
      </c>
      <c r="R39" s="31">
        <f t="shared" si="5"/>
        <v>410.49053991693563</v>
      </c>
    </row>
    <row r="40" spans="1:20" ht="15" x14ac:dyDescent="0.2">
      <c r="A40" s="27" t="s">
        <v>101</v>
      </c>
      <c r="B40" s="27" t="s">
        <v>36</v>
      </c>
      <c r="C40" s="27" t="s">
        <v>37</v>
      </c>
      <c r="D40" s="27" t="s">
        <v>102</v>
      </c>
      <c r="E40" s="37">
        <v>45747</v>
      </c>
      <c r="F40" s="27" t="s">
        <v>93</v>
      </c>
      <c r="G40" s="27">
        <v>2</v>
      </c>
      <c r="H40" s="27">
        <v>2</v>
      </c>
      <c r="I40" s="27">
        <v>0</v>
      </c>
      <c r="J40" s="27">
        <v>0</v>
      </c>
      <c r="K40" s="27">
        <v>0</v>
      </c>
      <c r="L40" s="28">
        <v>1096.169820027688</v>
      </c>
      <c r="M40" s="28">
        <f>L40*H40</f>
        <v>2192.3396400553761</v>
      </c>
      <c r="N40" s="28"/>
      <c r="O40" s="28"/>
      <c r="P40" s="29">
        <f>גיליון2!O36</f>
        <v>2466</v>
      </c>
      <c r="Q40" s="30">
        <f>גיליון2!X36</f>
        <v>45770</v>
      </c>
      <c r="R40" s="31">
        <f t="shared" si="5"/>
        <v>273.66035994462391</v>
      </c>
    </row>
    <row r="41" spans="1:20" ht="15" x14ac:dyDescent="0.2">
      <c r="A41" s="6" t="s">
        <v>103</v>
      </c>
      <c r="B41" s="6" t="s">
        <v>104</v>
      </c>
      <c r="C41" s="6" t="s">
        <v>37</v>
      </c>
      <c r="D41" s="6" t="s">
        <v>105</v>
      </c>
      <c r="E41" s="6" t="s">
        <v>105</v>
      </c>
      <c r="F41" s="6" t="s">
        <v>93</v>
      </c>
      <c r="G41" s="6">
        <v>1</v>
      </c>
      <c r="H41" s="6">
        <v>1</v>
      </c>
      <c r="I41" s="6">
        <v>0</v>
      </c>
      <c r="J41" s="6">
        <v>0</v>
      </c>
      <c r="K41" s="6">
        <v>0</v>
      </c>
      <c r="L41" s="7">
        <v>730.27226580526064</v>
      </c>
      <c r="M41" s="7">
        <f>L41*H41</f>
        <v>730.27226580526064</v>
      </c>
      <c r="N41" s="7">
        <v>146.05445316105209</v>
      </c>
      <c r="O41" s="7"/>
      <c r="P41" s="8"/>
    </row>
    <row r="42" spans="1:20" ht="15" x14ac:dyDescent="0.2">
      <c r="A42" s="27" t="s">
        <v>106</v>
      </c>
      <c r="B42" s="27" t="s">
        <v>43</v>
      </c>
      <c r="C42" s="27" t="s">
        <v>22</v>
      </c>
      <c r="D42" s="27" t="s">
        <v>92</v>
      </c>
      <c r="E42" s="27" t="s">
        <v>107</v>
      </c>
      <c r="F42" s="27" t="s">
        <v>93</v>
      </c>
      <c r="G42" s="27">
        <v>2</v>
      </c>
      <c r="H42" s="27">
        <v>2</v>
      </c>
      <c r="I42" s="27">
        <v>0</v>
      </c>
      <c r="J42" s="27">
        <v>0</v>
      </c>
      <c r="K42" s="27">
        <v>0</v>
      </c>
      <c r="L42" s="28">
        <v>868.57406552838017</v>
      </c>
      <c r="M42" s="28">
        <f>L42*H42</f>
        <v>1737.1481310567603</v>
      </c>
      <c r="N42" s="28"/>
      <c r="O42" s="28"/>
      <c r="P42" s="29">
        <f>גיליון2!O28</f>
        <v>2873</v>
      </c>
      <c r="Q42" s="30">
        <f>גיליון2!X28</f>
        <v>45770</v>
      </c>
      <c r="R42" s="31">
        <f>P42-(L42*G42)</f>
        <v>1135.8518689432397</v>
      </c>
    </row>
    <row r="43" spans="1:20" ht="15" x14ac:dyDescent="0.2">
      <c r="A43" s="27" t="s">
        <v>106</v>
      </c>
      <c r="B43" s="27" t="s">
        <v>43</v>
      </c>
      <c r="C43" s="27" t="s">
        <v>22</v>
      </c>
      <c r="D43" s="27" t="s">
        <v>92</v>
      </c>
      <c r="E43" s="27" t="s">
        <v>107</v>
      </c>
      <c r="F43" s="27" t="s">
        <v>93</v>
      </c>
      <c r="G43" s="27">
        <v>2</v>
      </c>
      <c r="H43" s="27">
        <v>2</v>
      </c>
      <c r="I43" s="27">
        <v>0</v>
      </c>
      <c r="J43" s="27">
        <v>0</v>
      </c>
      <c r="K43" s="27">
        <v>0</v>
      </c>
      <c r="L43" s="28"/>
      <c r="M43" s="28"/>
      <c r="N43" s="28"/>
      <c r="O43" s="28">
        <v>1149</v>
      </c>
      <c r="P43" s="29"/>
      <c r="Q43" s="30">
        <v>45834</v>
      </c>
      <c r="R43" s="31">
        <f>O43</f>
        <v>1149</v>
      </c>
    </row>
    <row r="44" spans="1:20" ht="15" x14ac:dyDescent="0.2">
      <c r="A44" s="27" t="s">
        <v>108</v>
      </c>
      <c r="B44" s="27" t="s">
        <v>43</v>
      </c>
      <c r="C44" s="27" t="s">
        <v>22</v>
      </c>
      <c r="D44" s="27" t="s">
        <v>109</v>
      </c>
      <c r="E44" s="27" t="s">
        <v>109</v>
      </c>
      <c r="F44" s="27" t="s">
        <v>93</v>
      </c>
      <c r="G44" s="27">
        <v>1</v>
      </c>
      <c r="H44" s="27">
        <v>1</v>
      </c>
      <c r="I44" s="27">
        <v>0</v>
      </c>
      <c r="J44" s="27">
        <v>0</v>
      </c>
      <c r="K44" s="27">
        <v>0</v>
      </c>
      <c r="L44" s="28">
        <v>868.57406552838017</v>
      </c>
      <c r="M44" s="28">
        <f>L44*H44</f>
        <v>868.57406552838017</v>
      </c>
      <c r="N44" s="28"/>
      <c r="O44" s="28"/>
      <c r="P44" s="29">
        <f>גיליון2!O29</f>
        <v>1437</v>
      </c>
      <c r="Q44" s="30">
        <f>גיליון2!X29</f>
        <v>45770</v>
      </c>
      <c r="R44" s="31">
        <f>P44-(L44*G44)</f>
        <v>568.42593447161983</v>
      </c>
    </row>
    <row r="45" spans="1:20" ht="15" x14ac:dyDescent="0.2">
      <c r="A45" s="27" t="s">
        <v>110</v>
      </c>
      <c r="B45" s="27" t="s">
        <v>36</v>
      </c>
      <c r="C45" s="27" t="s">
        <v>37</v>
      </c>
      <c r="D45" s="38">
        <v>45748</v>
      </c>
      <c r="E45" s="38">
        <v>45750</v>
      </c>
      <c r="F45" s="39" t="s">
        <v>111</v>
      </c>
      <c r="G45" s="27">
        <v>3</v>
      </c>
      <c r="H45" s="27">
        <v>3</v>
      </c>
      <c r="I45" s="27">
        <v>0</v>
      </c>
      <c r="J45" s="27">
        <v>0</v>
      </c>
      <c r="K45" s="27">
        <v>0</v>
      </c>
      <c r="L45" s="28">
        <v>1096.17</v>
      </c>
      <c r="M45" s="28">
        <f>L45*H45</f>
        <v>3288.51</v>
      </c>
      <c r="N45" s="27">
        <v>760</v>
      </c>
      <c r="O45" s="27"/>
      <c r="P45" s="29">
        <v>4998</v>
      </c>
      <c r="Q45" s="30">
        <v>45877</v>
      </c>
      <c r="R45" s="31">
        <f>P45-M45</f>
        <v>1709.4899999999998</v>
      </c>
      <c r="T45" t="s">
        <v>112</v>
      </c>
    </row>
    <row r="46" spans="1:20" ht="15" x14ac:dyDescent="0.2">
      <c r="A46" s="27" t="s">
        <v>110</v>
      </c>
      <c r="B46" s="27" t="s">
        <v>36</v>
      </c>
      <c r="C46" s="27" t="s">
        <v>37</v>
      </c>
      <c r="D46" s="27" t="s">
        <v>113</v>
      </c>
      <c r="E46" s="27" t="s">
        <v>114</v>
      </c>
      <c r="F46" s="27" t="s">
        <v>111</v>
      </c>
      <c r="G46" s="27">
        <v>2</v>
      </c>
      <c r="H46" s="27">
        <v>2</v>
      </c>
      <c r="I46" s="27">
        <v>0</v>
      </c>
      <c r="J46" s="27">
        <v>0</v>
      </c>
      <c r="K46" s="27">
        <v>0</v>
      </c>
      <c r="L46" s="28">
        <v>1096.169820027688</v>
      </c>
      <c r="M46" s="28">
        <f>L46*H46</f>
        <v>2192.3396400553761</v>
      </c>
      <c r="N46" s="28">
        <v>506</v>
      </c>
      <c r="O46" s="28"/>
      <c r="P46" s="29">
        <v>3332</v>
      </c>
      <c r="Q46" s="30">
        <v>45877</v>
      </c>
      <c r="R46" s="31">
        <f>P46-M46</f>
        <v>1139.6603599446239</v>
      </c>
      <c r="T46" t="s">
        <v>112</v>
      </c>
    </row>
    <row r="47" spans="1:20" ht="15" x14ac:dyDescent="0.2">
      <c r="A47" s="27" t="s">
        <v>115</v>
      </c>
      <c r="B47" s="27" t="s">
        <v>36</v>
      </c>
      <c r="C47" s="27" t="s">
        <v>37</v>
      </c>
      <c r="D47" s="37">
        <v>45781</v>
      </c>
      <c r="E47" s="27" t="s">
        <v>116</v>
      </c>
      <c r="F47" s="27" t="s">
        <v>117</v>
      </c>
      <c r="G47" s="27">
        <v>5</v>
      </c>
      <c r="H47" s="27">
        <v>5</v>
      </c>
      <c r="I47" s="27">
        <v>0</v>
      </c>
      <c r="J47" s="27">
        <v>0</v>
      </c>
      <c r="K47" s="27">
        <v>0</v>
      </c>
      <c r="L47" s="28">
        <v>1096.169820027688</v>
      </c>
      <c r="M47" s="28">
        <f>L47*H47</f>
        <v>5480.84910013844</v>
      </c>
      <c r="N47" s="28">
        <v>1254</v>
      </c>
      <c r="O47" s="28"/>
      <c r="P47" s="29">
        <v>8775</v>
      </c>
      <c r="Q47" s="30">
        <v>45877</v>
      </c>
      <c r="R47" s="31">
        <f>P47-M47</f>
        <v>3294.15089986156</v>
      </c>
      <c r="T47" t="s">
        <v>112</v>
      </c>
    </row>
    <row r="48" spans="1:20" ht="15" x14ac:dyDescent="0.2">
      <c r="A48" s="27" t="s">
        <v>108</v>
      </c>
      <c r="B48" s="27" t="s">
        <v>43</v>
      </c>
      <c r="C48" s="27" t="s">
        <v>22</v>
      </c>
      <c r="D48" s="27" t="s">
        <v>109</v>
      </c>
      <c r="E48" s="27" t="s">
        <v>109</v>
      </c>
      <c r="F48" s="27" t="s">
        <v>93</v>
      </c>
      <c r="G48" s="27">
        <v>1</v>
      </c>
      <c r="H48" s="27">
        <v>1</v>
      </c>
      <c r="I48" s="27">
        <v>0</v>
      </c>
      <c r="J48" s="27">
        <v>0</v>
      </c>
      <c r="K48" s="27">
        <v>0</v>
      </c>
      <c r="L48" s="28"/>
      <c r="M48" s="28"/>
      <c r="N48" s="28"/>
      <c r="O48" s="28">
        <v>575</v>
      </c>
      <c r="P48" s="29"/>
      <c r="Q48" s="30">
        <v>45834</v>
      </c>
      <c r="R48" s="31">
        <f>O48</f>
        <v>575</v>
      </c>
    </row>
    <row r="49" spans="1:20" ht="15" x14ac:dyDescent="0.2">
      <c r="A49" s="6" t="s">
        <v>118</v>
      </c>
      <c r="B49" s="6" t="s">
        <v>119</v>
      </c>
      <c r="C49" s="6" t="s">
        <v>37</v>
      </c>
      <c r="D49" s="6" t="s">
        <v>120</v>
      </c>
      <c r="E49" s="6" t="s">
        <v>107</v>
      </c>
      <c r="F49" s="6" t="s">
        <v>93</v>
      </c>
      <c r="G49" s="6">
        <v>3</v>
      </c>
      <c r="H49" s="6">
        <v>3</v>
      </c>
      <c r="I49" s="6">
        <v>0</v>
      </c>
      <c r="J49" s="6">
        <v>0</v>
      </c>
      <c r="K49" s="6">
        <v>0</v>
      </c>
      <c r="L49" s="7">
        <v>914.90539916935847</v>
      </c>
      <c r="M49" s="7">
        <f t="shared" ref="M49:M78" si="6">L49*H49</f>
        <v>2744.7161975080753</v>
      </c>
      <c r="N49" s="7">
        <v>548.94323950161504</v>
      </c>
      <c r="O49" s="7"/>
      <c r="P49" s="8"/>
    </row>
    <row r="50" spans="1:20" ht="15" x14ac:dyDescent="0.2">
      <c r="A50" s="27" t="s">
        <v>121</v>
      </c>
      <c r="B50" s="27" t="s">
        <v>36</v>
      </c>
      <c r="C50" s="27" t="s">
        <v>37</v>
      </c>
      <c r="D50" s="27" t="s">
        <v>122</v>
      </c>
      <c r="E50" s="27" t="s">
        <v>122</v>
      </c>
      <c r="F50" s="27" t="s">
        <v>117</v>
      </c>
      <c r="G50" s="27">
        <v>1</v>
      </c>
      <c r="H50" s="27">
        <v>1</v>
      </c>
      <c r="I50" s="27">
        <v>0</v>
      </c>
      <c r="J50" s="27">
        <v>0</v>
      </c>
      <c r="K50" s="27">
        <v>0</v>
      </c>
      <c r="L50" s="28">
        <v>1096.169820027688</v>
      </c>
      <c r="M50" s="28">
        <f t="shared" si="6"/>
        <v>1096.169820027688</v>
      </c>
      <c r="N50" s="28">
        <v>251</v>
      </c>
      <c r="O50" s="28"/>
      <c r="P50" s="29">
        <v>1254</v>
      </c>
      <c r="Q50" s="30">
        <v>45877</v>
      </c>
      <c r="R50" s="31">
        <f>P50-M50</f>
        <v>157.83017997231195</v>
      </c>
      <c r="T50" t="s">
        <v>112</v>
      </c>
    </row>
    <row r="51" spans="1:20" ht="15" x14ac:dyDescent="0.2">
      <c r="A51" s="27" t="s">
        <v>123</v>
      </c>
      <c r="B51" s="27" t="s">
        <v>36</v>
      </c>
      <c r="C51" s="27" t="s">
        <v>37</v>
      </c>
      <c r="D51" s="27" t="s">
        <v>124</v>
      </c>
      <c r="E51" s="27" t="s">
        <v>124</v>
      </c>
      <c r="F51" s="27" t="s">
        <v>117</v>
      </c>
      <c r="G51" s="27">
        <v>1</v>
      </c>
      <c r="H51" s="27">
        <v>1</v>
      </c>
      <c r="I51" s="27">
        <v>0</v>
      </c>
      <c r="J51" s="27">
        <v>0</v>
      </c>
      <c r="K51" s="27">
        <v>0</v>
      </c>
      <c r="L51" s="28">
        <v>1096.169820027688</v>
      </c>
      <c r="M51" s="28">
        <f t="shared" si="6"/>
        <v>1096.169820027688</v>
      </c>
      <c r="N51" s="28">
        <v>251</v>
      </c>
      <c r="O51" s="28"/>
      <c r="P51" s="29">
        <v>1254</v>
      </c>
      <c r="Q51" s="30">
        <v>45877</v>
      </c>
      <c r="R51" s="31">
        <f>P51-M51</f>
        <v>157.83017997231195</v>
      </c>
      <c r="T51" t="s">
        <v>112</v>
      </c>
    </row>
    <row r="52" spans="1:20" ht="15" x14ac:dyDescent="0.2">
      <c r="A52" s="6" t="s">
        <v>125</v>
      </c>
      <c r="B52" s="6" t="s">
        <v>53</v>
      </c>
      <c r="C52" s="6" t="s">
        <v>37</v>
      </c>
      <c r="D52" s="6" t="s">
        <v>105</v>
      </c>
      <c r="E52" s="6" t="s">
        <v>126</v>
      </c>
      <c r="F52" s="6" t="s">
        <v>93</v>
      </c>
      <c r="G52" s="6">
        <v>2</v>
      </c>
      <c r="H52" s="6">
        <v>2</v>
      </c>
      <c r="I52" s="6">
        <v>0</v>
      </c>
      <c r="J52" s="6">
        <v>0</v>
      </c>
      <c r="K52" s="6">
        <v>0</v>
      </c>
      <c r="L52" s="7">
        <v>914.85925242270412</v>
      </c>
      <c r="M52" s="7">
        <f t="shared" si="6"/>
        <v>1829.7185048454082</v>
      </c>
      <c r="N52" s="7"/>
      <c r="O52" s="7"/>
      <c r="P52" s="8"/>
    </row>
    <row r="53" spans="1:20" ht="15" x14ac:dyDescent="0.2">
      <c r="A53" s="6" t="s">
        <v>127</v>
      </c>
      <c r="B53" s="6" t="s">
        <v>53</v>
      </c>
      <c r="C53" s="6" t="s">
        <v>37</v>
      </c>
      <c r="D53" s="6" t="s">
        <v>128</v>
      </c>
      <c r="E53" s="6" t="s">
        <v>129</v>
      </c>
      <c r="F53" s="6" t="s">
        <v>93</v>
      </c>
      <c r="G53" s="6">
        <v>2</v>
      </c>
      <c r="H53" s="6">
        <v>2</v>
      </c>
      <c r="I53" s="6">
        <v>0</v>
      </c>
      <c r="J53" s="6">
        <v>0</v>
      </c>
      <c r="K53" s="6">
        <v>0</v>
      </c>
      <c r="L53" s="7">
        <v>914.85925242270412</v>
      </c>
      <c r="M53" s="7">
        <f t="shared" si="6"/>
        <v>1829.7185048454082</v>
      </c>
      <c r="N53" s="7"/>
      <c r="O53" s="7"/>
      <c r="P53" s="8"/>
    </row>
    <row r="54" spans="1:20" ht="15" x14ac:dyDescent="0.2">
      <c r="A54" s="6" t="s">
        <v>130</v>
      </c>
      <c r="B54" s="6" t="s">
        <v>53</v>
      </c>
      <c r="C54" s="6" t="s">
        <v>37</v>
      </c>
      <c r="D54" s="6" t="s">
        <v>102</v>
      </c>
      <c r="E54" s="6" t="s">
        <v>131</v>
      </c>
      <c r="F54" s="6" t="s">
        <v>93</v>
      </c>
      <c r="G54" s="6">
        <v>5</v>
      </c>
      <c r="H54" s="6">
        <v>4</v>
      </c>
      <c r="I54" s="6">
        <v>0</v>
      </c>
      <c r="J54" s="6">
        <v>1</v>
      </c>
      <c r="K54" s="6">
        <v>0</v>
      </c>
      <c r="L54" s="7">
        <v>914.85925242270412</v>
      </c>
      <c r="M54" s="7">
        <f t="shared" si="6"/>
        <v>3659.4370096908165</v>
      </c>
      <c r="N54" s="7"/>
      <c r="O54" s="7"/>
      <c r="P54" s="8"/>
    </row>
    <row r="55" spans="1:20" ht="15" x14ac:dyDescent="0.2">
      <c r="A55" s="6" t="s">
        <v>132</v>
      </c>
      <c r="B55" s="6" t="s">
        <v>133</v>
      </c>
      <c r="C55" s="6" t="s">
        <v>22</v>
      </c>
      <c r="D55" s="6" t="s">
        <v>100</v>
      </c>
      <c r="E55" s="6" t="s">
        <v>107</v>
      </c>
      <c r="F55" s="6" t="s">
        <v>93</v>
      </c>
      <c r="G55" s="6">
        <v>4</v>
      </c>
      <c r="H55" s="6">
        <v>4</v>
      </c>
      <c r="I55" s="6">
        <v>0</v>
      </c>
      <c r="J55" s="6">
        <v>0</v>
      </c>
      <c r="K55" s="6">
        <v>0</v>
      </c>
      <c r="L55" s="7">
        <v>812.22888786340559</v>
      </c>
      <c r="M55" s="7">
        <f t="shared" si="6"/>
        <v>3248.9155514536224</v>
      </c>
      <c r="N55" s="7">
        <v>649.78311029072449</v>
      </c>
      <c r="O55" s="7"/>
      <c r="P55" s="8"/>
    </row>
    <row r="56" spans="1:20" ht="15" x14ac:dyDescent="0.2">
      <c r="A56" s="6" t="s">
        <v>134</v>
      </c>
      <c r="B56" s="6" t="s">
        <v>27</v>
      </c>
      <c r="C56" s="6" t="s">
        <v>28</v>
      </c>
      <c r="D56" s="6" t="s">
        <v>135</v>
      </c>
      <c r="E56" s="6" t="s">
        <v>135</v>
      </c>
      <c r="F56" s="6" t="s">
        <v>111</v>
      </c>
      <c r="G56" s="6">
        <v>1</v>
      </c>
      <c r="H56" s="6">
        <v>1</v>
      </c>
      <c r="I56" s="6">
        <v>0</v>
      </c>
      <c r="J56" s="6">
        <v>0</v>
      </c>
      <c r="K56" s="6">
        <v>0</v>
      </c>
      <c r="L56" s="7">
        <v>868.85094600830632</v>
      </c>
      <c r="M56" s="7">
        <f t="shared" si="6"/>
        <v>868.85094600830632</v>
      </c>
      <c r="N56" s="7">
        <v>173.77018920166131</v>
      </c>
      <c r="O56" s="7"/>
      <c r="P56" s="8"/>
    </row>
    <row r="57" spans="1:20" ht="15" x14ac:dyDescent="0.2">
      <c r="A57" s="6" t="s">
        <v>136</v>
      </c>
      <c r="B57" s="6" t="s">
        <v>27</v>
      </c>
      <c r="C57" s="6" t="s">
        <v>28</v>
      </c>
      <c r="D57" s="6" t="s">
        <v>137</v>
      </c>
      <c r="E57" s="6" t="s">
        <v>137</v>
      </c>
      <c r="F57" s="6" t="s">
        <v>111</v>
      </c>
      <c r="G57" s="6">
        <v>1</v>
      </c>
      <c r="H57" s="6">
        <v>0</v>
      </c>
      <c r="I57" s="6">
        <v>0</v>
      </c>
      <c r="J57" s="6">
        <v>1</v>
      </c>
      <c r="K57" s="6">
        <v>0</v>
      </c>
      <c r="L57" s="7">
        <v>868.85094600830632</v>
      </c>
      <c r="M57" s="7">
        <f t="shared" si="6"/>
        <v>0</v>
      </c>
      <c r="N57" s="7">
        <v>0</v>
      </c>
      <c r="O57" s="7"/>
      <c r="P57" s="8"/>
    </row>
    <row r="58" spans="1:20" ht="15" x14ac:dyDescent="0.2">
      <c r="A58" s="6" t="s">
        <v>138</v>
      </c>
      <c r="B58" s="6" t="s">
        <v>32</v>
      </c>
      <c r="C58" s="6" t="s">
        <v>28</v>
      </c>
      <c r="D58" s="6" t="s">
        <v>139</v>
      </c>
      <c r="E58" s="6" t="s">
        <v>140</v>
      </c>
      <c r="F58" s="6" t="s">
        <v>111</v>
      </c>
      <c r="G58" s="6">
        <v>38</v>
      </c>
      <c r="H58" s="6">
        <v>28</v>
      </c>
      <c r="I58" s="6">
        <v>5</v>
      </c>
      <c r="J58" s="6">
        <v>5</v>
      </c>
      <c r="K58" s="6">
        <v>0</v>
      </c>
      <c r="L58" s="7">
        <v>670.60452238117205</v>
      </c>
      <c r="M58" s="7">
        <f t="shared" si="6"/>
        <v>18776.926626672815</v>
      </c>
      <c r="N58" s="7">
        <v>3755.3853253345628</v>
      </c>
      <c r="O58" s="7"/>
      <c r="P58" s="8"/>
    </row>
    <row r="59" spans="1:20" ht="15" x14ac:dyDescent="0.2">
      <c r="A59" s="27" t="s">
        <v>141</v>
      </c>
      <c r="B59" s="27" t="s">
        <v>36</v>
      </c>
      <c r="C59" s="27" t="s">
        <v>37</v>
      </c>
      <c r="D59" s="27" t="s">
        <v>142</v>
      </c>
      <c r="E59" s="27" t="s">
        <v>142</v>
      </c>
      <c r="F59" s="27" t="s">
        <v>143</v>
      </c>
      <c r="G59" s="27">
        <v>1</v>
      </c>
      <c r="H59" s="27">
        <v>1</v>
      </c>
      <c r="I59" s="27">
        <v>0</v>
      </c>
      <c r="J59" s="27">
        <v>0</v>
      </c>
      <c r="K59" s="27">
        <v>0</v>
      </c>
      <c r="L59" s="28">
        <v>1096.169820027688</v>
      </c>
      <c r="M59" s="28">
        <f t="shared" si="6"/>
        <v>1096.169820027688</v>
      </c>
      <c r="N59" s="28">
        <v>259</v>
      </c>
      <c r="O59" s="28"/>
      <c r="P59" s="29">
        <v>1811</v>
      </c>
      <c r="Q59" s="30">
        <v>45877</v>
      </c>
      <c r="R59" s="31">
        <f>P59-M59</f>
        <v>714.83017997231195</v>
      </c>
      <c r="T59" t="s">
        <v>112</v>
      </c>
    </row>
    <row r="60" spans="1:20" ht="15" x14ac:dyDescent="0.2">
      <c r="A60" s="6" t="s">
        <v>144</v>
      </c>
      <c r="B60" s="6" t="s">
        <v>41</v>
      </c>
      <c r="C60" s="6" t="s">
        <v>22</v>
      </c>
      <c r="D60" s="6" t="s">
        <v>139</v>
      </c>
      <c r="E60" s="6" t="s">
        <v>145</v>
      </c>
      <c r="F60" s="6" t="s">
        <v>111</v>
      </c>
      <c r="G60" s="6">
        <v>3</v>
      </c>
      <c r="H60" s="6">
        <v>3</v>
      </c>
      <c r="I60" s="6">
        <v>0</v>
      </c>
      <c r="J60" s="6">
        <v>0</v>
      </c>
      <c r="K60" s="6">
        <v>0</v>
      </c>
      <c r="L60" s="7">
        <v>826.99584679280099</v>
      </c>
      <c r="M60" s="7">
        <f t="shared" si="6"/>
        <v>2480.9875403784031</v>
      </c>
      <c r="N60" s="7">
        <v>496.19750807568062</v>
      </c>
      <c r="O60" s="7"/>
      <c r="P60" s="8"/>
    </row>
    <row r="61" spans="1:20" ht="15" x14ac:dyDescent="0.2">
      <c r="A61" s="27" t="s">
        <v>146</v>
      </c>
      <c r="B61" s="27" t="s">
        <v>36</v>
      </c>
      <c r="C61" s="27" t="s">
        <v>37</v>
      </c>
      <c r="D61" s="27" t="s">
        <v>147</v>
      </c>
      <c r="E61" s="27" t="s">
        <v>148</v>
      </c>
      <c r="F61" s="27" t="s">
        <v>143</v>
      </c>
      <c r="G61" s="27">
        <v>2</v>
      </c>
      <c r="H61" s="27">
        <v>2</v>
      </c>
      <c r="I61" s="27">
        <v>0</v>
      </c>
      <c r="J61" s="27">
        <v>0</v>
      </c>
      <c r="K61" s="27">
        <v>0</v>
      </c>
      <c r="L61" s="28">
        <v>1096.169820027688</v>
      </c>
      <c r="M61" s="28">
        <f t="shared" si="6"/>
        <v>2192.3396400553761</v>
      </c>
      <c r="N61" s="28">
        <v>517</v>
      </c>
      <c r="O61" s="28"/>
      <c r="P61" s="29">
        <v>2587</v>
      </c>
      <c r="Q61" s="30">
        <v>45877</v>
      </c>
      <c r="R61" s="31">
        <f>P61-M61</f>
        <v>394.66035994462391</v>
      </c>
      <c r="T61" t="s">
        <v>112</v>
      </c>
    </row>
    <row r="62" spans="1:20" ht="15" x14ac:dyDescent="0.2">
      <c r="A62" s="6" t="s">
        <v>149</v>
      </c>
      <c r="B62" s="6" t="s">
        <v>43</v>
      </c>
      <c r="C62" s="6" t="s">
        <v>22</v>
      </c>
      <c r="D62" s="6" t="s">
        <v>150</v>
      </c>
      <c r="E62" s="6" t="s">
        <v>150</v>
      </c>
      <c r="F62" s="6" t="s">
        <v>111</v>
      </c>
      <c r="G62" s="6">
        <v>1</v>
      </c>
      <c r="H62" s="6">
        <v>1</v>
      </c>
      <c r="I62" s="6">
        <v>0</v>
      </c>
      <c r="J62" s="6">
        <v>0</v>
      </c>
      <c r="K62" s="6">
        <v>0</v>
      </c>
      <c r="L62" s="7">
        <v>868.57406552838017</v>
      </c>
      <c r="M62" s="7">
        <f t="shared" si="6"/>
        <v>868.57406552838017</v>
      </c>
      <c r="N62" s="7">
        <v>250</v>
      </c>
      <c r="O62" s="7"/>
      <c r="P62" s="8">
        <v>1437</v>
      </c>
      <c r="Q62" s="9">
        <v>45877</v>
      </c>
      <c r="R62" s="10">
        <f>P62-M62</f>
        <v>568.42593447161983</v>
      </c>
      <c r="S62" s="11">
        <v>45931</v>
      </c>
    </row>
    <row r="63" spans="1:20" ht="15" x14ac:dyDescent="0.2">
      <c r="A63" s="6" t="s">
        <v>151</v>
      </c>
      <c r="B63" s="6" t="s">
        <v>43</v>
      </c>
      <c r="C63" s="6" t="s">
        <v>22</v>
      </c>
      <c r="D63" s="6" t="s">
        <v>152</v>
      </c>
      <c r="E63" s="6" t="s">
        <v>152</v>
      </c>
      <c r="F63" s="6" t="s">
        <v>111</v>
      </c>
      <c r="G63" s="6">
        <v>1</v>
      </c>
      <c r="H63" s="6">
        <v>1</v>
      </c>
      <c r="I63" s="6">
        <v>0</v>
      </c>
      <c r="J63" s="6">
        <v>0</v>
      </c>
      <c r="K63" s="6">
        <v>0</v>
      </c>
      <c r="L63" s="7">
        <v>868.57406552838017</v>
      </c>
      <c r="M63" s="7">
        <f t="shared" si="6"/>
        <v>868.57406552838017</v>
      </c>
      <c r="N63" s="7">
        <v>250</v>
      </c>
      <c r="O63" s="7"/>
      <c r="P63" s="8">
        <v>1437</v>
      </c>
      <c r="Q63" s="9">
        <v>45877</v>
      </c>
      <c r="R63" s="10">
        <f>P63-M63</f>
        <v>568.42593447161983</v>
      </c>
      <c r="S63" s="11">
        <v>45931</v>
      </c>
    </row>
    <row r="64" spans="1:20" ht="15" x14ac:dyDescent="0.2">
      <c r="A64" s="14" t="s">
        <v>153</v>
      </c>
      <c r="B64" s="14" t="s">
        <v>48</v>
      </c>
      <c r="C64" s="14" t="s">
        <v>22</v>
      </c>
      <c r="D64" s="14" t="s">
        <v>137</v>
      </c>
      <c r="E64" s="14" t="s">
        <v>137</v>
      </c>
      <c r="F64" s="14" t="s">
        <v>111</v>
      </c>
      <c r="G64" s="14">
        <v>1</v>
      </c>
      <c r="H64" s="14">
        <v>1</v>
      </c>
      <c r="I64" s="14">
        <v>0</v>
      </c>
      <c r="J64" s="14">
        <v>1</v>
      </c>
      <c r="K64" s="14">
        <v>0</v>
      </c>
      <c r="L64" s="15">
        <v>929.85694508537142</v>
      </c>
      <c r="M64" s="15">
        <f t="shared" si="6"/>
        <v>929.85694508537142</v>
      </c>
      <c r="N64" s="7"/>
      <c r="O64" s="7"/>
      <c r="P64" s="8"/>
      <c r="Q64" s="9"/>
      <c r="R64" s="10"/>
    </row>
    <row r="65" spans="1:19" ht="15" x14ac:dyDescent="0.2">
      <c r="A65" s="6" t="s">
        <v>154</v>
      </c>
      <c r="B65" s="6" t="s">
        <v>53</v>
      </c>
      <c r="C65" s="6" t="s">
        <v>37</v>
      </c>
      <c r="D65" s="6" t="s">
        <v>155</v>
      </c>
      <c r="E65" s="6" t="s">
        <v>155</v>
      </c>
      <c r="F65" s="6" t="s">
        <v>111</v>
      </c>
      <c r="G65" s="6">
        <v>1</v>
      </c>
      <c r="H65" s="6">
        <v>0</v>
      </c>
      <c r="I65" s="6">
        <v>0</v>
      </c>
      <c r="J65" s="6">
        <v>1</v>
      </c>
      <c r="K65" s="6">
        <v>0</v>
      </c>
      <c r="L65" s="7">
        <v>914.85925242270412</v>
      </c>
      <c r="M65" s="7">
        <f t="shared" si="6"/>
        <v>0</v>
      </c>
      <c r="N65" s="7"/>
      <c r="O65" s="7"/>
      <c r="P65" s="8"/>
    </row>
    <row r="66" spans="1:19" ht="15" x14ac:dyDescent="0.2">
      <c r="A66" s="6" t="s">
        <v>156</v>
      </c>
      <c r="B66" s="6" t="s">
        <v>53</v>
      </c>
      <c r="C66" s="6" t="s">
        <v>37</v>
      </c>
      <c r="D66" s="6" t="s">
        <v>113</v>
      </c>
      <c r="E66" s="6" t="s">
        <v>113</v>
      </c>
      <c r="F66" s="6" t="s">
        <v>111</v>
      </c>
      <c r="G66" s="6">
        <v>1</v>
      </c>
      <c r="H66" s="6">
        <v>1</v>
      </c>
      <c r="I66" s="6">
        <v>0</v>
      </c>
      <c r="J66" s="6">
        <v>0</v>
      </c>
      <c r="K66" s="6">
        <v>0</v>
      </c>
      <c r="L66" s="7">
        <v>914.85925242270412</v>
      </c>
      <c r="M66" s="7">
        <f t="shared" si="6"/>
        <v>914.85925242270412</v>
      </c>
      <c r="N66" s="7"/>
      <c r="O66" s="7"/>
      <c r="P66" s="8"/>
    </row>
    <row r="67" spans="1:19" ht="15" x14ac:dyDescent="0.2">
      <c r="A67" s="6" t="s">
        <v>157</v>
      </c>
      <c r="B67" s="6" t="s">
        <v>53</v>
      </c>
      <c r="C67" s="6" t="s">
        <v>37</v>
      </c>
      <c r="D67" s="6" t="s">
        <v>158</v>
      </c>
      <c r="E67" s="6" t="s">
        <v>135</v>
      </c>
      <c r="F67" s="6" t="s">
        <v>111</v>
      </c>
      <c r="G67" s="6">
        <v>3</v>
      </c>
      <c r="H67" s="6">
        <v>3</v>
      </c>
      <c r="I67" s="6">
        <v>0</v>
      </c>
      <c r="J67" s="6">
        <v>0</v>
      </c>
      <c r="K67" s="6">
        <v>0</v>
      </c>
      <c r="L67" s="7">
        <v>914.85925242270412</v>
      </c>
      <c r="M67" s="7">
        <f t="shared" si="6"/>
        <v>2744.5777572681122</v>
      </c>
      <c r="N67" s="7"/>
      <c r="O67" s="7"/>
      <c r="P67" s="8"/>
    </row>
    <row r="68" spans="1:19" ht="15" x14ac:dyDescent="0.2">
      <c r="A68" s="6" t="s">
        <v>159</v>
      </c>
      <c r="B68" s="6" t="s">
        <v>53</v>
      </c>
      <c r="C68" s="6" t="s">
        <v>37</v>
      </c>
      <c r="D68" s="6" t="s">
        <v>160</v>
      </c>
      <c r="E68" s="6" t="s">
        <v>160</v>
      </c>
      <c r="F68" s="6" t="s">
        <v>111</v>
      </c>
      <c r="G68" s="6">
        <v>1</v>
      </c>
      <c r="H68" s="6">
        <v>1</v>
      </c>
      <c r="I68" s="6">
        <v>0</v>
      </c>
      <c r="J68" s="6">
        <v>0</v>
      </c>
      <c r="K68" s="6">
        <v>0</v>
      </c>
      <c r="L68" s="7">
        <v>914.85925242270412</v>
      </c>
      <c r="M68" s="7">
        <f t="shared" si="6"/>
        <v>914.85925242270412</v>
      </c>
      <c r="N68" s="7"/>
      <c r="O68" s="7"/>
      <c r="P68" s="8"/>
    </row>
    <row r="69" spans="1:19" ht="15" x14ac:dyDescent="0.2">
      <c r="A69" s="6" t="s">
        <v>161</v>
      </c>
      <c r="B69" s="6" t="s">
        <v>21</v>
      </c>
      <c r="C69" s="6" t="s">
        <v>22</v>
      </c>
      <c r="D69" s="6" t="s">
        <v>162</v>
      </c>
      <c r="E69" s="6" t="s">
        <v>163</v>
      </c>
      <c r="F69" s="6" t="s">
        <v>117</v>
      </c>
      <c r="G69" s="6">
        <v>3</v>
      </c>
      <c r="H69" s="6">
        <v>3</v>
      </c>
      <c r="I69" s="6">
        <v>0</v>
      </c>
      <c r="J69" s="6">
        <v>0</v>
      </c>
      <c r="K69" s="6">
        <v>0</v>
      </c>
      <c r="L69" s="7">
        <v>946.00830641439768</v>
      </c>
      <c r="M69" s="7">
        <f t="shared" si="6"/>
        <v>2838.0249192431929</v>
      </c>
      <c r="N69" s="7">
        <v>567.60498384863865</v>
      </c>
      <c r="O69" s="7"/>
      <c r="P69" s="8"/>
    </row>
    <row r="70" spans="1:19" ht="15" x14ac:dyDescent="0.2">
      <c r="A70" s="6" t="s">
        <v>164</v>
      </c>
      <c r="B70" s="6" t="s">
        <v>27</v>
      </c>
      <c r="C70" s="6" t="s">
        <v>28</v>
      </c>
      <c r="D70" s="6" t="s">
        <v>165</v>
      </c>
      <c r="E70" s="6" t="s">
        <v>166</v>
      </c>
      <c r="F70" s="6" t="s">
        <v>117</v>
      </c>
      <c r="G70" s="6">
        <v>21</v>
      </c>
      <c r="H70" s="6">
        <v>15</v>
      </c>
      <c r="I70" s="6">
        <v>3</v>
      </c>
      <c r="J70" s="6">
        <v>3</v>
      </c>
      <c r="K70" s="6">
        <v>0</v>
      </c>
      <c r="L70" s="7">
        <v>868.85094600830632</v>
      </c>
      <c r="M70" s="7">
        <f t="shared" si="6"/>
        <v>13032.764190124595</v>
      </c>
      <c r="N70" s="7">
        <v>2606.5528380249189</v>
      </c>
      <c r="O70" s="7"/>
      <c r="P70" s="8"/>
    </row>
    <row r="71" spans="1:19" ht="15" x14ac:dyDescent="0.2">
      <c r="A71" s="6" t="s">
        <v>167</v>
      </c>
      <c r="B71" s="6" t="s">
        <v>43</v>
      </c>
      <c r="C71" s="6" t="s">
        <v>22</v>
      </c>
      <c r="D71" s="6" t="s">
        <v>165</v>
      </c>
      <c r="E71" s="6" t="s">
        <v>165</v>
      </c>
      <c r="F71" s="6" t="s">
        <v>117</v>
      </c>
      <c r="G71" s="6">
        <v>1</v>
      </c>
      <c r="H71" s="6">
        <v>1</v>
      </c>
      <c r="I71" s="6">
        <v>0</v>
      </c>
      <c r="J71" s="6">
        <v>0</v>
      </c>
      <c r="K71" s="6">
        <v>0</v>
      </c>
      <c r="L71" s="7">
        <v>868.57406552838017</v>
      </c>
      <c r="M71" s="7">
        <f t="shared" si="6"/>
        <v>868.57406552838017</v>
      </c>
      <c r="N71" s="7">
        <v>178</v>
      </c>
      <c r="O71" s="7"/>
      <c r="P71" s="8">
        <v>891</v>
      </c>
      <c r="Q71" s="9">
        <v>45877</v>
      </c>
      <c r="R71" s="10">
        <f>P71-M71</f>
        <v>22.425934471619826</v>
      </c>
      <c r="S71" s="11">
        <v>45931</v>
      </c>
    </row>
    <row r="72" spans="1:19" ht="15" x14ac:dyDescent="0.2">
      <c r="A72" s="6" t="s">
        <v>168</v>
      </c>
      <c r="B72" s="6" t="s">
        <v>43</v>
      </c>
      <c r="C72" s="6" t="s">
        <v>22</v>
      </c>
      <c r="D72" s="6" t="s">
        <v>169</v>
      </c>
      <c r="E72" s="6" t="s">
        <v>169</v>
      </c>
      <c r="F72" s="6" t="s">
        <v>117</v>
      </c>
      <c r="G72" s="6">
        <v>1</v>
      </c>
      <c r="H72" s="6">
        <v>1</v>
      </c>
      <c r="I72" s="6">
        <v>0</v>
      </c>
      <c r="J72" s="6">
        <v>0</v>
      </c>
      <c r="K72" s="6">
        <v>0</v>
      </c>
      <c r="L72" s="7">
        <v>868.57406552838017</v>
      </c>
      <c r="M72" s="7">
        <f t="shared" si="6"/>
        <v>868.57406552838017</v>
      </c>
      <c r="N72" s="7">
        <v>178</v>
      </c>
      <c r="O72" s="7"/>
      <c r="P72" s="8">
        <v>891</v>
      </c>
      <c r="Q72" s="9">
        <v>45877</v>
      </c>
      <c r="R72" s="10">
        <f>P72-M72</f>
        <v>22.425934471619826</v>
      </c>
      <c r="S72" s="11">
        <v>45931</v>
      </c>
    </row>
    <row r="73" spans="1:19" ht="15" x14ac:dyDescent="0.2">
      <c r="A73" s="6" t="s">
        <v>170</v>
      </c>
      <c r="B73" s="6" t="s">
        <v>43</v>
      </c>
      <c r="C73" s="6" t="s">
        <v>22</v>
      </c>
      <c r="D73" s="6" t="s">
        <v>122</v>
      </c>
      <c r="E73" s="6" t="s">
        <v>122</v>
      </c>
      <c r="F73" s="6" t="s">
        <v>117</v>
      </c>
      <c r="G73" s="6">
        <v>1</v>
      </c>
      <c r="H73" s="6">
        <v>1</v>
      </c>
      <c r="I73" s="6">
        <v>0</v>
      </c>
      <c r="J73" s="6">
        <v>0</v>
      </c>
      <c r="K73" s="6">
        <v>0</v>
      </c>
      <c r="L73" s="7">
        <v>868.57406552838017</v>
      </c>
      <c r="M73" s="7">
        <f t="shared" si="6"/>
        <v>868.57406552838017</v>
      </c>
      <c r="N73" s="7">
        <v>178</v>
      </c>
      <c r="O73" s="7"/>
      <c r="P73" s="8">
        <v>891</v>
      </c>
      <c r="Q73" s="9">
        <v>45877</v>
      </c>
      <c r="R73" s="10">
        <f>P73-M73</f>
        <v>22.425934471619826</v>
      </c>
      <c r="S73" s="11">
        <v>45931</v>
      </c>
    </row>
    <row r="74" spans="1:19" ht="15" x14ac:dyDescent="0.2">
      <c r="A74" s="6" t="s">
        <v>171</v>
      </c>
      <c r="B74" s="6" t="s">
        <v>104</v>
      </c>
      <c r="C74" s="6" t="s">
        <v>37</v>
      </c>
      <c r="D74" s="6" t="s">
        <v>172</v>
      </c>
      <c r="E74" s="6" t="s">
        <v>173</v>
      </c>
      <c r="F74" s="6" t="s">
        <v>117</v>
      </c>
      <c r="G74" s="6">
        <v>3</v>
      </c>
      <c r="H74" s="6">
        <v>2</v>
      </c>
      <c r="I74" s="6">
        <v>0</v>
      </c>
      <c r="J74" s="6">
        <v>1</v>
      </c>
      <c r="K74" s="6">
        <v>0</v>
      </c>
      <c r="L74" s="7">
        <v>730.27226580526064</v>
      </c>
      <c r="M74" s="7">
        <f t="shared" si="6"/>
        <v>1460.5445316105213</v>
      </c>
      <c r="N74" s="7">
        <v>292.10890632210419</v>
      </c>
      <c r="O74" s="7"/>
      <c r="P74" s="8"/>
    </row>
    <row r="75" spans="1:19" ht="15" x14ac:dyDescent="0.2">
      <c r="A75" s="6" t="s">
        <v>174</v>
      </c>
      <c r="B75" s="6" t="s">
        <v>41</v>
      </c>
      <c r="C75" s="6" t="s">
        <v>22</v>
      </c>
      <c r="D75" s="6" t="s">
        <v>175</v>
      </c>
      <c r="E75" s="6" t="s">
        <v>176</v>
      </c>
      <c r="F75" s="6" t="s">
        <v>117</v>
      </c>
      <c r="G75" s="6">
        <v>3</v>
      </c>
      <c r="H75" s="6">
        <v>3</v>
      </c>
      <c r="I75" s="6">
        <v>0</v>
      </c>
      <c r="J75" s="6">
        <v>0</v>
      </c>
      <c r="K75" s="6">
        <v>0</v>
      </c>
      <c r="L75" s="7">
        <v>826.99584679280099</v>
      </c>
      <c r="M75" s="7">
        <f t="shared" si="6"/>
        <v>2480.9875403784031</v>
      </c>
      <c r="N75" s="7">
        <v>496.19750807568062</v>
      </c>
      <c r="O75" s="7"/>
      <c r="P75" s="8"/>
    </row>
    <row r="76" spans="1:19" ht="15" x14ac:dyDescent="0.2">
      <c r="A76" s="6" t="s">
        <v>177</v>
      </c>
      <c r="B76" s="6" t="s">
        <v>41</v>
      </c>
      <c r="C76" s="6" t="s">
        <v>22</v>
      </c>
      <c r="D76" s="6" t="s">
        <v>178</v>
      </c>
      <c r="E76" s="6" t="s">
        <v>179</v>
      </c>
      <c r="F76" s="6" t="s">
        <v>117</v>
      </c>
      <c r="G76" s="6">
        <v>5</v>
      </c>
      <c r="H76" s="6">
        <v>5</v>
      </c>
      <c r="I76" s="6">
        <v>0</v>
      </c>
      <c r="J76" s="6">
        <v>0</v>
      </c>
      <c r="K76" s="6">
        <v>0</v>
      </c>
      <c r="L76" s="7">
        <v>826.99584679280099</v>
      </c>
      <c r="M76" s="7">
        <f t="shared" si="6"/>
        <v>4134.9792339640053</v>
      </c>
      <c r="N76" s="7">
        <v>826.9958467928011</v>
      </c>
      <c r="O76" s="7"/>
      <c r="P76" s="8"/>
    </row>
    <row r="77" spans="1:19" ht="15" x14ac:dyDescent="0.2">
      <c r="A77" s="6" t="s">
        <v>180</v>
      </c>
      <c r="B77" s="6" t="s">
        <v>43</v>
      </c>
      <c r="C77" s="6" t="s">
        <v>22</v>
      </c>
      <c r="D77" s="6" t="s">
        <v>166</v>
      </c>
      <c r="E77" s="6" t="s">
        <v>166</v>
      </c>
      <c r="F77" s="6" t="s">
        <v>117</v>
      </c>
      <c r="G77" s="6">
        <v>1</v>
      </c>
      <c r="H77" s="6">
        <v>1</v>
      </c>
      <c r="I77" s="6">
        <v>0</v>
      </c>
      <c r="J77" s="6">
        <v>0</v>
      </c>
      <c r="K77" s="6">
        <v>0</v>
      </c>
      <c r="L77" s="7">
        <v>868.57406552838017</v>
      </c>
      <c r="M77" s="7">
        <f t="shared" si="6"/>
        <v>868.57406552838017</v>
      </c>
      <c r="N77" s="7">
        <v>178</v>
      </c>
      <c r="O77" s="7"/>
      <c r="P77" s="8">
        <v>891</v>
      </c>
      <c r="Q77" s="9">
        <v>45877</v>
      </c>
      <c r="R77" s="10">
        <f t="shared" ref="R77:R84" si="7">P77-M77</f>
        <v>22.425934471619826</v>
      </c>
      <c r="S77" s="11">
        <v>45931</v>
      </c>
    </row>
    <row r="78" spans="1:19" ht="15" x14ac:dyDescent="0.2">
      <c r="A78" s="6" t="s">
        <v>180</v>
      </c>
      <c r="B78" s="6" t="s">
        <v>43</v>
      </c>
      <c r="C78" s="6" t="s">
        <v>22</v>
      </c>
      <c r="D78" s="13">
        <v>45802</v>
      </c>
      <c r="E78" s="13">
        <v>45808</v>
      </c>
      <c r="F78" s="6" t="s">
        <v>117</v>
      </c>
      <c r="G78" s="6">
        <v>7</v>
      </c>
      <c r="H78" s="6">
        <v>5</v>
      </c>
      <c r="I78" s="6">
        <v>2</v>
      </c>
      <c r="J78" s="6">
        <v>0</v>
      </c>
      <c r="K78" s="6">
        <v>0</v>
      </c>
      <c r="L78" s="7">
        <v>868.57406552838017</v>
      </c>
      <c r="M78" s="7">
        <f t="shared" si="6"/>
        <v>4342.870327641901</v>
      </c>
      <c r="N78" s="7">
        <v>1247</v>
      </c>
      <c r="O78" s="7"/>
      <c r="P78" s="8">
        <v>6234</v>
      </c>
      <c r="Q78" s="9">
        <v>45877</v>
      </c>
      <c r="R78" s="10">
        <f t="shared" si="7"/>
        <v>1891.129672358099</v>
      </c>
      <c r="S78" s="11">
        <v>45931</v>
      </c>
    </row>
    <row r="79" spans="1:19" ht="15" x14ac:dyDescent="0.2">
      <c r="A79" s="6" t="s">
        <v>180</v>
      </c>
      <c r="B79" s="6" t="s">
        <v>43</v>
      </c>
      <c r="C79" s="6" t="s">
        <v>22</v>
      </c>
      <c r="D79" s="13">
        <v>45809</v>
      </c>
      <c r="E79" s="13">
        <v>45838</v>
      </c>
      <c r="F79" s="16" t="s">
        <v>143</v>
      </c>
      <c r="G79" s="6">
        <v>30</v>
      </c>
      <c r="H79" s="6">
        <v>22</v>
      </c>
      <c r="I79" s="6">
        <v>4</v>
      </c>
      <c r="J79" s="6">
        <v>4</v>
      </c>
      <c r="K79" s="6">
        <v>0</v>
      </c>
      <c r="L79" s="7">
        <v>868.57406552838017</v>
      </c>
      <c r="M79" s="7">
        <f>'[1]1️⃣ רשימת עובדים'!F13</f>
        <v>18822</v>
      </c>
      <c r="N79" s="7">
        <v>5333</v>
      </c>
      <c r="O79" s="7"/>
      <c r="P79" s="8">
        <v>26717</v>
      </c>
      <c r="Q79" s="9">
        <v>45877</v>
      </c>
      <c r="R79" s="10">
        <f t="shared" si="7"/>
        <v>7895</v>
      </c>
      <c r="S79" s="11">
        <v>45931</v>
      </c>
    </row>
    <row r="80" spans="1:19" ht="15" x14ac:dyDescent="0.2">
      <c r="A80" s="6" t="s">
        <v>180</v>
      </c>
      <c r="B80" s="6" t="s">
        <v>43</v>
      </c>
      <c r="C80" s="6" t="s">
        <v>22</v>
      </c>
      <c r="D80" s="13">
        <v>45839</v>
      </c>
      <c r="E80" s="13">
        <v>45869</v>
      </c>
      <c r="F80" s="16" t="s">
        <v>181</v>
      </c>
      <c r="G80" s="6">
        <v>31</v>
      </c>
      <c r="H80" s="6">
        <v>23</v>
      </c>
      <c r="I80" s="6">
        <v>4</v>
      </c>
      <c r="J80" s="6">
        <v>4</v>
      </c>
      <c r="K80" s="6">
        <v>0</v>
      </c>
      <c r="L80" s="7">
        <v>868.57406552838017</v>
      </c>
      <c r="M80" s="7">
        <f>'[1]1️⃣ רשימת עובדים'!F5</f>
        <v>18828</v>
      </c>
      <c r="N80" s="7">
        <v>5448</v>
      </c>
      <c r="O80" s="7"/>
      <c r="P80" s="8">
        <v>27607</v>
      </c>
      <c r="Q80" s="9">
        <v>45877</v>
      </c>
      <c r="R80" s="10">
        <f t="shared" si="7"/>
        <v>8779</v>
      </c>
      <c r="S80" s="11">
        <v>45931</v>
      </c>
    </row>
    <row r="81" spans="1:20" ht="15" x14ac:dyDescent="0.2">
      <c r="A81" s="6" t="s">
        <v>182</v>
      </c>
      <c r="B81" s="6" t="s">
        <v>48</v>
      </c>
      <c r="C81" s="6" t="s">
        <v>22</v>
      </c>
      <c r="D81" s="6" t="s">
        <v>96</v>
      </c>
      <c r="E81" s="6" t="s">
        <v>96</v>
      </c>
      <c r="F81" s="6" t="s">
        <v>93</v>
      </c>
      <c r="G81" s="6">
        <v>1</v>
      </c>
      <c r="H81" s="6">
        <v>1</v>
      </c>
      <c r="I81" s="6">
        <v>0</v>
      </c>
      <c r="J81" s="6">
        <v>0</v>
      </c>
      <c r="K81" s="6">
        <v>0</v>
      </c>
      <c r="L81" s="7">
        <v>929.85694508537142</v>
      </c>
      <c r="M81" s="7">
        <f t="shared" ref="M81:M144" si="8">L81*H81</f>
        <v>929.85694508537142</v>
      </c>
      <c r="N81" s="7">
        <v>162</v>
      </c>
      <c r="O81" s="7"/>
      <c r="P81" s="8">
        <v>1136</v>
      </c>
      <c r="Q81" s="9">
        <v>45877</v>
      </c>
      <c r="R81" s="10">
        <f t="shared" si="7"/>
        <v>206.14305491462858</v>
      </c>
      <c r="T81" t="s">
        <v>183</v>
      </c>
    </row>
    <row r="82" spans="1:20" ht="15" x14ac:dyDescent="0.2">
      <c r="A82" s="6" t="s">
        <v>184</v>
      </c>
      <c r="B82" s="6" t="s">
        <v>48</v>
      </c>
      <c r="C82" s="6" t="s">
        <v>22</v>
      </c>
      <c r="D82" s="6" t="s">
        <v>105</v>
      </c>
      <c r="E82" s="6" t="s">
        <v>126</v>
      </c>
      <c r="F82" s="6" t="s">
        <v>93</v>
      </c>
      <c r="G82" s="6">
        <v>2</v>
      </c>
      <c r="H82" s="6">
        <v>2</v>
      </c>
      <c r="I82" s="6">
        <v>0</v>
      </c>
      <c r="J82" s="6">
        <v>0</v>
      </c>
      <c r="K82" s="6">
        <v>0</v>
      </c>
      <c r="L82" s="7">
        <v>929.85694508537142</v>
      </c>
      <c r="M82" s="7">
        <f t="shared" si="8"/>
        <v>1859.7138901707428</v>
      </c>
      <c r="N82" s="7">
        <v>325</v>
      </c>
      <c r="O82" s="7"/>
      <c r="P82" s="8">
        <v>2273</v>
      </c>
      <c r="Q82" s="9">
        <v>45877</v>
      </c>
      <c r="R82" s="10">
        <f t="shared" si="7"/>
        <v>413.28610982925716</v>
      </c>
      <c r="T82" t="s">
        <v>183</v>
      </c>
    </row>
    <row r="83" spans="1:20" ht="15" x14ac:dyDescent="0.2">
      <c r="A83" s="6" t="s">
        <v>185</v>
      </c>
      <c r="B83" s="6" t="s">
        <v>48</v>
      </c>
      <c r="C83" s="6" t="s">
        <v>22</v>
      </c>
      <c r="D83" s="6" t="s">
        <v>128</v>
      </c>
      <c r="E83" s="6" t="s">
        <v>128</v>
      </c>
      <c r="F83" s="6" t="s">
        <v>93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7">
        <v>929.85694508537142</v>
      </c>
      <c r="M83" s="7">
        <f t="shared" si="8"/>
        <v>929.85694508537142</v>
      </c>
      <c r="N83" s="7">
        <v>162</v>
      </c>
      <c r="O83" s="7"/>
      <c r="P83" s="8">
        <v>1136</v>
      </c>
      <c r="Q83" s="9">
        <v>45877</v>
      </c>
      <c r="R83" s="10">
        <f t="shared" si="7"/>
        <v>206.14305491462858</v>
      </c>
      <c r="T83" t="s">
        <v>183</v>
      </c>
    </row>
    <row r="84" spans="1:20" ht="15" x14ac:dyDescent="0.2">
      <c r="A84" s="6" t="s">
        <v>186</v>
      </c>
      <c r="B84" s="6" t="s">
        <v>48</v>
      </c>
      <c r="C84" s="6" t="s">
        <v>22</v>
      </c>
      <c r="D84" s="6" t="s">
        <v>158</v>
      </c>
      <c r="E84" s="6" t="s">
        <v>158</v>
      </c>
      <c r="F84" s="6" t="s">
        <v>111</v>
      </c>
      <c r="G84" s="6">
        <v>1</v>
      </c>
      <c r="H84" s="6">
        <v>1</v>
      </c>
      <c r="I84" s="6">
        <v>0</v>
      </c>
      <c r="J84" s="6">
        <v>0</v>
      </c>
      <c r="K84" s="6">
        <v>0</v>
      </c>
      <c r="L84" s="7">
        <v>929.85694508537142</v>
      </c>
      <c r="M84" s="7">
        <f t="shared" si="8"/>
        <v>929.85694508537142</v>
      </c>
      <c r="N84" s="7">
        <v>163</v>
      </c>
      <c r="O84" s="7"/>
      <c r="P84" s="8">
        <v>1138</v>
      </c>
      <c r="Q84" s="9">
        <v>45877</v>
      </c>
      <c r="R84" s="10">
        <f t="shared" si="7"/>
        <v>208.14305491462858</v>
      </c>
      <c r="T84" t="s">
        <v>183</v>
      </c>
    </row>
    <row r="85" spans="1:20" ht="15" x14ac:dyDescent="0.2">
      <c r="A85" s="6" t="s">
        <v>187</v>
      </c>
      <c r="B85" s="6" t="s">
        <v>53</v>
      </c>
      <c r="C85" s="6" t="s">
        <v>37</v>
      </c>
      <c r="D85" s="6" t="s">
        <v>188</v>
      </c>
      <c r="E85" s="6" t="s">
        <v>189</v>
      </c>
      <c r="F85" s="6" t="s">
        <v>117</v>
      </c>
      <c r="G85" s="6">
        <v>2</v>
      </c>
      <c r="H85" s="6">
        <v>2</v>
      </c>
      <c r="I85" s="6">
        <v>0</v>
      </c>
      <c r="J85" s="6">
        <v>0</v>
      </c>
      <c r="K85" s="6">
        <v>0</v>
      </c>
      <c r="L85" s="7">
        <v>914.85925242270412</v>
      </c>
      <c r="M85" s="7">
        <f t="shared" si="8"/>
        <v>1829.7185048454082</v>
      </c>
      <c r="N85" s="7"/>
      <c r="O85" s="7"/>
      <c r="P85" s="8"/>
    </row>
    <row r="86" spans="1:20" ht="15" x14ac:dyDescent="0.2">
      <c r="A86" s="6" t="s">
        <v>190</v>
      </c>
      <c r="B86" s="6" t="s">
        <v>53</v>
      </c>
      <c r="C86" s="6" t="s">
        <v>37</v>
      </c>
      <c r="D86" s="6" t="s">
        <v>191</v>
      </c>
      <c r="E86" s="6" t="s">
        <v>191</v>
      </c>
      <c r="F86" s="6" t="s">
        <v>117</v>
      </c>
      <c r="G86" s="6">
        <v>1</v>
      </c>
      <c r="H86" s="6">
        <v>0</v>
      </c>
      <c r="I86" s="6">
        <v>0</v>
      </c>
      <c r="J86" s="6">
        <v>1</v>
      </c>
      <c r="K86" s="6">
        <v>0</v>
      </c>
      <c r="L86" s="7">
        <v>914.85925242270412</v>
      </c>
      <c r="M86" s="7">
        <f t="shared" si="8"/>
        <v>0</v>
      </c>
      <c r="N86" s="7"/>
      <c r="O86" s="7"/>
      <c r="P86" s="8"/>
    </row>
    <row r="87" spans="1:20" ht="15" x14ac:dyDescent="0.2">
      <c r="A87" s="6" t="s">
        <v>192</v>
      </c>
      <c r="B87" s="6" t="s">
        <v>53</v>
      </c>
      <c r="C87" s="6" t="s">
        <v>37</v>
      </c>
      <c r="D87" s="6" t="s">
        <v>175</v>
      </c>
      <c r="E87" s="6" t="s">
        <v>175</v>
      </c>
      <c r="F87" s="6" t="s">
        <v>117</v>
      </c>
      <c r="G87" s="6">
        <v>1</v>
      </c>
      <c r="H87" s="6">
        <v>1</v>
      </c>
      <c r="I87" s="6">
        <v>0</v>
      </c>
      <c r="J87" s="6">
        <v>0</v>
      </c>
      <c r="K87" s="6">
        <v>0</v>
      </c>
      <c r="L87" s="7">
        <v>914.85925242270412</v>
      </c>
      <c r="M87" s="7">
        <f t="shared" si="8"/>
        <v>914.85925242270412</v>
      </c>
      <c r="N87" s="7"/>
      <c r="O87" s="7"/>
      <c r="P87" s="8"/>
    </row>
    <row r="88" spans="1:20" ht="15" x14ac:dyDescent="0.2">
      <c r="A88" s="6" t="s">
        <v>193</v>
      </c>
      <c r="B88" s="6" t="s">
        <v>53</v>
      </c>
      <c r="C88" s="6" t="s">
        <v>37</v>
      </c>
      <c r="D88" s="6" t="s">
        <v>176</v>
      </c>
      <c r="E88" s="6" t="s">
        <v>176</v>
      </c>
      <c r="F88" s="6" t="s">
        <v>117</v>
      </c>
      <c r="G88" s="6">
        <v>1</v>
      </c>
      <c r="H88" s="6">
        <v>1</v>
      </c>
      <c r="I88" s="6">
        <v>0</v>
      </c>
      <c r="J88" s="6">
        <v>0</v>
      </c>
      <c r="K88" s="6">
        <v>0</v>
      </c>
      <c r="L88" s="7">
        <v>914.85925242270412</v>
      </c>
      <c r="M88" s="7">
        <f t="shared" si="8"/>
        <v>914.85925242270412</v>
      </c>
      <c r="N88" s="7"/>
      <c r="O88" s="7"/>
      <c r="P88" s="8"/>
    </row>
    <row r="89" spans="1:20" ht="15" x14ac:dyDescent="0.2">
      <c r="A89" s="6" t="s">
        <v>194</v>
      </c>
      <c r="B89" s="6" t="s">
        <v>53</v>
      </c>
      <c r="C89" s="6" t="s">
        <v>37</v>
      </c>
      <c r="D89" s="6" t="s">
        <v>172</v>
      </c>
      <c r="E89" s="6" t="s">
        <v>172</v>
      </c>
      <c r="F89" s="6" t="s">
        <v>117</v>
      </c>
      <c r="G89" s="6">
        <v>1</v>
      </c>
      <c r="H89" s="6">
        <v>0</v>
      </c>
      <c r="I89" s="6">
        <v>0</v>
      </c>
      <c r="J89" s="6">
        <v>1</v>
      </c>
      <c r="K89" s="6">
        <v>0</v>
      </c>
      <c r="L89" s="7">
        <v>914.85925242270412</v>
      </c>
      <c r="M89" s="7">
        <f t="shared" si="8"/>
        <v>0</v>
      </c>
      <c r="N89" s="7"/>
      <c r="O89" s="7"/>
      <c r="P89" s="8"/>
    </row>
    <row r="90" spans="1:20" ht="15" x14ac:dyDescent="0.2">
      <c r="A90" s="6" t="s">
        <v>195</v>
      </c>
      <c r="B90" s="6" t="s">
        <v>133</v>
      </c>
      <c r="C90" s="6" t="s">
        <v>22</v>
      </c>
      <c r="D90" s="6" t="s">
        <v>163</v>
      </c>
      <c r="E90" s="6" t="s">
        <v>176</v>
      </c>
      <c r="F90" s="6" t="s">
        <v>117</v>
      </c>
      <c r="G90" s="6">
        <v>2</v>
      </c>
      <c r="H90" s="6">
        <v>2</v>
      </c>
      <c r="I90" s="6">
        <v>0</v>
      </c>
      <c r="J90" s="6">
        <v>0</v>
      </c>
      <c r="K90" s="6">
        <v>0</v>
      </c>
      <c r="L90" s="7">
        <v>812.22888786340559</v>
      </c>
      <c r="M90" s="7">
        <f t="shared" si="8"/>
        <v>1624.4577757268112</v>
      </c>
      <c r="N90" s="7">
        <v>324.89155514536219</v>
      </c>
      <c r="O90" s="7"/>
      <c r="P90" s="8"/>
    </row>
    <row r="91" spans="1:20" ht="15" x14ac:dyDescent="0.2">
      <c r="A91" s="6" t="s">
        <v>196</v>
      </c>
      <c r="B91" s="6" t="s">
        <v>133</v>
      </c>
      <c r="C91" s="6" t="s">
        <v>22</v>
      </c>
      <c r="D91" s="6" t="s">
        <v>172</v>
      </c>
      <c r="E91" s="6" t="s">
        <v>140</v>
      </c>
      <c r="F91" s="6" t="s">
        <v>117</v>
      </c>
      <c r="G91" s="6">
        <v>5</v>
      </c>
      <c r="H91" s="6">
        <v>4</v>
      </c>
      <c r="I91" s="6">
        <v>0</v>
      </c>
      <c r="J91" s="6">
        <v>1</v>
      </c>
      <c r="K91" s="6">
        <v>0</v>
      </c>
      <c r="L91" s="7">
        <v>812.22888786340559</v>
      </c>
      <c r="M91" s="7">
        <f t="shared" si="8"/>
        <v>3248.9155514536224</v>
      </c>
      <c r="N91" s="7">
        <v>649.78311029072449</v>
      </c>
      <c r="O91" s="7"/>
      <c r="P91" s="8"/>
    </row>
    <row r="92" spans="1:20" ht="15" x14ac:dyDescent="0.2">
      <c r="A92" s="6" t="s">
        <v>197</v>
      </c>
      <c r="B92" s="6" t="s">
        <v>198</v>
      </c>
      <c r="C92" s="6" t="s">
        <v>28</v>
      </c>
      <c r="D92" s="6" t="s">
        <v>173</v>
      </c>
      <c r="E92" s="6" t="s">
        <v>124</v>
      </c>
      <c r="F92" s="6" t="s">
        <v>117</v>
      </c>
      <c r="G92" s="6">
        <v>2</v>
      </c>
      <c r="H92" s="6">
        <v>2</v>
      </c>
      <c r="I92" s="6">
        <v>0</v>
      </c>
      <c r="J92" s="6">
        <v>0</v>
      </c>
      <c r="K92" s="6">
        <v>0</v>
      </c>
      <c r="L92" s="7">
        <v>815.41301338255641</v>
      </c>
      <c r="M92" s="7">
        <f t="shared" si="8"/>
        <v>1630.8260267651128</v>
      </c>
      <c r="N92" s="7">
        <v>326.1652053530226</v>
      </c>
      <c r="O92" s="7"/>
      <c r="P92" s="8"/>
    </row>
    <row r="93" spans="1:20" ht="15" x14ac:dyDescent="0.2">
      <c r="A93" s="6" t="s">
        <v>199</v>
      </c>
      <c r="B93" s="6" t="s">
        <v>21</v>
      </c>
      <c r="C93" s="6" t="s">
        <v>22</v>
      </c>
      <c r="D93" s="6" t="s">
        <v>148</v>
      </c>
      <c r="E93" s="6" t="s">
        <v>200</v>
      </c>
      <c r="F93" s="6" t="s">
        <v>143</v>
      </c>
      <c r="G93" s="6">
        <v>15</v>
      </c>
      <c r="H93" s="6">
        <v>11</v>
      </c>
      <c r="I93" s="6">
        <v>2</v>
      </c>
      <c r="J93" s="6">
        <v>2</v>
      </c>
      <c r="K93" s="6">
        <v>0</v>
      </c>
      <c r="L93" s="7">
        <v>946.00830641439768</v>
      </c>
      <c r="M93" s="7">
        <f t="shared" si="8"/>
        <v>10406.091370558375</v>
      </c>
      <c r="N93" s="7">
        <v>2081.2182741116749</v>
      </c>
      <c r="O93" s="7"/>
      <c r="P93" s="8"/>
    </row>
    <row r="94" spans="1:20" ht="15" x14ac:dyDescent="0.2">
      <c r="A94" s="6" t="s">
        <v>201</v>
      </c>
      <c r="B94" s="6" t="s">
        <v>32</v>
      </c>
      <c r="C94" s="6" t="s">
        <v>28</v>
      </c>
      <c r="D94" s="6" t="s">
        <v>202</v>
      </c>
      <c r="E94" s="6" t="s">
        <v>203</v>
      </c>
      <c r="F94" s="6" t="s">
        <v>143</v>
      </c>
      <c r="G94" s="6">
        <v>28</v>
      </c>
      <c r="H94" s="6">
        <v>20</v>
      </c>
      <c r="I94" s="6">
        <v>4</v>
      </c>
      <c r="J94" s="6">
        <v>4</v>
      </c>
      <c r="K94" s="6">
        <v>0</v>
      </c>
      <c r="L94" s="7">
        <v>670.60452238117205</v>
      </c>
      <c r="M94" s="7">
        <f t="shared" si="8"/>
        <v>13412.090447623441</v>
      </c>
      <c r="N94" s="7">
        <v>2682.4180895246882</v>
      </c>
      <c r="O94" s="7"/>
      <c r="P94" s="8"/>
    </row>
    <row r="95" spans="1:20" ht="15" x14ac:dyDescent="0.2">
      <c r="A95" s="6" t="s">
        <v>204</v>
      </c>
      <c r="B95" s="6" t="s">
        <v>205</v>
      </c>
      <c r="C95" s="6" t="s">
        <v>28</v>
      </c>
      <c r="D95" s="6" t="s">
        <v>142</v>
      </c>
      <c r="E95" s="6" t="s">
        <v>142</v>
      </c>
      <c r="F95" s="6" t="s">
        <v>143</v>
      </c>
      <c r="G95" s="6">
        <v>1</v>
      </c>
      <c r="H95" s="6">
        <v>1</v>
      </c>
      <c r="I95" s="6">
        <v>0</v>
      </c>
      <c r="J95" s="6">
        <v>0</v>
      </c>
      <c r="K95" s="6">
        <v>0</v>
      </c>
      <c r="L95" s="7">
        <v>950.00461467466528</v>
      </c>
      <c r="M95" s="7">
        <f t="shared" si="8"/>
        <v>950.00461467466528</v>
      </c>
      <c r="N95" s="7">
        <v>190.0009229349331</v>
      </c>
      <c r="O95" s="7"/>
      <c r="P95" s="8"/>
    </row>
    <row r="96" spans="1:20" ht="15" x14ac:dyDescent="0.2">
      <c r="A96" s="6" t="s">
        <v>206</v>
      </c>
      <c r="B96" s="6" t="s">
        <v>65</v>
      </c>
      <c r="C96" s="6" t="s">
        <v>37</v>
      </c>
      <c r="D96" s="6" t="s">
        <v>148</v>
      </c>
      <c r="E96" s="6" t="s">
        <v>207</v>
      </c>
      <c r="F96" s="6" t="s">
        <v>143</v>
      </c>
      <c r="G96" s="6">
        <v>18</v>
      </c>
      <c r="H96" s="6">
        <v>12</v>
      </c>
      <c r="I96" s="6">
        <v>3</v>
      </c>
      <c r="J96" s="6">
        <v>3</v>
      </c>
      <c r="K96" s="6">
        <v>0</v>
      </c>
      <c r="L96" s="7">
        <v>1282.464236271343</v>
      </c>
      <c r="M96" s="7">
        <f t="shared" si="8"/>
        <v>15389.570835256116</v>
      </c>
      <c r="N96" s="7">
        <v>3077.914167051224</v>
      </c>
      <c r="O96" s="7"/>
      <c r="P96" s="8"/>
    </row>
    <row r="97" spans="1:20" ht="15" x14ac:dyDescent="0.2">
      <c r="A97" s="6" t="s">
        <v>208</v>
      </c>
      <c r="B97" s="6" t="s">
        <v>48</v>
      </c>
      <c r="C97" s="6" t="s">
        <v>22</v>
      </c>
      <c r="D97" s="6" t="s">
        <v>165</v>
      </c>
      <c r="E97" s="6" t="s">
        <v>165</v>
      </c>
      <c r="F97" s="6" t="s">
        <v>117</v>
      </c>
      <c r="G97" s="6">
        <v>1</v>
      </c>
      <c r="H97" s="6">
        <v>1</v>
      </c>
      <c r="I97" s="6">
        <v>0</v>
      </c>
      <c r="J97" s="6">
        <v>1</v>
      </c>
      <c r="K97" s="6">
        <v>0</v>
      </c>
      <c r="L97" s="7">
        <v>929.85694508537142</v>
      </c>
      <c r="M97" s="7">
        <f t="shared" si="8"/>
        <v>929.85694508537142</v>
      </c>
      <c r="N97" s="7">
        <v>161</v>
      </c>
      <c r="O97" s="7"/>
      <c r="P97" s="8">
        <v>511</v>
      </c>
      <c r="Q97" s="9">
        <v>45877</v>
      </c>
      <c r="R97" s="10">
        <f>P97-M97</f>
        <v>-418.85694508537142</v>
      </c>
      <c r="T97" t="s">
        <v>183</v>
      </c>
    </row>
    <row r="98" spans="1:20" ht="15" x14ac:dyDescent="0.2">
      <c r="A98" s="6" t="s">
        <v>209</v>
      </c>
      <c r="B98" s="6" t="s">
        <v>48</v>
      </c>
      <c r="C98" s="6" t="s">
        <v>22</v>
      </c>
      <c r="D98" s="6" t="s">
        <v>122</v>
      </c>
      <c r="E98" s="6" t="s">
        <v>210</v>
      </c>
      <c r="F98" s="6" t="s">
        <v>117</v>
      </c>
      <c r="G98" s="6">
        <v>4</v>
      </c>
      <c r="H98" s="6">
        <v>4</v>
      </c>
      <c r="I98" s="6">
        <v>0</v>
      </c>
      <c r="J98" s="6">
        <v>0</v>
      </c>
      <c r="K98" s="6">
        <v>0</v>
      </c>
      <c r="L98" s="7">
        <v>929.85694508537142</v>
      </c>
      <c r="M98" s="7">
        <f t="shared" si="8"/>
        <v>3719.4277803414857</v>
      </c>
      <c r="N98" s="7">
        <v>644</v>
      </c>
      <c r="O98" s="7"/>
      <c r="P98" s="8">
        <v>2042</v>
      </c>
      <c r="Q98" s="9">
        <v>45877</v>
      </c>
      <c r="R98" s="10">
        <f>P98-M98</f>
        <v>-1677.4277803414857</v>
      </c>
      <c r="T98" t="s">
        <v>183</v>
      </c>
    </row>
    <row r="99" spans="1:20" ht="15" x14ac:dyDescent="0.2">
      <c r="A99" s="6" t="s">
        <v>211</v>
      </c>
      <c r="B99" s="6" t="s">
        <v>104</v>
      </c>
      <c r="C99" s="6" t="s">
        <v>37</v>
      </c>
      <c r="D99" s="6" t="s">
        <v>212</v>
      </c>
      <c r="E99" s="6" t="s">
        <v>213</v>
      </c>
      <c r="F99" s="6" t="s">
        <v>143</v>
      </c>
      <c r="G99" s="6">
        <v>8</v>
      </c>
      <c r="H99" s="6">
        <v>6</v>
      </c>
      <c r="I99" s="6">
        <v>1</v>
      </c>
      <c r="J99" s="6">
        <v>1</v>
      </c>
      <c r="K99" s="6">
        <v>0</v>
      </c>
      <c r="L99" s="7">
        <v>730.27226580526064</v>
      </c>
      <c r="M99" s="7">
        <f t="shared" si="8"/>
        <v>4381.6335948315636</v>
      </c>
      <c r="N99" s="7">
        <v>876.3267189663128</v>
      </c>
      <c r="O99" s="7"/>
      <c r="P99" s="8"/>
    </row>
    <row r="100" spans="1:20" ht="15" x14ac:dyDescent="0.2">
      <c r="A100" s="6" t="s">
        <v>214</v>
      </c>
      <c r="B100" s="6" t="s">
        <v>41</v>
      </c>
      <c r="C100" s="6" t="s">
        <v>22</v>
      </c>
      <c r="D100" s="6" t="s">
        <v>215</v>
      </c>
      <c r="E100" s="6" t="s">
        <v>216</v>
      </c>
      <c r="F100" s="6" t="s">
        <v>143</v>
      </c>
      <c r="G100" s="6">
        <v>5</v>
      </c>
      <c r="H100" s="6">
        <v>3</v>
      </c>
      <c r="I100" s="6">
        <v>1</v>
      </c>
      <c r="J100" s="6">
        <v>1</v>
      </c>
      <c r="K100" s="6">
        <v>0</v>
      </c>
      <c r="L100" s="7">
        <v>826.99584679280099</v>
      </c>
      <c r="M100" s="7">
        <f t="shared" si="8"/>
        <v>2480.9875403784031</v>
      </c>
      <c r="N100" s="7">
        <v>496.19750807568062</v>
      </c>
      <c r="O100" s="7"/>
      <c r="P100" s="8"/>
    </row>
    <row r="101" spans="1:20" ht="15" x14ac:dyDescent="0.2">
      <c r="A101" s="6" t="s">
        <v>217</v>
      </c>
      <c r="B101" s="6" t="s">
        <v>119</v>
      </c>
      <c r="C101" s="6" t="s">
        <v>37</v>
      </c>
      <c r="D101" s="6" t="s">
        <v>218</v>
      </c>
      <c r="E101" s="6" t="s">
        <v>219</v>
      </c>
      <c r="F101" s="6" t="s">
        <v>143</v>
      </c>
      <c r="G101" s="6">
        <v>6</v>
      </c>
      <c r="H101" s="6">
        <v>4</v>
      </c>
      <c r="I101" s="6">
        <v>1</v>
      </c>
      <c r="J101" s="6">
        <v>1</v>
      </c>
      <c r="K101" s="6">
        <v>0</v>
      </c>
      <c r="L101" s="7">
        <v>914.90539916935847</v>
      </c>
      <c r="M101" s="7">
        <f t="shared" si="8"/>
        <v>3659.6215966774339</v>
      </c>
      <c r="N101" s="7">
        <v>731.92431933548687</v>
      </c>
      <c r="O101" s="7"/>
      <c r="P101" s="8"/>
    </row>
    <row r="102" spans="1:20" ht="15" x14ac:dyDescent="0.2">
      <c r="A102" s="6" t="s">
        <v>220</v>
      </c>
      <c r="B102" s="6" t="s">
        <v>53</v>
      </c>
      <c r="C102" s="6" t="s">
        <v>37</v>
      </c>
      <c r="D102" s="6" t="s">
        <v>202</v>
      </c>
      <c r="E102" s="6" t="s">
        <v>221</v>
      </c>
      <c r="F102" s="6" t="s">
        <v>143</v>
      </c>
      <c r="G102" s="6">
        <v>2</v>
      </c>
      <c r="H102" s="6">
        <v>2</v>
      </c>
      <c r="I102" s="6">
        <v>0</v>
      </c>
      <c r="J102" s="6">
        <v>0</v>
      </c>
      <c r="K102" s="6">
        <v>0</v>
      </c>
      <c r="L102" s="7">
        <v>914.85925242270412</v>
      </c>
      <c r="M102" s="7">
        <f t="shared" si="8"/>
        <v>1829.7185048454082</v>
      </c>
      <c r="N102" s="7"/>
      <c r="O102" s="7"/>
      <c r="P102" s="8"/>
    </row>
    <row r="103" spans="1:20" ht="15" x14ac:dyDescent="0.2">
      <c r="A103" s="6" t="s">
        <v>222</v>
      </c>
      <c r="B103" s="6" t="s">
        <v>53</v>
      </c>
      <c r="C103" s="6" t="s">
        <v>37</v>
      </c>
      <c r="D103" s="6" t="s">
        <v>223</v>
      </c>
      <c r="E103" s="6" t="s">
        <v>223</v>
      </c>
      <c r="F103" s="6" t="s">
        <v>143</v>
      </c>
      <c r="G103" s="6">
        <v>1</v>
      </c>
      <c r="H103" s="6">
        <v>0</v>
      </c>
      <c r="I103" s="6">
        <v>0</v>
      </c>
      <c r="J103" s="6">
        <v>1</v>
      </c>
      <c r="K103" s="6">
        <v>0</v>
      </c>
      <c r="L103" s="7">
        <v>914.85925242270412</v>
      </c>
      <c r="M103" s="7">
        <f t="shared" si="8"/>
        <v>0</v>
      </c>
      <c r="N103" s="7"/>
      <c r="O103" s="7"/>
      <c r="P103" s="8"/>
    </row>
    <row r="104" spans="1:20" ht="15" x14ac:dyDescent="0.2">
      <c r="A104" s="6" t="s">
        <v>224</v>
      </c>
      <c r="B104" s="6" t="s">
        <v>53</v>
      </c>
      <c r="C104" s="6" t="s">
        <v>37</v>
      </c>
      <c r="D104" s="6" t="s">
        <v>147</v>
      </c>
      <c r="E104" s="6" t="s">
        <v>207</v>
      </c>
      <c r="F104" s="6" t="s">
        <v>143</v>
      </c>
      <c r="G104" s="6">
        <v>19</v>
      </c>
      <c r="H104" s="6">
        <v>13</v>
      </c>
      <c r="I104" s="6">
        <v>3</v>
      </c>
      <c r="J104" s="6">
        <v>3</v>
      </c>
      <c r="K104" s="6">
        <v>0</v>
      </c>
      <c r="L104" s="7">
        <v>914.85925242270412</v>
      </c>
      <c r="M104" s="7">
        <f t="shared" si="8"/>
        <v>11893.170281495153</v>
      </c>
      <c r="N104" s="7"/>
      <c r="O104" s="7"/>
      <c r="P104" s="8"/>
    </row>
    <row r="105" spans="1:20" ht="15" x14ac:dyDescent="0.2">
      <c r="A105" s="6" t="s">
        <v>225</v>
      </c>
      <c r="B105" s="6" t="s">
        <v>133</v>
      </c>
      <c r="C105" s="6" t="s">
        <v>22</v>
      </c>
      <c r="D105" s="6" t="s">
        <v>226</v>
      </c>
      <c r="E105" s="6" t="s">
        <v>148</v>
      </c>
      <c r="F105" s="6" t="s">
        <v>143</v>
      </c>
      <c r="G105" s="6">
        <v>3</v>
      </c>
      <c r="H105" s="6">
        <v>3</v>
      </c>
      <c r="I105" s="6">
        <v>0</v>
      </c>
      <c r="J105" s="6">
        <v>0</v>
      </c>
      <c r="K105" s="6">
        <v>0</v>
      </c>
      <c r="L105" s="7">
        <v>812.22888786340559</v>
      </c>
      <c r="M105" s="7">
        <f t="shared" si="8"/>
        <v>2436.686663590217</v>
      </c>
      <c r="N105" s="7">
        <v>487.3373327180434</v>
      </c>
      <c r="O105" s="7"/>
      <c r="P105" s="8"/>
    </row>
    <row r="106" spans="1:20" ht="15" x14ac:dyDescent="0.2">
      <c r="A106" s="6" t="s">
        <v>227</v>
      </c>
      <c r="B106" s="6" t="s">
        <v>133</v>
      </c>
      <c r="C106" s="6" t="s">
        <v>22</v>
      </c>
      <c r="D106" s="6" t="s">
        <v>228</v>
      </c>
      <c r="E106" s="6" t="s">
        <v>228</v>
      </c>
      <c r="F106" s="6" t="s">
        <v>143</v>
      </c>
      <c r="G106" s="6">
        <v>1</v>
      </c>
      <c r="H106" s="6">
        <v>0</v>
      </c>
      <c r="I106" s="6">
        <v>0</v>
      </c>
      <c r="J106" s="6">
        <v>1</v>
      </c>
      <c r="K106" s="6">
        <v>0</v>
      </c>
      <c r="L106" s="7">
        <v>812.22888786340559</v>
      </c>
      <c r="M106" s="7">
        <f t="shared" si="8"/>
        <v>0</v>
      </c>
      <c r="N106" s="7">
        <v>0</v>
      </c>
      <c r="O106" s="7"/>
      <c r="P106" s="8"/>
    </row>
    <row r="107" spans="1:20" ht="15" x14ac:dyDescent="0.2">
      <c r="A107" s="6" t="s">
        <v>229</v>
      </c>
      <c r="B107" s="6" t="s">
        <v>198</v>
      </c>
      <c r="C107" s="6" t="s">
        <v>28</v>
      </c>
      <c r="D107" s="6" t="s">
        <v>202</v>
      </c>
      <c r="E107" s="6" t="s">
        <v>221</v>
      </c>
      <c r="F107" s="6" t="s">
        <v>143</v>
      </c>
      <c r="G107" s="6">
        <v>2</v>
      </c>
      <c r="H107" s="6">
        <v>2</v>
      </c>
      <c r="I107" s="6">
        <v>0</v>
      </c>
      <c r="J107" s="6">
        <v>0</v>
      </c>
      <c r="K107" s="6">
        <v>0</v>
      </c>
      <c r="L107" s="7">
        <v>815.41301338255641</v>
      </c>
      <c r="M107" s="7">
        <f t="shared" si="8"/>
        <v>1630.8260267651128</v>
      </c>
      <c r="N107" s="7">
        <v>326.1652053530226</v>
      </c>
      <c r="O107" s="7"/>
      <c r="P107" s="8"/>
    </row>
    <row r="108" spans="1:20" ht="15" x14ac:dyDescent="0.2">
      <c r="A108" s="6" t="s">
        <v>230</v>
      </c>
      <c r="B108" s="6" t="s">
        <v>198</v>
      </c>
      <c r="C108" s="6" t="s">
        <v>28</v>
      </c>
      <c r="D108" s="6" t="s">
        <v>231</v>
      </c>
      <c r="E108" s="6" t="s">
        <v>226</v>
      </c>
      <c r="F108" s="6" t="s">
        <v>143</v>
      </c>
      <c r="G108" s="6">
        <v>2</v>
      </c>
      <c r="H108" s="6">
        <v>2</v>
      </c>
      <c r="I108" s="6">
        <v>0</v>
      </c>
      <c r="J108" s="6">
        <v>0</v>
      </c>
      <c r="K108" s="6">
        <v>0</v>
      </c>
      <c r="L108" s="7">
        <v>815.41301338255641</v>
      </c>
      <c r="M108" s="7">
        <f t="shared" si="8"/>
        <v>1630.8260267651128</v>
      </c>
      <c r="N108" s="7">
        <v>326.1652053530226</v>
      </c>
      <c r="O108" s="7"/>
      <c r="P108" s="8"/>
    </row>
    <row r="109" spans="1:20" ht="15" x14ac:dyDescent="0.2">
      <c r="A109" s="6" t="s">
        <v>232</v>
      </c>
      <c r="B109" s="6" t="s">
        <v>198</v>
      </c>
      <c r="C109" s="6" t="s">
        <v>28</v>
      </c>
      <c r="D109" s="6" t="s">
        <v>148</v>
      </c>
      <c r="E109" s="6" t="s">
        <v>233</v>
      </c>
      <c r="F109" s="6" t="s">
        <v>143</v>
      </c>
      <c r="G109" s="6">
        <v>17</v>
      </c>
      <c r="H109" s="6">
        <v>12</v>
      </c>
      <c r="I109" s="6">
        <v>3</v>
      </c>
      <c r="J109" s="6">
        <v>2</v>
      </c>
      <c r="K109" s="6">
        <v>0</v>
      </c>
      <c r="L109" s="7">
        <v>815.41301338255641</v>
      </c>
      <c r="M109" s="7">
        <f t="shared" si="8"/>
        <v>9784.9561605906765</v>
      </c>
      <c r="N109" s="7">
        <v>1956.991232118135</v>
      </c>
      <c r="O109" s="7"/>
      <c r="P109" s="8"/>
    </row>
    <row r="110" spans="1:20" ht="15" x14ac:dyDescent="0.2">
      <c r="A110" s="6" t="s">
        <v>234</v>
      </c>
      <c r="B110" s="6" t="s">
        <v>21</v>
      </c>
      <c r="C110" s="6" t="s">
        <v>22</v>
      </c>
      <c r="D110" s="6" t="s">
        <v>235</v>
      </c>
      <c r="E110" s="6" t="s">
        <v>236</v>
      </c>
      <c r="F110" s="6" t="s">
        <v>181</v>
      </c>
      <c r="G110" s="6">
        <v>3</v>
      </c>
      <c r="H110" s="6">
        <v>3</v>
      </c>
      <c r="I110" s="6">
        <v>0</v>
      </c>
      <c r="J110" s="6">
        <v>0</v>
      </c>
      <c r="K110" s="6">
        <v>0</v>
      </c>
      <c r="L110" s="7">
        <v>946.00830641439768</v>
      </c>
      <c r="M110" s="7">
        <f t="shared" si="8"/>
        <v>2838.0249192431929</v>
      </c>
      <c r="N110" s="7">
        <v>567.60498384863865</v>
      </c>
      <c r="O110" s="7"/>
      <c r="P110" s="8"/>
    </row>
    <row r="111" spans="1:20" ht="15" x14ac:dyDescent="0.2">
      <c r="A111" s="6" t="s">
        <v>237</v>
      </c>
      <c r="B111" s="6" t="s">
        <v>32</v>
      </c>
      <c r="C111" s="6" t="s">
        <v>28</v>
      </c>
      <c r="D111" s="6" t="s">
        <v>238</v>
      </c>
      <c r="E111" s="6" t="s">
        <v>238</v>
      </c>
      <c r="F111" s="6" t="s">
        <v>181</v>
      </c>
      <c r="G111" s="6">
        <v>1</v>
      </c>
      <c r="H111" s="6">
        <v>1</v>
      </c>
      <c r="I111" s="6">
        <v>0</v>
      </c>
      <c r="J111" s="6">
        <v>0</v>
      </c>
      <c r="K111" s="6">
        <v>0</v>
      </c>
      <c r="L111" s="7">
        <v>670.60452238117205</v>
      </c>
      <c r="M111" s="7">
        <f t="shared" si="8"/>
        <v>670.60452238117205</v>
      </c>
      <c r="N111" s="7">
        <v>134.12090447623439</v>
      </c>
      <c r="O111" s="7"/>
      <c r="P111" s="8"/>
    </row>
    <row r="112" spans="1:20" ht="15" x14ac:dyDescent="0.2">
      <c r="A112" s="6" t="s">
        <v>239</v>
      </c>
      <c r="B112" s="6" t="s">
        <v>32</v>
      </c>
      <c r="C112" s="6" t="s">
        <v>28</v>
      </c>
      <c r="D112" s="6" t="s">
        <v>240</v>
      </c>
      <c r="E112" s="6" t="s">
        <v>241</v>
      </c>
      <c r="F112" s="6" t="s">
        <v>181</v>
      </c>
      <c r="G112" s="6">
        <v>2</v>
      </c>
      <c r="H112" s="6">
        <v>1</v>
      </c>
      <c r="I112" s="6">
        <v>0</v>
      </c>
      <c r="J112" s="6">
        <v>1</v>
      </c>
      <c r="K112" s="6">
        <v>0</v>
      </c>
      <c r="L112" s="7">
        <v>670.60452238117205</v>
      </c>
      <c r="M112" s="7">
        <f t="shared" si="8"/>
        <v>670.60452238117205</v>
      </c>
      <c r="N112" s="7">
        <v>134.12090447623439</v>
      </c>
      <c r="O112" s="7"/>
      <c r="P112" s="8"/>
    </row>
    <row r="113" spans="1:20" ht="15" x14ac:dyDescent="0.2">
      <c r="A113" s="6" t="s">
        <v>242</v>
      </c>
      <c r="B113" s="6" t="s">
        <v>48</v>
      </c>
      <c r="C113" s="6" t="s">
        <v>22</v>
      </c>
      <c r="D113" s="6" t="s">
        <v>162</v>
      </c>
      <c r="E113" s="6" t="s">
        <v>176</v>
      </c>
      <c r="F113" s="6" t="s">
        <v>117</v>
      </c>
      <c r="G113" s="6">
        <v>4</v>
      </c>
      <c r="H113" s="6">
        <v>4</v>
      </c>
      <c r="I113" s="6">
        <v>0</v>
      </c>
      <c r="J113" s="6">
        <v>0</v>
      </c>
      <c r="K113" s="6">
        <v>0</v>
      </c>
      <c r="L113" s="7">
        <v>929.85694508537142</v>
      </c>
      <c r="M113" s="7">
        <f t="shared" si="8"/>
        <v>3719.4277803414857</v>
      </c>
      <c r="N113" s="7">
        <v>644</v>
      </c>
      <c r="O113" s="7"/>
      <c r="P113" s="8">
        <v>2042</v>
      </c>
      <c r="Q113" s="9">
        <v>45877</v>
      </c>
      <c r="R113" s="10">
        <f>P113-M113</f>
        <v>-1677.4277803414857</v>
      </c>
      <c r="T113" t="s">
        <v>183</v>
      </c>
    </row>
    <row r="114" spans="1:20" ht="15" x14ac:dyDescent="0.2">
      <c r="A114" s="6" t="s">
        <v>243</v>
      </c>
      <c r="B114" s="6" t="s">
        <v>244</v>
      </c>
      <c r="C114" s="6" t="s">
        <v>22</v>
      </c>
      <c r="D114" s="6" t="s">
        <v>245</v>
      </c>
      <c r="E114" s="6" t="s">
        <v>245</v>
      </c>
      <c r="F114" s="6" t="s">
        <v>181</v>
      </c>
      <c r="G114" s="6">
        <v>1</v>
      </c>
      <c r="H114" s="6">
        <v>1</v>
      </c>
      <c r="I114" s="6">
        <v>0</v>
      </c>
      <c r="J114" s="6">
        <v>0</v>
      </c>
      <c r="K114" s="6">
        <v>0</v>
      </c>
      <c r="L114" s="7">
        <v>834.19473927088131</v>
      </c>
      <c r="M114" s="7">
        <f t="shared" si="8"/>
        <v>834.19473927088131</v>
      </c>
      <c r="N114" s="7">
        <v>166.8389478541763</v>
      </c>
      <c r="O114" s="7"/>
      <c r="P114" s="8"/>
    </row>
    <row r="115" spans="1:20" ht="15" x14ac:dyDescent="0.2">
      <c r="A115" s="6" t="s">
        <v>246</v>
      </c>
      <c r="B115" s="6" t="s">
        <v>244</v>
      </c>
      <c r="C115" s="6" t="s">
        <v>22</v>
      </c>
      <c r="D115" s="6" t="s">
        <v>247</v>
      </c>
      <c r="E115" s="6" t="s">
        <v>248</v>
      </c>
      <c r="F115" s="6" t="s">
        <v>181</v>
      </c>
      <c r="G115" s="6">
        <v>2</v>
      </c>
      <c r="H115" s="6">
        <v>2</v>
      </c>
      <c r="I115" s="6">
        <v>0</v>
      </c>
      <c r="J115" s="6">
        <v>0</v>
      </c>
      <c r="K115" s="6">
        <v>0</v>
      </c>
      <c r="L115" s="7">
        <v>834.19473927088131</v>
      </c>
      <c r="M115" s="7">
        <f t="shared" si="8"/>
        <v>1668.3894785417626</v>
      </c>
      <c r="N115" s="7">
        <v>333.67789570835248</v>
      </c>
      <c r="O115" s="7"/>
      <c r="P115" s="8"/>
    </row>
    <row r="116" spans="1:20" ht="15" x14ac:dyDescent="0.2">
      <c r="A116" s="6" t="s">
        <v>249</v>
      </c>
      <c r="B116" s="6" t="s">
        <v>244</v>
      </c>
      <c r="C116" s="6" t="s">
        <v>22</v>
      </c>
      <c r="D116" s="6" t="s">
        <v>241</v>
      </c>
      <c r="E116" s="6" t="s">
        <v>250</v>
      </c>
      <c r="F116" s="6" t="s">
        <v>181</v>
      </c>
      <c r="G116" s="6">
        <v>3</v>
      </c>
      <c r="H116" s="6">
        <v>3</v>
      </c>
      <c r="I116" s="6">
        <v>0</v>
      </c>
      <c r="J116" s="6">
        <v>0</v>
      </c>
      <c r="K116" s="6">
        <v>0</v>
      </c>
      <c r="L116" s="7">
        <v>834.19473927088131</v>
      </c>
      <c r="M116" s="7">
        <f t="shared" si="8"/>
        <v>2502.5842178126441</v>
      </c>
      <c r="N116" s="7">
        <v>500.51684356252878</v>
      </c>
      <c r="O116" s="7"/>
      <c r="P116" s="8"/>
    </row>
    <row r="117" spans="1:20" ht="15" x14ac:dyDescent="0.2">
      <c r="A117" s="6" t="s">
        <v>251</v>
      </c>
      <c r="B117" s="6" t="s">
        <v>104</v>
      </c>
      <c r="C117" s="6" t="s">
        <v>37</v>
      </c>
      <c r="D117" s="6" t="s">
        <v>240</v>
      </c>
      <c r="E117" s="6" t="s">
        <v>235</v>
      </c>
      <c r="F117" s="6" t="s">
        <v>181</v>
      </c>
      <c r="G117" s="6">
        <v>3</v>
      </c>
      <c r="H117" s="6">
        <v>2</v>
      </c>
      <c r="I117" s="6">
        <v>0</v>
      </c>
      <c r="J117" s="6">
        <v>1</v>
      </c>
      <c r="K117" s="6">
        <v>0</v>
      </c>
      <c r="L117" s="7">
        <v>730.27226580526064</v>
      </c>
      <c r="M117" s="7">
        <f t="shared" si="8"/>
        <v>1460.5445316105213</v>
      </c>
      <c r="N117" s="7">
        <v>292.10890632210419</v>
      </c>
      <c r="O117" s="7"/>
      <c r="P117" s="8"/>
    </row>
    <row r="118" spans="1:20" ht="15" x14ac:dyDescent="0.2">
      <c r="A118" s="6" t="s">
        <v>252</v>
      </c>
      <c r="B118" s="6" t="s">
        <v>41</v>
      </c>
      <c r="C118" s="6" t="s">
        <v>22</v>
      </c>
      <c r="D118" s="6" t="s">
        <v>253</v>
      </c>
      <c r="E118" s="6" t="s">
        <v>253</v>
      </c>
      <c r="F118" s="6" t="s">
        <v>181</v>
      </c>
      <c r="G118" s="6">
        <v>1</v>
      </c>
      <c r="H118" s="6">
        <v>1</v>
      </c>
      <c r="I118" s="6">
        <v>0</v>
      </c>
      <c r="J118" s="6">
        <v>0</v>
      </c>
      <c r="K118" s="6">
        <v>0</v>
      </c>
      <c r="L118" s="7">
        <v>826.99584679280099</v>
      </c>
      <c r="M118" s="7">
        <f t="shared" si="8"/>
        <v>826.99584679280099</v>
      </c>
      <c r="N118" s="7">
        <v>165.39916935856019</v>
      </c>
      <c r="O118" s="7"/>
      <c r="P118" s="8"/>
    </row>
    <row r="119" spans="1:20" ht="15" x14ac:dyDescent="0.2">
      <c r="A119" s="6" t="s">
        <v>254</v>
      </c>
      <c r="B119" s="6" t="s">
        <v>48</v>
      </c>
      <c r="C119" s="6" t="s">
        <v>22</v>
      </c>
      <c r="D119" s="6" t="s">
        <v>255</v>
      </c>
      <c r="E119" s="6" t="s">
        <v>255</v>
      </c>
      <c r="F119" s="6" t="s">
        <v>181</v>
      </c>
      <c r="G119" s="6">
        <v>1</v>
      </c>
      <c r="H119" s="6">
        <v>1</v>
      </c>
      <c r="I119" s="6">
        <v>0</v>
      </c>
      <c r="J119" s="6">
        <v>0</v>
      </c>
      <c r="K119" s="6">
        <v>0</v>
      </c>
      <c r="L119" s="7">
        <v>929.85694508537142</v>
      </c>
      <c r="M119" s="7">
        <f t="shared" si="8"/>
        <v>929.85694508537142</v>
      </c>
      <c r="N119" s="7">
        <v>161</v>
      </c>
      <c r="O119" s="7"/>
      <c r="P119" s="8">
        <v>511</v>
      </c>
      <c r="Q119" s="9">
        <v>45877</v>
      </c>
      <c r="R119" s="10">
        <f>P119-M119</f>
        <v>-418.85694508537142</v>
      </c>
      <c r="T119" t="s">
        <v>183</v>
      </c>
    </row>
    <row r="120" spans="1:20" ht="15" x14ac:dyDescent="0.2">
      <c r="A120" s="6" t="s">
        <v>256</v>
      </c>
      <c r="B120" s="6" t="s">
        <v>53</v>
      </c>
      <c r="C120" s="6" t="s">
        <v>37</v>
      </c>
      <c r="D120" s="6" t="s">
        <v>255</v>
      </c>
      <c r="E120" s="6" t="s">
        <v>257</v>
      </c>
      <c r="F120" s="6" t="s">
        <v>181</v>
      </c>
      <c r="G120" s="6">
        <v>2</v>
      </c>
      <c r="H120" s="6">
        <v>2</v>
      </c>
      <c r="I120" s="6">
        <v>0</v>
      </c>
      <c r="J120" s="6">
        <v>0</v>
      </c>
      <c r="K120" s="6">
        <v>0</v>
      </c>
      <c r="L120" s="7">
        <v>914.85925242270412</v>
      </c>
      <c r="M120" s="7">
        <f t="shared" si="8"/>
        <v>1829.7185048454082</v>
      </c>
      <c r="N120" s="7"/>
      <c r="O120" s="7"/>
      <c r="P120" s="8"/>
    </row>
    <row r="121" spans="1:20" ht="15" x14ac:dyDescent="0.2">
      <c r="A121" s="6" t="s">
        <v>258</v>
      </c>
      <c r="B121" s="6" t="s">
        <v>53</v>
      </c>
      <c r="C121" s="6" t="s">
        <v>37</v>
      </c>
      <c r="D121" s="6" t="s">
        <v>247</v>
      </c>
      <c r="E121" s="6" t="s">
        <v>248</v>
      </c>
      <c r="F121" s="6" t="s">
        <v>181</v>
      </c>
      <c r="G121" s="6">
        <v>2</v>
      </c>
      <c r="H121" s="6">
        <v>2</v>
      </c>
      <c r="I121" s="6">
        <v>0</v>
      </c>
      <c r="J121" s="6">
        <v>0</v>
      </c>
      <c r="K121" s="6">
        <v>0</v>
      </c>
      <c r="L121" s="7">
        <v>914.85925242270412</v>
      </c>
      <c r="M121" s="7">
        <f t="shared" si="8"/>
        <v>1829.7185048454082</v>
      </c>
      <c r="N121" s="7"/>
      <c r="O121" s="7"/>
      <c r="P121" s="8"/>
    </row>
    <row r="122" spans="1:20" ht="15" x14ac:dyDescent="0.2">
      <c r="A122" s="6" t="s">
        <v>259</v>
      </c>
      <c r="B122" s="6" t="s">
        <v>53</v>
      </c>
      <c r="C122" s="6" t="s">
        <v>37</v>
      </c>
      <c r="D122" s="6" t="s">
        <v>241</v>
      </c>
      <c r="E122" s="6" t="s">
        <v>241</v>
      </c>
      <c r="F122" s="6" t="s">
        <v>181</v>
      </c>
      <c r="G122" s="6">
        <v>1</v>
      </c>
      <c r="H122" s="6">
        <v>1</v>
      </c>
      <c r="I122" s="6">
        <v>0</v>
      </c>
      <c r="J122" s="6">
        <v>0</v>
      </c>
      <c r="K122" s="6">
        <v>0</v>
      </c>
      <c r="L122" s="7">
        <v>914.85925242270412</v>
      </c>
      <c r="M122" s="7">
        <f t="shared" si="8"/>
        <v>914.85925242270412</v>
      </c>
      <c r="N122" s="7"/>
      <c r="O122" s="7"/>
      <c r="P122" s="8"/>
    </row>
    <row r="123" spans="1:20" ht="15" x14ac:dyDescent="0.2">
      <c r="A123" s="6" t="s">
        <v>260</v>
      </c>
      <c r="B123" s="6" t="s">
        <v>27</v>
      </c>
      <c r="C123" s="6" t="s">
        <v>28</v>
      </c>
      <c r="D123" s="6" t="s">
        <v>261</v>
      </c>
      <c r="E123" s="6" t="s">
        <v>262</v>
      </c>
      <c r="F123" s="6" t="s">
        <v>263</v>
      </c>
      <c r="G123" s="6">
        <v>5</v>
      </c>
      <c r="H123" s="6">
        <v>4</v>
      </c>
      <c r="I123" s="6">
        <v>0</v>
      </c>
      <c r="J123" s="6">
        <v>1</v>
      </c>
      <c r="K123" s="6">
        <v>0</v>
      </c>
      <c r="L123" s="7">
        <v>868.85094600830632</v>
      </c>
      <c r="M123" s="7">
        <f t="shared" si="8"/>
        <v>3475.4037840332253</v>
      </c>
      <c r="N123" s="7">
        <v>695.08075680664513</v>
      </c>
      <c r="O123" s="7"/>
      <c r="P123" s="8"/>
    </row>
    <row r="124" spans="1:20" ht="15" x14ac:dyDescent="0.2">
      <c r="A124" s="6" t="s">
        <v>264</v>
      </c>
      <c r="B124" s="6" t="s">
        <v>32</v>
      </c>
      <c r="C124" s="6" t="s">
        <v>28</v>
      </c>
      <c r="D124" s="6" t="s">
        <v>265</v>
      </c>
      <c r="E124" s="6" t="s">
        <v>266</v>
      </c>
      <c r="F124" s="6" t="s">
        <v>263</v>
      </c>
      <c r="G124" s="6">
        <v>2</v>
      </c>
      <c r="H124" s="6">
        <v>2</v>
      </c>
      <c r="I124" s="6">
        <v>0</v>
      </c>
      <c r="J124" s="6">
        <v>0</v>
      </c>
      <c r="K124" s="6">
        <v>0</v>
      </c>
      <c r="L124" s="7">
        <v>670.60452238117205</v>
      </c>
      <c r="M124" s="7">
        <f t="shared" si="8"/>
        <v>1341.2090447623441</v>
      </c>
      <c r="N124" s="7">
        <v>268.24180895246877</v>
      </c>
      <c r="O124" s="7"/>
      <c r="P124" s="8"/>
    </row>
    <row r="125" spans="1:20" ht="15" x14ac:dyDescent="0.2">
      <c r="A125" s="6" t="s">
        <v>267</v>
      </c>
      <c r="B125" s="6" t="s">
        <v>244</v>
      </c>
      <c r="C125" s="6" t="s">
        <v>22</v>
      </c>
      <c r="D125" s="6" t="s">
        <v>268</v>
      </c>
      <c r="E125" s="6" t="s">
        <v>268</v>
      </c>
      <c r="F125" s="6" t="s">
        <v>263</v>
      </c>
      <c r="G125" s="6">
        <v>1</v>
      </c>
      <c r="H125" s="6">
        <v>1</v>
      </c>
      <c r="I125" s="6">
        <v>0</v>
      </c>
      <c r="J125" s="6">
        <v>0</v>
      </c>
      <c r="K125" s="6">
        <v>0</v>
      </c>
      <c r="L125" s="7">
        <v>834.19473927088131</v>
      </c>
      <c r="M125" s="7">
        <f t="shared" si="8"/>
        <v>834.19473927088131</v>
      </c>
      <c r="N125" s="7">
        <v>166.8389478541763</v>
      </c>
      <c r="O125" s="7"/>
      <c r="P125" s="8"/>
    </row>
    <row r="126" spans="1:20" ht="15" x14ac:dyDescent="0.2">
      <c r="A126" s="6" t="s">
        <v>269</v>
      </c>
      <c r="B126" s="6" t="s">
        <v>244</v>
      </c>
      <c r="C126" s="6" t="s">
        <v>22</v>
      </c>
      <c r="D126" s="6" t="s">
        <v>266</v>
      </c>
      <c r="E126" s="6" t="s">
        <v>266</v>
      </c>
      <c r="F126" s="6" t="s">
        <v>263</v>
      </c>
      <c r="G126" s="6">
        <v>1</v>
      </c>
      <c r="H126" s="6">
        <v>1</v>
      </c>
      <c r="I126" s="6">
        <v>0</v>
      </c>
      <c r="J126" s="6">
        <v>0</v>
      </c>
      <c r="K126" s="6">
        <v>0</v>
      </c>
      <c r="L126" s="7">
        <v>834.19473927088131</v>
      </c>
      <c r="M126" s="7">
        <f t="shared" si="8"/>
        <v>834.19473927088131</v>
      </c>
      <c r="N126" s="7">
        <v>166.8389478541763</v>
      </c>
      <c r="O126" s="7"/>
      <c r="P126" s="8"/>
    </row>
    <row r="127" spans="1:20" ht="15" x14ac:dyDescent="0.2">
      <c r="A127" s="6" t="s">
        <v>270</v>
      </c>
      <c r="B127" s="6" t="s">
        <v>244</v>
      </c>
      <c r="C127" s="6" t="s">
        <v>22</v>
      </c>
      <c r="D127" s="6" t="s">
        <v>271</v>
      </c>
      <c r="E127" s="6" t="s">
        <v>271</v>
      </c>
      <c r="F127" s="6" t="s">
        <v>263</v>
      </c>
      <c r="G127" s="6">
        <v>1</v>
      </c>
      <c r="H127" s="6">
        <v>1</v>
      </c>
      <c r="I127" s="6">
        <v>0</v>
      </c>
      <c r="J127" s="6">
        <v>0</v>
      </c>
      <c r="K127" s="6">
        <v>0</v>
      </c>
      <c r="L127" s="7">
        <v>834.19473927088131</v>
      </c>
      <c r="M127" s="7">
        <f t="shared" si="8"/>
        <v>834.19473927088131</v>
      </c>
      <c r="N127" s="7">
        <v>166.8389478541763</v>
      </c>
      <c r="O127" s="7"/>
      <c r="P127" s="8"/>
    </row>
    <row r="128" spans="1:20" ht="15" x14ac:dyDescent="0.2">
      <c r="A128" s="6" t="s">
        <v>272</v>
      </c>
      <c r="B128" s="6" t="s">
        <v>104</v>
      </c>
      <c r="C128" s="6" t="s">
        <v>37</v>
      </c>
      <c r="D128" s="6" t="s">
        <v>261</v>
      </c>
      <c r="E128" s="6" t="s">
        <v>273</v>
      </c>
      <c r="F128" s="6" t="s">
        <v>263</v>
      </c>
      <c r="G128" s="6">
        <v>4</v>
      </c>
      <c r="H128" s="6">
        <v>3</v>
      </c>
      <c r="I128" s="6">
        <v>0</v>
      </c>
      <c r="J128" s="6">
        <v>1</v>
      </c>
      <c r="K128" s="6">
        <v>0</v>
      </c>
      <c r="L128" s="7">
        <v>730.27226580526064</v>
      </c>
      <c r="M128" s="7">
        <f t="shared" si="8"/>
        <v>2190.8167974157818</v>
      </c>
      <c r="N128" s="7">
        <v>438.1633594831564</v>
      </c>
      <c r="O128" s="7"/>
      <c r="P128" s="8"/>
    </row>
    <row r="129" spans="1:16" ht="15" x14ac:dyDescent="0.2">
      <c r="A129" s="6" t="s">
        <v>274</v>
      </c>
      <c r="B129" s="6" t="s">
        <v>41</v>
      </c>
      <c r="C129" s="6" t="s">
        <v>22</v>
      </c>
      <c r="D129" s="6" t="s">
        <v>275</v>
      </c>
      <c r="E129" s="6" t="s">
        <v>266</v>
      </c>
      <c r="F129" s="6" t="s">
        <v>263</v>
      </c>
      <c r="G129" s="6">
        <v>3</v>
      </c>
      <c r="H129" s="6">
        <v>3</v>
      </c>
      <c r="I129" s="6">
        <v>0</v>
      </c>
      <c r="J129" s="6">
        <v>0</v>
      </c>
      <c r="K129" s="6">
        <v>0</v>
      </c>
      <c r="L129" s="7">
        <v>826.99584679280099</v>
      </c>
      <c r="M129" s="7">
        <f t="shared" si="8"/>
        <v>2480.9875403784031</v>
      </c>
      <c r="N129" s="7">
        <v>496.19750807568062</v>
      </c>
      <c r="O129" s="7"/>
      <c r="P129" s="8"/>
    </row>
    <row r="130" spans="1:16" ht="15" x14ac:dyDescent="0.2">
      <c r="A130" s="6" t="s">
        <v>276</v>
      </c>
      <c r="B130" s="6" t="s">
        <v>41</v>
      </c>
      <c r="C130" s="6" t="s">
        <v>22</v>
      </c>
      <c r="D130" s="6" t="s">
        <v>277</v>
      </c>
      <c r="E130" s="6" t="s">
        <v>262</v>
      </c>
      <c r="F130" s="6" t="s">
        <v>263</v>
      </c>
      <c r="G130" s="6">
        <v>3</v>
      </c>
      <c r="H130" s="6">
        <v>3</v>
      </c>
      <c r="I130" s="6">
        <v>0</v>
      </c>
      <c r="J130" s="6">
        <v>0</v>
      </c>
      <c r="K130" s="6">
        <v>0</v>
      </c>
      <c r="L130" s="7">
        <v>826.99584679280099</v>
      </c>
      <c r="M130" s="7">
        <f t="shared" si="8"/>
        <v>2480.9875403784031</v>
      </c>
      <c r="N130" s="7">
        <v>496.19750807568062</v>
      </c>
      <c r="O130" s="7"/>
      <c r="P130" s="8"/>
    </row>
    <row r="131" spans="1:16" ht="15" x14ac:dyDescent="0.2">
      <c r="A131" s="6" t="s">
        <v>278</v>
      </c>
      <c r="B131" s="6" t="s">
        <v>48</v>
      </c>
      <c r="C131" s="6" t="s">
        <v>22</v>
      </c>
      <c r="D131" s="6" t="s">
        <v>268</v>
      </c>
      <c r="E131" s="6" t="s">
        <v>268</v>
      </c>
      <c r="F131" s="6" t="s">
        <v>263</v>
      </c>
      <c r="G131" s="6">
        <v>1</v>
      </c>
      <c r="H131" s="6">
        <v>1</v>
      </c>
      <c r="I131" s="6">
        <v>0</v>
      </c>
      <c r="J131" s="6">
        <v>0</v>
      </c>
      <c r="K131" s="6">
        <v>0</v>
      </c>
      <c r="L131" s="7">
        <v>929.85694508537142</v>
      </c>
      <c r="M131" s="7">
        <f t="shared" si="8"/>
        <v>929.85694508537142</v>
      </c>
      <c r="N131" s="7"/>
      <c r="O131" s="7"/>
      <c r="P131" s="8"/>
    </row>
    <row r="132" spans="1:16" ht="15" x14ac:dyDescent="0.2">
      <c r="A132" s="6" t="s">
        <v>279</v>
      </c>
      <c r="B132" s="6" t="s">
        <v>48</v>
      </c>
      <c r="C132" s="6" t="s">
        <v>22</v>
      </c>
      <c r="D132" s="6" t="s">
        <v>280</v>
      </c>
      <c r="E132" s="6" t="s">
        <v>280</v>
      </c>
      <c r="F132" s="6" t="s">
        <v>263</v>
      </c>
      <c r="G132" s="6">
        <v>1</v>
      </c>
      <c r="H132" s="6">
        <v>1</v>
      </c>
      <c r="I132" s="6">
        <v>0</v>
      </c>
      <c r="J132" s="6">
        <v>0</v>
      </c>
      <c r="K132" s="6">
        <v>0</v>
      </c>
      <c r="L132" s="7">
        <v>929.85694508537142</v>
      </c>
      <c r="M132" s="7">
        <f t="shared" si="8"/>
        <v>929.85694508537142</v>
      </c>
      <c r="N132" s="7"/>
      <c r="O132" s="7"/>
      <c r="P132" s="8"/>
    </row>
    <row r="133" spans="1:16" ht="15" x14ac:dyDescent="0.2">
      <c r="A133" s="6" t="s">
        <v>281</v>
      </c>
      <c r="B133" s="6" t="s">
        <v>48</v>
      </c>
      <c r="C133" s="6" t="s">
        <v>22</v>
      </c>
      <c r="D133" s="6" t="s">
        <v>261</v>
      </c>
      <c r="E133" s="6" t="s">
        <v>277</v>
      </c>
      <c r="F133" s="6" t="s">
        <v>263</v>
      </c>
      <c r="G133" s="6">
        <v>3</v>
      </c>
      <c r="H133" s="6">
        <v>2</v>
      </c>
      <c r="I133" s="6">
        <v>0</v>
      </c>
      <c r="J133" s="6">
        <v>1</v>
      </c>
      <c r="K133" s="6">
        <v>0</v>
      </c>
      <c r="L133" s="7">
        <v>929.85694508537142</v>
      </c>
      <c r="M133" s="7">
        <f t="shared" si="8"/>
        <v>1859.7138901707428</v>
      </c>
      <c r="N133" s="7"/>
      <c r="O133" s="7"/>
      <c r="P133" s="8"/>
    </row>
    <row r="134" spans="1:16" ht="15" x14ac:dyDescent="0.2">
      <c r="A134" s="6" t="s">
        <v>282</v>
      </c>
      <c r="B134" s="6" t="s">
        <v>53</v>
      </c>
      <c r="C134" s="6" t="s">
        <v>37</v>
      </c>
      <c r="D134" s="6" t="s">
        <v>275</v>
      </c>
      <c r="E134" s="6" t="s">
        <v>275</v>
      </c>
      <c r="F134" s="6" t="s">
        <v>263</v>
      </c>
      <c r="G134" s="6">
        <v>1</v>
      </c>
      <c r="H134" s="6">
        <v>1</v>
      </c>
      <c r="I134" s="6">
        <v>0</v>
      </c>
      <c r="J134" s="6">
        <v>0</v>
      </c>
      <c r="K134" s="6">
        <v>0</v>
      </c>
      <c r="L134" s="7">
        <v>914.85925242270412</v>
      </c>
      <c r="M134" s="7">
        <f t="shared" si="8"/>
        <v>914.85925242270412</v>
      </c>
      <c r="N134" s="7"/>
      <c r="O134" s="7"/>
      <c r="P134" s="8"/>
    </row>
    <row r="135" spans="1:16" ht="15" x14ac:dyDescent="0.2">
      <c r="A135" s="6" t="s">
        <v>283</v>
      </c>
      <c r="B135" s="6" t="s">
        <v>53</v>
      </c>
      <c r="C135" s="6" t="s">
        <v>37</v>
      </c>
      <c r="D135" s="6" t="s">
        <v>284</v>
      </c>
      <c r="E135" s="6" t="s">
        <v>284</v>
      </c>
      <c r="F135" s="6" t="s">
        <v>263</v>
      </c>
      <c r="G135" s="6">
        <v>1</v>
      </c>
      <c r="H135" s="6">
        <v>1</v>
      </c>
      <c r="I135" s="6">
        <v>0</v>
      </c>
      <c r="J135" s="6">
        <v>0</v>
      </c>
      <c r="K135" s="6">
        <v>0</v>
      </c>
      <c r="L135" s="7">
        <v>914.85925242270412</v>
      </c>
      <c r="M135" s="7">
        <f t="shared" si="8"/>
        <v>914.85925242270412</v>
      </c>
      <c r="N135" s="7"/>
      <c r="O135" s="7"/>
      <c r="P135" s="8"/>
    </row>
    <row r="136" spans="1:16" ht="15" x14ac:dyDescent="0.2">
      <c r="A136" s="6" t="s">
        <v>285</v>
      </c>
      <c r="B136" s="6" t="s">
        <v>133</v>
      </c>
      <c r="C136" s="6" t="s">
        <v>22</v>
      </c>
      <c r="D136" s="6" t="s">
        <v>265</v>
      </c>
      <c r="E136" s="6" t="s">
        <v>266</v>
      </c>
      <c r="F136" s="6" t="s">
        <v>263</v>
      </c>
      <c r="G136" s="6">
        <v>2</v>
      </c>
      <c r="H136" s="6">
        <v>2</v>
      </c>
      <c r="I136" s="6">
        <v>0</v>
      </c>
      <c r="J136" s="6">
        <v>0</v>
      </c>
      <c r="K136" s="6">
        <v>0</v>
      </c>
      <c r="L136" s="7">
        <v>812.22888786340559</v>
      </c>
      <c r="M136" s="7">
        <f t="shared" si="8"/>
        <v>1624.4577757268112</v>
      </c>
      <c r="N136" s="7">
        <v>324.89155514536219</v>
      </c>
      <c r="O136" s="7"/>
      <c r="P136" s="8"/>
    </row>
    <row r="137" spans="1:16" ht="15" x14ac:dyDescent="0.2">
      <c r="A137" s="6" t="s">
        <v>286</v>
      </c>
      <c r="B137" s="6" t="s">
        <v>133</v>
      </c>
      <c r="C137" s="6" t="s">
        <v>22</v>
      </c>
      <c r="D137" s="6" t="s">
        <v>287</v>
      </c>
      <c r="E137" s="6" t="s">
        <v>271</v>
      </c>
      <c r="F137" s="6" t="s">
        <v>263</v>
      </c>
      <c r="G137" s="6">
        <v>2</v>
      </c>
      <c r="H137" s="6">
        <v>2</v>
      </c>
      <c r="I137" s="6">
        <v>0</v>
      </c>
      <c r="J137" s="6">
        <v>0</v>
      </c>
      <c r="K137" s="6">
        <v>0</v>
      </c>
      <c r="L137" s="7">
        <v>812.22888786340559</v>
      </c>
      <c r="M137" s="7">
        <f t="shared" si="8"/>
        <v>1624.4577757268112</v>
      </c>
      <c r="N137" s="7">
        <v>324.89155514536219</v>
      </c>
      <c r="O137" s="7"/>
      <c r="P137" s="8"/>
    </row>
    <row r="138" spans="1:16" ht="15" x14ac:dyDescent="0.2">
      <c r="A138" s="6" t="s">
        <v>288</v>
      </c>
      <c r="B138" s="6" t="s">
        <v>289</v>
      </c>
      <c r="C138" s="6" t="s">
        <v>28</v>
      </c>
      <c r="D138" s="6" t="s">
        <v>290</v>
      </c>
      <c r="E138" s="6" t="s">
        <v>291</v>
      </c>
      <c r="F138" s="6" t="s">
        <v>292</v>
      </c>
      <c r="G138" s="6">
        <v>17</v>
      </c>
      <c r="H138" s="6">
        <v>13</v>
      </c>
      <c r="I138" s="6">
        <v>2</v>
      </c>
      <c r="J138" s="6">
        <v>2</v>
      </c>
      <c r="K138" s="6">
        <v>0</v>
      </c>
      <c r="L138" s="7">
        <v>1108.7217351176739</v>
      </c>
      <c r="M138" s="7">
        <f t="shared" si="8"/>
        <v>14413.382556529761</v>
      </c>
      <c r="N138" s="7">
        <v>2882.6765113059519</v>
      </c>
      <c r="O138" s="7"/>
      <c r="P138" s="8"/>
    </row>
    <row r="139" spans="1:16" ht="15" x14ac:dyDescent="0.2">
      <c r="A139" s="6" t="s">
        <v>293</v>
      </c>
      <c r="B139" s="6" t="s">
        <v>21</v>
      </c>
      <c r="C139" s="6" t="s">
        <v>22</v>
      </c>
      <c r="D139" s="6" t="s">
        <v>294</v>
      </c>
      <c r="E139" s="6" t="s">
        <v>295</v>
      </c>
      <c r="F139" s="6" t="s">
        <v>292</v>
      </c>
      <c r="G139" s="6">
        <v>4</v>
      </c>
      <c r="H139" s="6">
        <v>2</v>
      </c>
      <c r="I139" s="6">
        <v>1</v>
      </c>
      <c r="J139" s="6">
        <v>1</v>
      </c>
      <c r="K139" s="6">
        <v>0</v>
      </c>
      <c r="L139" s="7">
        <v>946.00830641439768</v>
      </c>
      <c r="M139" s="7">
        <f t="shared" si="8"/>
        <v>1892.0166128287954</v>
      </c>
      <c r="N139" s="7">
        <v>378.40332256575908</v>
      </c>
      <c r="O139" s="7"/>
      <c r="P139" s="8"/>
    </row>
    <row r="140" spans="1:16" ht="15" x14ac:dyDescent="0.2">
      <c r="A140" s="6" t="s">
        <v>296</v>
      </c>
      <c r="B140" s="6" t="s">
        <v>32</v>
      </c>
      <c r="C140" s="6" t="s">
        <v>28</v>
      </c>
      <c r="D140" s="6" t="s">
        <v>297</v>
      </c>
      <c r="E140" s="6" t="s">
        <v>294</v>
      </c>
      <c r="F140" s="6" t="s">
        <v>292</v>
      </c>
      <c r="G140" s="6">
        <v>3</v>
      </c>
      <c r="H140" s="6">
        <v>3</v>
      </c>
      <c r="I140" s="6">
        <v>0</v>
      </c>
      <c r="J140" s="6">
        <v>0</v>
      </c>
      <c r="K140" s="6">
        <v>0</v>
      </c>
      <c r="L140" s="7">
        <v>670.60452238117205</v>
      </c>
      <c r="M140" s="7">
        <f t="shared" si="8"/>
        <v>2011.8135671435161</v>
      </c>
      <c r="N140" s="7">
        <v>402.36271342870327</v>
      </c>
      <c r="O140" s="7"/>
      <c r="P140" s="8"/>
    </row>
    <row r="141" spans="1:16" ht="15" x14ac:dyDescent="0.2">
      <c r="A141" s="6" t="s">
        <v>298</v>
      </c>
      <c r="B141" s="6" t="s">
        <v>32</v>
      </c>
      <c r="C141" s="6" t="s">
        <v>28</v>
      </c>
      <c r="D141" s="6" t="s">
        <v>299</v>
      </c>
      <c r="E141" s="6" t="s">
        <v>299</v>
      </c>
      <c r="F141" s="6" t="s">
        <v>292</v>
      </c>
      <c r="G141" s="6">
        <v>1</v>
      </c>
      <c r="H141" s="6">
        <v>1</v>
      </c>
      <c r="I141" s="6">
        <v>0</v>
      </c>
      <c r="J141" s="6">
        <v>0</v>
      </c>
      <c r="K141" s="6">
        <v>0</v>
      </c>
      <c r="L141" s="7">
        <v>670.60452238117205</v>
      </c>
      <c r="M141" s="7">
        <f t="shared" si="8"/>
        <v>670.60452238117205</v>
      </c>
      <c r="N141" s="7">
        <v>134.12090447623439</v>
      </c>
      <c r="O141" s="7"/>
      <c r="P141" s="8"/>
    </row>
    <row r="142" spans="1:16" ht="15" x14ac:dyDescent="0.2">
      <c r="A142" s="6" t="s">
        <v>300</v>
      </c>
      <c r="B142" s="6" t="s">
        <v>36</v>
      </c>
      <c r="C142" s="6" t="s">
        <v>37</v>
      </c>
      <c r="D142" s="6" t="s">
        <v>241</v>
      </c>
      <c r="E142" s="6" t="s">
        <v>236</v>
      </c>
      <c r="F142" s="6" t="s">
        <v>181</v>
      </c>
      <c r="G142" s="6">
        <v>4</v>
      </c>
      <c r="H142" s="6">
        <v>4</v>
      </c>
      <c r="I142" s="6">
        <v>0</v>
      </c>
      <c r="J142" s="6">
        <v>0</v>
      </c>
      <c r="K142" s="6">
        <v>0</v>
      </c>
      <c r="L142" s="7">
        <v>1096.169820027688</v>
      </c>
      <c r="M142" s="7">
        <f t="shared" si="8"/>
        <v>4384.6792801107522</v>
      </c>
      <c r="N142" s="7"/>
      <c r="O142" s="7"/>
      <c r="P142" s="8"/>
    </row>
    <row r="143" spans="1:16" ht="15" x14ac:dyDescent="0.2">
      <c r="A143" s="6" t="s">
        <v>301</v>
      </c>
      <c r="B143" s="6" t="s">
        <v>244</v>
      </c>
      <c r="C143" s="6" t="s">
        <v>22</v>
      </c>
      <c r="D143" s="6" t="s">
        <v>302</v>
      </c>
      <c r="E143" s="6" t="s">
        <v>303</v>
      </c>
      <c r="F143" s="6" t="s">
        <v>292</v>
      </c>
      <c r="G143" s="6">
        <v>2</v>
      </c>
      <c r="H143" s="6">
        <v>2</v>
      </c>
      <c r="I143" s="6">
        <v>0</v>
      </c>
      <c r="J143" s="6">
        <v>0</v>
      </c>
      <c r="K143" s="6">
        <v>0</v>
      </c>
      <c r="L143" s="7">
        <v>834.19473927088131</v>
      </c>
      <c r="M143" s="7">
        <f t="shared" si="8"/>
        <v>1668.3894785417626</v>
      </c>
      <c r="N143" s="7">
        <v>333.67789570835248</v>
      </c>
      <c r="O143" s="7"/>
      <c r="P143" s="8"/>
    </row>
    <row r="144" spans="1:16" ht="15" x14ac:dyDescent="0.2">
      <c r="A144" s="6" t="s">
        <v>304</v>
      </c>
      <c r="B144" s="6" t="s">
        <v>244</v>
      </c>
      <c r="C144" s="6" t="s">
        <v>22</v>
      </c>
      <c r="D144" s="6" t="s">
        <v>305</v>
      </c>
      <c r="E144" s="6" t="s">
        <v>305</v>
      </c>
      <c r="F144" s="6" t="s">
        <v>292</v>
      </c>
      <c r="G144" s="6">
        <v>1</v>
      </c>
      <c r="H144" s="6">
        <v>0</v>
      </c>
      <c r="I144" s="6">
        <v>0</v>
      </c>
      <c r="J144" s="6">
        <v>1</v>
      </c>
      <c r="K144" s="6">
        <v>0</v>
      </c>
      <c r="L144" s="7">
        <v>834.19473927088131</v>
      </c>
      <c r="M144" s="7">
        <f t="shared" si="8"/>
        <v>0</v>
      </c>
      <c r="N144" s="7">
        <v>0</v>
      </c>
      <c r="O144" s="7"/>
      <c r="P144" s="8"/>
    </row>
    <row r="145" spans="1:20" ht="15" x14ac:dyDescent="0.2">
      <c r="A145" s="6" t="s">
        <v>306</v>
      </c>
      <c r="B145" s="6" t="s">
        <v>48</v>
      </c>
      <c r="C145" s="6" t="s">
        <v>22</v>
      </c>
      <c r="D145" s="6" t="s">
        <v>297</v>
      </c>
      <c r="E145" s="6" t="s">
        <v>294</v>
      </c>
      <c r="F145" s="6" t="s">
        <v>292</v>
      </c>
      <c r="G145" s="6">
        <v>3</v>
      </c>
      <c r="H145" s="6">
        <v>3</v>
      </c>
      <c r="I145" s="6">
        <v>0</v>
      </c>
      <c r="J145" s="6">
        <v>0</v>
      </c>
      <c r="K145" s="6">
        <v>0</v>
      </c>
      <c r="L145" s="7">
        <v>929.85694508537142</v>
      </c>
      <c r="M145" s="7">
        <f t="shared" ref="M145:M153" si="9">L145*H145</f>
        <v>2789.5708352561142</v>
      </c>
      <c r="N145" s="7"/>
      <c r="O145" s="7"/>
      <c r="P145" s="8"/>
    </row>
    <row r="146" spans="1:20" ht="15" x14ac:dyDescent="0.2">
      <c r="A146" s="6" t="s">
        <v>307</v>
      </c>
      <c r="B146" s="6" t="s">
        <v>48</v>
      </c>
      <c r="C146" s="6" t="s">
        <v>22</v>
      </c>
      <c r="D146" s="6" t="s">
        <v>295</v>
      </c>
      <c r="E146" s="6" t="s">
        <v>295</v>
      </c>
      <c r="F146" s="6" t="s">
        <v>292</v>
      </c>
      <c r="G146" s="6">
        <v>1</v>
      </c>
      <c r="H146" s="6">
        <v>0</v>
      </c>
      <c r="I146" s="6">
        <v>0</v>
      </c>
      <c r="J146" s="6">
        <v>1</v>
      </c>
      <c r="K146" s="6">
        <v>0</v>
      </c>
      <c r="L146" s="7">
        <v>929.85694508537142</v>
      </c>
      <c r="M146" s="7">
        <f t="shared" si="9"/>
        <v>0</v>
      </c>
      <c r="N146" s="7"/>
      <c r="O146" s="7"/>
      <c r="P146" s="8"/>
    </row>
    <row r="147" spans="1:20" ht="15" x14ac:dyDescent="0.2">
      <c r="A147" s="6" t="s">
        <v>308</v>
      </c>
      <c r="B147" s="6" t="s">
        <v>53</v>
      </c>
      <c r="C147" s="6" t="s">
        <v>37</v>
      </c>
      <c r="D147" s="6" t="s">
        <v>309</v>
      </c>
      <c r="E147" s="6" t="s">
        <v>310</v>
      </c>
      <c r="F147" s="6" t="s">
        <v>292</v>
      </c>
      <c r="G147" s="6">
        <v>2</v>
      </c>
      <c r="H147" s="6">
        <v>2</v>
      </c>
      <c r="I147" s="6">
        <v>0</v>
      </c>
      <c r="J147" s="6">
        <v>0</v>
      </c>
      <c r="K147" s="6">
        <v>0</v>
      </c>
      <c r="L147" s="7">
        <v>914.85925242270412</v>
      </c>
      <c r="M147" s="7">
        <f t="shared" si="9"/>
        <v>1829.7185048454082</v>
      </c>
      <c r="N147" s="7"/>
      <c r="O147" s="7"/>
      <c r="P147" s="8"/>
    </row>
    <row r="148" spans="1:20" ht="15" x14ac:dyDescent="0.2">
      <c r="A148" s="6" t="s">
        <v>311</v>
      </c>
      <c r="B148" s="6" t="s">
        <v>53</v>
      </c>
      <c r="C148" s="6" t="s">
        <v>37</v>
      </c>
      <c r="D148" s="6" t="s">
        <v>295</v>
      </c>
      <c r="E148" s="6" t="s">
        <v>295</v>
      </c>
      <c r="F148" s="6" t="s">
        <v>292</v>
      </c>
      <c r="G148" s="6">
        <v>2</v>
      </c>
      <c r="H148" s="6">
        <v>0</v>
      </c>
      <c r="I148" s="6">
        <v>0</v>
      </c>
      <c r="J148" s="6">
        <v>2</v>
      </c>
      <c r="K148" s="6">
        <v>0</v>
      </c>
      <c r="L148" s="7">
        <v>914.85925242270412</v>
      </c>
      <c r="M148" s="7">
        <f t="shared" si="9"/>
        <v>0</v>
      </c>
      <c r="N148" s="7"/>
      <c r="O148" s="7"/>
      <c r="P148" s="8"/>
    </row>
    <row r="149" spans="1:20" ht="15" x14ac:dyDescent="0.2">
      <c r="A149" s="6" t="s">
        <v>312</v>
      </c>
      <c r="B149" s="6" t="s">
        <v>133</v>
      </c>
      <c r="C149" s="6" t="s">
        <v>22</v>
      </c>
      <c r="D149" s="6" t="s">
        <v>313</v>
      </c>
      <c r="E149" s="6" t="s">
        <v>297</v>
      </c>
      <c r="F149" s="6" t="s">
        <v>292</v>
      </c>
      <c r="G149" s="6">
        <v>3</v>
      </c>
      <c r="H149" s="6">
        <v>2</v>
      </c>
      <c r="I149" s="6">
        <v>0</v>
      </c>
      <c r="J149" s="6">
        <v>1</v>
      </c>
      <c r="K149" s="6">
        <v>0</v>
      </c>
      <c r="L149" s="7">
        <v>812.22888786340559</v>
      </c>
      <c r="M149" s="7">
        <f t="shared" si="9"/>
        <v>1624.4577757268112</v>
      </c>
      <c r="N149" s="7">
        <v>324.89155514536219</v>
      </c>
      <c r="O149" s="7"/>
      <c r="P149" s="8"/>
    </row>
    <row r="150" spans="1:20" ht="15" x14ac:dyDescent="0.2">
      <c r="A150" s="6" t="s">
        <v>314</v>
      </c>
      <c r="B150" s="6" t="s">
        <v>48</v>
      </c>
      <c r="C150" s="6" t="s">
        <v>22</v>
      </c>
      <c r="D150" s="17" t="s">
        <v>172</v>
      </c>
      <c r="E150" s="17" t="s">
        <v>173</v>
      </c>
      <c r="F150" s="6" t="s">
        <v>117</v>
      </c>
      <c r="G150" s="18">
        <v>3</v>
      </c>
      <c r="H150" s="18">
        <v>2</v>
      </c>
      <c r="I150" s="18">
        <v>0</v>
      </c>
      <c r="J150" s="6">
        <v>1</v>
      </c>
      <c r="K150" s="6">
        <v>0</v>
      </c>
      <c r="L150" s="7">
        <v>929.85694508537142</v>
      </c>
      <c r="M150" s="7">
        <f t="shared" si="9"/>
        <v>1859.7138901707428</v>
      </c>
      <c r="N150" s="19">
        <v>483</v>
      </c>
      <c r="O150" s="19"/>
      <c r="P150" s="20">
        <v>1532</v>
      </c>
      <c r="Q150" s="9">
        <v>45877</v>
      </c>
      <c r="R150" s="10">
        <f>P150-M150</f>
        <v>-327.71389017074284</v>
      </c>
      <c r="T150" t="s">
        <v>183</v>
      </c>
    </row>
    <row r="151" spans="1:20" ht="15" x14ac:dyDescent="0.2">
      <c r="A151" s="6" t="s">
        <v>315</v>
      </c>
      <c r="B151" s="6" t="s">
        <v>53</v>
      </c>
      <c r="C151" s="6" t="s">
        <v>37</v>
      </c>
      <c r="D151" s="17" t="s">
        <v>316</v>
      </c>
      <c r="E151" s="17" t="s">
        <v>317</v>
      </c>
      <c r="F151" s="6" t="s">
        <v>93</v>
      </c>
      <c r="G151" s="18">
        <v>4</v>
      </c>
      <c r="H151" s="18">
        <v>4</v>
      </c>
      <c r="I151" s="18">
        <v>0</v>
      </c>
      <c r="J151" s="18">
        <v>0</v>
      </c>
      <c r="K151" s="6">
        <v>0</v>
      </c>
      <c r="L151" s="7">
        <v>914.85925242270412</v>
      </c>
      <c r="M151" s="19">
        <f t="shared" si="9"/>
        <v>3659.4370096908165</v>
      </c>
      <c r="N151" s="19">
        <f>472*2</f>
        <v>944</v>
      </c>
      <c r="O151" s="19"/>
      <c r="P151" s="20">
        <f>3305*2</f>
        <v>6610</v>
      </c>
      <c r="Q151" s="9">
        <v>45877</v>
      </c>
      <c r="R151" s="10">
        <f>P151-M151</f>
        <v>2950.5629903091835</v>
      </c>
      <c r="S151" s="11">
        <v>45931</v>
      </c>
      <c r="T151" t="s">
        <v>318</v>
      </c>
    </row>
    <row r="152" spans="1:20" ht="15" x14ac:dyDescent="0.2">
      <c r="A152" s="6" t="s">
        <v>319</v>
      </c>
      <c r="B152" s="6" t="s">
        <v>53</v>
      </c>
      <c r="C152" s="6" t="s">
        <v>37</v>
      </c>
      <c r="D152" s="17" t="s">
        <v>100</v>
      </c>
      <c r="E152" s="17" t="s">
        <v>120</v>
      </c>
      <c r="F152" s="6" t="s">
        <v>93</v>
      </c>
      <c r="G152" s="18">
        <v>2</v>
      </c>
      <c r="H152" s="18">
        <v>2</v>
      </c>
      <c r="I152" s="18">
        <v>0</v>
      </c>
      <c r="J152" s="18">
        <v>0</v>
      </c>
      <c r="K152" s="18">
        <v>0</v>
      </c>
      <c r="L152" s="7">
        <v>914.85925242270412</v>
      </c>
      <c r="M152" s="19">
        <f t="shared" si="9"/>
        <v>1829.7185048454082</v>
      </c>
      <c r="N152" s="19">
        <v>472</v>
      </c>
      <c r="O152" s="19"/>
      <c r="P152" s="20">
        <v>2361</v>
      </c>
      <c r="Q152" s="9">
        <v>45877</v>
      </c>
      <c r="R152" s="10">
        <f>P152-M152</f>
        <v>531.28149515459177</v>
      </c>
      <c r="S152" s="11">
        <v>45931</v>
      </c>
      <c r="T152" t="s">
        <v>318</v>
      </c>
    </row>
    <row r="153" spans="1:20" ht="15" x14ac:dyDescent="0.2">
      <c r="A153" s="6" t="s">
        <v>320</v>
      </c>
      <c r="B153" s="6" t="s">
        <v>36</v>
      </c>
      <c r="C153" s="6" t="s">
        <v>37</v>
      </c>
      <c r="D153" s="17" t="s">
        <v>291</v>
      </c>
      <c r="E153" s="17" t="s">
        <v>291</v>
      </c>
      <c r="F153" s="17" t="s">
        <v>292</v>
      </c>
      <c r="G153" s="18">
        <v>2</v>
      </c>
      <c r="H153" s="18">
        <v>2</v>
      </c>
      <c r="I153" s="18">
        <v>0</v>
      </c>
      <c r="J153" s="18">
        <v>0</v>
      </c>
      <c r="K153" s="18">
        <v>0</v>
      </c>
      <c r="L153" s="19">
        <v>1096.169820027688</v>
      </c>
      <c r="M153" s="7">
        <f t="shared" si="9"/>
        <v>2192.3396400553761</v>
      </c>
      <c r="N153" s="19"/>
      <c r="O153" s="19"/>
      <c r="P153" s="8"/>
    </row>
  </sheetData>
  <autoFilter ref="A1:T153" xr:uid="{268FED19-6996-45FA-AFB4-D20486CBCE49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19A0-69F7-4CCB-8031-4618650DB101}">
  <dimension ref="A1:Y37"/>
  <sheetViews>
    <sheetView rightToLeft="1" topLeftCell="D1" workbookViewId="0">
      <selection activeCell="M23" sqref="M23"/>
    </sheetView>
  </sheetViews>
  <sheetFormatPr defaultRowHeight="14.25" x14ac:dyDescent="0.2"/>
  <cols>
    <col min="1" max="1" width="9.875" style="22" bestFit="1" customWidth="1"/>
    <col min="2" max="2" width="9.875" bestFit="1" customWidth="1"/>
    <col min="3" max="3" width="13.5" style="22" bestFit="1" customWidth="1"/>
    <col min="13" max="13" width="20.25" bestFit="1" customWidth="1"/>
    <col min="19" max="19" width="14.875" bestFit="1" customWidth="1"/>
    <col min="20" max="20" width="11.875" bestFit="1" customWidth="1"/>
    <col min="24" max="24" width="9.875" customWidth="1"/>
    <col min="25" max="25" width="20.25" bestFit="1" customWidth="1"/>
  </cols>
  <sheetData>
    <row r="1" spans="1:25" x14ac:dyDescent="0.2">
      <c r="A1" s="22" t="s">
        <v>321</v>
      </c>
      <c r="B1" t="s">
        <v>322</v>
      </c>
      <c r="C1" s="22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  <c r="K1" t="s">
        <v>331</v>
      </c>
      <c r="L1" t="s">
        <v>332</v>
      </c>
      <c r="M1" t="s">
        <v>333</v>
      </c>
      <c r="N1" t="s">
        <v>334</v>
      </c>
      <c r="O1" t="s">
        <v>335</v>
      </c>
      <c r="P1" t="s">
        <v>336</v>
      </c>
      <c r="Q1" t="s">
        <v>337</v>
      </c>
      <c r="R1" t="s">
        <v>338</v>
      </c>
      <c r="S1" t="s">
        <v>364</v>
      </c>
      <c r="T1" t="s">
        <v>339</v>
      </c>
      <c r="U1" t="s">
        <v>340</v>
      </c>
      <c r="V1" t="s">
        <v>341</v>
      </c>
      <c r="W1" t="s">
        <v>342</v>
      </c>
      <c r="X1" t="s">
        <v>354</v>
      </c>
      <c r="Y1" t="s">
        <v>366</v>
      </c>
    </row>
    <row r="2" spans="1:25" x14ac:dyDescent="0.2">
      <c r="A2" s="34">
        <v>11915519</v>
      </c>
      <c r="B2" s="30">
        <v>45664</v>
      </c>
      <c r="C2" s="35">
        <v>45664</v>
      </c>
      <c r="D2" s="36">
        <v>1</v>
      </c>
      <c r="E2" s="36">
        <v>1</v>
      </c>
      <c r="F2" s="36" t="s">
        <v>343</v>
      </c>
      <c r="G2" s="36" t="s">
        <v>344</v>
      </c>
      <c r="H2" s="36"/>
      <c r="I2" s="36" t="s">
        <v>345</v>
      </c>
      <c r="J2" s="36" t="s">
        <v>355</v>
      </c>
      <c r="K2" s="36" t="s">
        <v>356</v>
      </c>
      <c r="L2" s="36"/>
      <c r="M2" s="36"/>
      <c r="N2" s="36"/>
      <c r="O2" s="36">
        <v>1437</v>
      </c>
      <c r="P2" s="36">
        <v>821</v>
      </c>
      <c r="Q2" s="36">
        <v>164</v>
      </c>
      <c r="R2" s="36">
        <v>0</v>
      </c>
      <c r="S2" s="36"/>
      <c r="T2" s="9">
        <v>45658</v>
      </c>
      <c r="V2">
        <v>203</v>
      </c>
      <c r="W2">
        <v>203</v>
      </c>
      <c r="X2" s="9">
        <v>45697</v>
      </c>
    </row>
    <row r="3" spans="1:25" x14ac:dyDescent="0.2">
      <c r="A3" s="34">
        <v>11915519</v>
      </c>
      <c r="B3" s="30">
        <v>45673</v>
      </c>
      <c r="C3" s="35">
        <v>45673</v>
      </c>
      <c r="D3" s="36">
        <v>1</v>
      </c>
      <c r="E3" s="36">
        <v>1</v>
      </c>
      <c r="F3" s="36" t="s">
        <v>343</v>
      </c>
      <c r="G3" s="36" t="s">
        <v>344</v>
      </c>
      <c r="H3" s="36"/>
      <c r="I3" s="36" t="s">
        <v>345</v>
      </c>
      <c r="J3" s="36" t="s">
        <v>355</v>
      </c>
      <c r="K3" s="36" t="s">
        <v>356</v>
      </c>
      <c r="L3" s="36"/>
      <c r="M3" s="36"/>
      <c r="N3" s="36"/>
      <c r="O3" s="36">
        <v>1437</v>
      </c>
      <c r="P3" s="36">
        <v>821</v>
      </c>
      <c r="Q3" s="36">
        <v>164</v>
      </c>
      <c r="R3" s="36">
        <v>0</v>
      </c>
      <c r="S3" s="36"/>
      <c r="T3" s="9">
        <v>45658</v>
      </c>
      <c r="V3">
        <v>203</v>
      </c>
      <c r="W3">
        <v>203</v>
      </c>
      <c r="X3" s="9">
        <v>45697</v>
      </c>
    </row>
    <row r="4" spans="1:25" x14ac:dyDescent="0.2">
      <c r="A4" s="34">
        <v>11915519</v>
      </c>
      <c r="B4" s="36" t="s">
        <v>44</v>
      </c>
      <c r="C4" s="34" t="s">
        <v>44</v>
      </c>
      <c r="D4" s="34">
        <v>1</v>
      </c>
      <c r="E4" s="34">
        <v>1</v>
      </c>
      <c r="F4" s="36"/>
      <c r="G4" s="36"/>
      <c r="H4" s="36"/>
      <c r="I4" s="36" t="s">
        <v>365</v>
      </c>
      <c r="J4" s="36" t="s">
        <v>355</v>
      </c>
      <c r="K4" s="36" t="s">
        <v>356</v>
      </c>
      <c r="L4" s="36"/>
      <c r="M4" s="36"/>
      <c r="N4" s="36"/>
      <c r="O4" s="36"/>
      <c r="P4" s="36"/>
      <c r="Q4" s="36"/>
      <c r="R4" s="36"/>
      <c r="S4" s="34">
        <v>578</v>
      </c>
      <c r="T4" s="9">
        <v>45658</v>
      </c>
      <c r="V4">
        <v>203</v>
      </c>
      <c r="W4">
        <v>410</v>
      </c>
      <c r="X4" s="9">
        <v>45775</v>
      </c>
    </row>
    <row r="5" spans="1:25" x14ac:dyDescent="0.2">
      <c r="A5" s="34">
        <v>11915519</v>
      </c>
      <c r="B5" s="36" t="s">
        <v>46</v>
      </c>
      <c r="C5" s="34" t="s">
        <v>46</v>
      </c>
      <c r="D5" s="34">
        <v>1</v>
      </c>
      <c r="E5" s="34">
        <v>1</v>
      </c>
      <c r="F5" s="36"/>
      <c r="G5" s="36"/>
      <c r="H5" s="36"/>
      <c r="I5" s="36" t="s">
        <v>365</v>
      </c>
      <c r="J5" s="36" t="s">
        <v>355</v>
      </c>
      <c r="K5" s="36" t="s">
        <v>356</v>
      </c>
      <c r="L5" s="36"/>
      <c r="M5" s="36"/>
      <c r="N5" s="36"/>
      <c r="O5" s="36"/>
      <c r="P5" s="36"/>
      <c r="Q5" s="36"/>
      <c r="R5" s="36"/>
      <c r="S5" s="34">
        <v>578</v>
      </c>
      <c r="T5" s="9">
        <v>45658</v>
      </c>
      <c r="V5">
        <v>203</v>
      </c>
      <c r="W5">
        <v>410</v>
      </c>
      <c r="X5" s="9">
        <v>45775</v>
      </c>
    </row>
    <row r="6" spans="1:25" x14ac:dyDescent="0.2">
      <c r="A6" s="34">
        <v>22201347</v>
      </c>
      <c r="B6" s="30">
        <v>45658</v>
      </c>
      <c r="C6" s="35">
        <v>45658</v>
      </c>
      <c r="D6" s="36">
        <v>1</v>
      </c>
      <c r="E6" s="36">
        <v>1</v>
      </c>
      <c r="F6" s="36" t="s">
        <v>343</v>
      </c>
      <c r="G6" s="36" t="s">
        <v>344</v>
      </c>
      <c r="H6" s="36"/>
      <c r="I6" s="36" t="s">
        <v>345</v>
      </c>
      <c r="J6" s="36" t="s">
        <v>357</v>
      </c>
      <c r="K6" s="36" t="s">
        <v>358</v>
      </c>
      <c r="L6" s="36"/>
      <c r="M6" s="36"/>
      <c r="N6" s="36"/>
      <c r="O6" s="36">
        <v>1051</v>
      </c>
      <c r="P6" s="36">
        <v>1051</v>
      </c>
      <c r="Q6" s="36">
        <v>210</v>
      </c>
      <c r="R6">
        <v>0</v>
      </c>
      <c r="T6" s="9">
        <v>45658</v>
      </c>
      <c r="V6">
        <v>203</v>
      </c>
      <c r="W6">
        <v>203</v>
      </c>
      <c r="X6" s="9">
        <v>45697</v>
      </c>
      <c r="Y6" s="24"/>
    </row>
    <row r="7" spans="1:25" x14ac:dyDescent="0.2">
      <c r="A7" s="34">
        <v>22201347</v>
      </c>
      <c r="B7" s="30">
        <v>45676</v>
      </c>
      <c r="C7" s="35">
        <v>45680</v>
      </c>
      <c r="D7" s="36">
        <v>5</v>
      </c>
      <c r="E7" s="36">
        <v>1</v>
      </c>
      <c r="F7" s="36" t="s">
        <v>343</v>
      </c>
      <c r="G7" s="36" t="s">
        <v>344</v>
      </c>
      <c r="H7" s="36"/>
      <c r="I7" s="36" t="s">
        <v>345</v>
      </c>
      <c r="J7" s="36" t="s">
        <v>357</v>
      </c>
      <c r="K7" s="36" t="s">
        <v>358</v>
      </c>
      <c r="L7" s="36"/>
      <c r="M7" s="36"/>
      <c r="N7" s="36"/>
      <c r="O7" s="36">
        <v>5257</v>
      </c>
      <c r="P7" s="36">
        <v>5257</v>
      </c>
      <c r="Q7" s="36">
        <v>1051</v>
      </c>
      <c r="R7">
        <v>0</v>
      </c>
      <c r="T7" s="9">
        <v>45658</v>
      </c>
      <c r="V7">
        <v>203</v>
      </c>
      <c r="W7">
        <v>203</v>
      </c>
      <c r="X7" s="9">
        <v>45697</v>
      </c>
      <c r="Y7" s="24"/>
    </row>
    <row r="8" spans="1:25" x14ac:dyDescent="0.2">
      <c r="A8" s="36">
        <v>22201347</v>
      </c>
      <c r="B8" s="36" t="s">
        <v>23</v>
      </c>
      <c r="C8" s="34" t="s">
        <v>23</v>
      </c>
      <c r="D8" s="34">
        <v>1</v>
      </c>
      <c r="E8" s="34">
        <v>1</v>
      </c>
      <c r="F8" s="36"/>
      <c r="G8" s="36"/>
      <c r="H8" s="36"/>
      <c r="I8" s="36" t="s">
        <v>365</v>
      </c>
      <c r="J8" s="36" t="s">
        <v>357</v>
      </c>
      <c r="K8" s="36" t="s">
        <v>358</v>
      </c>
      <c r="L8" s="36"/>
      <c r="M8" s="36"/>
      <c r="N8" s="36"/>
      <c r="O8" s="36"/>
      <c r="P8" s="36"/>
      <c r="Q8" s="36"/>
      <c r="R8" s="36"/>
      <c r="S8" s="34">
        <v>422</v>
      </c>
      <c r="T8" s="9">
        <v>45658</v>
      </c>
      <c r="V8">
        <v>203</v>
      </c>
      <c r="W8">
        <v>410</v>
      </c>
      <c r="X8" s="9">
        <v>45775</v>
      </c>
      <c r="Y8" s="24"/>
    </row>
    <row r="9" spans="1:25" x14ac:dyDescent="0.2">
      <c r="A9" s="36">
        <v>22201347</v>
      </c>
      <c r="B9" s="36" t="s">
        <v>29</v>
      </c>
      <c r="C9" s="34" t="s">
        <v>39</v>
      </c>
      <c r="D9" s="34">
        <v>5</v>
      </c>
      <c r="E9" s="34">
        <v>5</v>
      </c>
      <c r="F9" s="36"/>
      <c r="G9" s="36"/>
      <c r="H9" s="36"/>
      <c r="I9" s="36" t="s">
        <v>365</v>
      </c>
      <c r="J9" s="36" t="s">
        <v>357</v>
      </c>
      <c r="K9" s="36" t="s">
        <v>358</v>
      </c>
      <c r="L9" s="36"/>
      <c r="M9" s="36"/>
      <c r="N9" s="36"/>
      <c r="O9" s="36"/>
      <c r="P9" s="36"/>
      <c r="Q9" s="36"/>
      <c r="R9" s="36"/>
      <c r="S9" s="34">
        <v>2115</v>
      </c>
      <c r="T9" s="9">
        <v>45658</v>
      </c>
      <c r="V9">
        <v>203</v>
      </c>
      <c r="W9">
        <v>410</v>
      </c>
      <c r="X9" s="9">
        <v>45775</v>
      </c>
      <c r="Y9" s="24"/>
    </row>
    <row r="10" spans="1:25" x14ac:dyDescent="0.2">
      <c r="A10" s="34">
        <v>25147505</v>
      </c>
      <c r="B10" s="30">
        <v>45686</v>
      </c>
      <c r="C10" s="35">
        <v>45687</v>
      </c>
      <c r="D10" s="36">
        <v>2</v>
      </c>
      <c r="E10" s="36">
        <v>1</v>
      </c>
      <c r="F10" s="36" t="s">
        <v>343</v>
      </c>
      <c r="G10" s="36" t="s">
        <v>344</v>
      </c>
      <c r="H10" s="36"/>
      <c r="I10" s="36" t="s">
        <v>345</v>
      </c>
      <c r="J10" s="36" t="s">
        <v>346</v>
      </c>
      <c r="K10" s="36" t="s">
        <v>347</v>
      </c>
      <c r="L10" s="36"/>
      <c r="M10" s="36"/>
      <c r="N10" s="36"/>
      <c r="O10" s="36">
        <v>2137</v>
      </c>
      <c r="P10" s="36">
        <v>1506</v>
      </c>
      <c r="Q10" s="36">
        <v>301</v>
      </c>
      <c r="R10" s="36">
        <v>0</v>
      </c>
      <c r="S10" s="36"/>
      <c r="T10" s="9">
        <v>45658</v>
      </c>
      <c r="V10">
        <v>203</v>
      </c>
      <c r="W10">
        <v>204</v>
      </c>
      <c r="X10" s="9">
        <v>45700</v>
      </c>
      <c r="Y10" s="11"/>
    </row>
    <row r="11" spans="1:25" x14ac:dyDescent="0.2">
      <c r="A11" s="34">
        <v>25147505</v>
      </c>
      <c r="B11" s="30">
        <v>45666</v>
      </c>
      <c r="C11" s="35">
        <v>45666</v>
      </c>
      <c r="D11" s="36">
        <v>1</v>
      </c>
      <c r="E11" s="36">
        <v>1</v>
      </c>
      <c r="F11" s="36" t="s">
        <v>343</v>
      </c>
      <c r="G11" s="36" t="s">
        <v>344</v>
      </c>
      <c r="H11" s="36"/>
      <c r="I11" s="36" t="s">
        <v>345</v>
      </c>
      <c r="J11" s="36" t="s">
        <v>346</v>
      </c>
      <c r="K11" s="36" t="s">
        <v>347</v>
      </c>
      <c r="L11" s="36"/>
      <c r="M11" s="36"/>
      <c r="N11" s="36"/>
      <c r="O11" s="36">
        <v>763</v>
      </c>
      <c r="P11" s="36">
        <v>753</v>
      </c>
      <c r="Q11" s="36">
        <v>151</v>
      </c>
      <c r="R11" s="36">
        <v>0</v>
      </c>
      <c r="S11" s="36"/>
      <c r="T11" s="9">
        <v>45658</v>
      </c>
      <c r="V11">
        <v>203</v>
      </c>
      <c r="W11">
        <v>209</v>
      </c>
      <c r="X11" s="9">
        <v>45708</v>
      </c>
      <c r="Y11" s="11"/>
    </row>
    <row r="12" spans="1:25" x14ac:dyDescent="0.2">
      <c r="A12" s="36">
        <v>25147505</v>
      </c>
      <c r="B12" s="36" t="s">
        <v>49</v>
      </c>
      <c r="C12" s="34" t="s">
        <v>49</v>
      </c>
      <c r="D12" s="34">
        <v>1</v>
      </c>
      <c r="E12" s="34">
        <v>1</v>
      </c>
      <c r="F12" s="36"/>
      <c r="G12" s="36"/>
      <c r="H12" s="36"/>
      <c r="I12" s="36" t="s">
        <v>365</v>
      </c>
      <c r="J12" s="36" t="s">
        <v>346</v>
      </c>
      <c r="K12" s="36" t="s">
        <v>347</v>
      </c>
      <c r="L12" s="36"/>
      <c r="M12" s="36"/>
      <c r="N12" s="36"/>
      <c r="O12" s="36"/>
      <c r="P12" s="36"/>
      <c r="Q12" s="36"/>
      <c r="R12" s="36"/>
      <c r="S12" s="34">
        <v>307</v>
      </c>
      <c r="T12" s="9">
        <v>45658</v>
      </c>
      <c r="V12">
        <v>203</v>
      </c>
      <c r="W12">
        <v>410</v>
      </c>
      <c r="X12" s="9">
        <v>45775</v>
      </c>
      <c r="Y12" s="11"/>
    </row>
    <row r="13" spans="1:25" x14ac:dyDescent="0.2">
      <c r="A13" s="22">
        <v>25155235</v>
      </c>
      <c r="B13" s="9">
        <v>45667</v>
      </c>
      <c r="C13" s="23">
        <v>45668</v>
      </c>
      <c r="D13">
        <v>2</v>
      </c>
      <c r="E13">
        <v>1</v>
      </c>
      <c r="F13" t="s">
        <v>343</v>
      </c>
      <c r="G13" t="s">
        <v>344</v>
      </c>
      <c r="I13" t="s">
        <v>345</v>
      </c>
      <c r="J13" t="s">
        <v>359</v>
      </c>
      <c r="K13" t="s">
        <v>360</v>
      </c>
      <c r="L13">
        <v>6888</v>
      </c>
      <c r="M13" t="s">
        <v>361</v>
      </c>
      <c r="O13">
        <v>2231</v>
      </c>
      <c r="P13">
        <v>4463</v>
      </c>
      <c r="Q13">
        <v>446</v>
      </c>
      <c r="R13">
        <v>0</v>
      </c>
      <c r="T13" s="9">
        <v>45658</v>
      </c>
      <c r="V13">
        <v>203</v>
      </c>
      <c r="W13">
        <v>203</v>
      </c>
      <c r="X13" s="9">
        <v>45697</v>
      </c>
    </row>
    <row r="14" spans="1:25" x14ac:dyDescent="0.2">
      <c r="A14" s="22">
        <v>25155235</v>
      </c>
      <c r="B14" s="9">
        <v>45662</v>
      </c>
      <c r="C14" s="23">
        <v>45662</v>
      </c>
      <c r="D14">
        <v>1</v>
      </c>
      <c r="E14">
        <v>1</v>
      </c>
      <c r="F14" t="s">
        <v>343</v>
      </c>
      <c r="G14" t="s">
        <v>344</v>
      </c>
      <c r="I14" t="s">
        <v>345</v>
      </c>
      <c r="J14" t="s">
        <v>359</v>
      </c>
      <c r="K14" t="s">
        <v>360</v>
      </c>
      <c r="L14">
        <v>6888</v>
      </c>
      <c r="M14" t="s">
        <v>361</v>
      </c>
      <c r="O14">
        <v>1116</v>
      </c>
      <c r="P14">
        <v>4463</v>
      </c>
      <c r="Q14">
        <v>223</v>
      </c>
      <c r="R14">
        <v>0</v>
      </c>
      <c r="T14" s="9">
        <v>45658</v>
      </c>
      <c r="V14">
        <v>203</v>
      </c>
      <c r="W14">
        <v>203</v>
      </c>
      <c r="X14" s="9">
        <v>45697</v>
      </c>
    </row>
    <row r="15" spans="1:25" x14ac:dyDescent="0.2">
      <c r="A15" s="22">
        <v>25155235</v>
      </c>
      <c r="B15" s="9">
        <v>45663</v>
      </c>
      <c r="C15" s="23">
        <v>45664</v>
      </c>
      <c r="D15">
        <v>2</v>
      </c>
      <c r="E15">
        <v>1</v>
      </c>
      <c r="F15" t="s">
        <v>343</v>
      </c>
      <c r="G15" t="s">
        <v>344</v>
      </c>
      <c r="I15" t="s">
        <v>345</v>
      </c>
      <c r="J15" t="s">
        <v>359</v>
      </c>
      <c r="K15" t="s">
        <v>360</v>
      </c>
      <c r="L15">
        <v>6888</v>
      </c>
      <c r="M15" t="s">
        <v>361</v>
      </c>
      <c r="O15">
        <v>2231</v>
      </c>
      <c r="P15">
        <v>4463</v>
      </c>
      <c r="Q15">
        <v>446</v>
      </c>
      <c r="R15">
        <v>0</v>
      </c>
      <c r="T15" s="9">
        <v>45658</v>
      </c>
      <c r="V15">
        <v>203</v>
      </c>
      <c r="W15">
        <v>203</v>
      </c>
      <c r="X15" s="9">
        <v>45697</v>
      </c>
    </row>
    <row r="16" spans="1:25" x14ac:dyDescent="0.2">
      <c r="A16" s="22">
        <v>25155235</v>
      </c>
      <c r="B16" s="9">
        <v>45665</v>
      </c>
      <c r="C16" s="23">
        <v>45666</v>
      </c>
      <c r="D16">
        <v>2</v>
      </c>
      <c r="E16">
        <v>1</v>
      </c>
      <c r="F16" t="s">
        <v>343</v>
      </c>
      <c r="G16" t="s">
        <v>344</v>
      </c>
      <c r="I16" t="s">
        <v>345</v>
      </c>
      <c r="J16" t="s">
        <v>359</v>
      </c>
      <c r="K16" t="s">
        <v>360</v>
      </c>
      <c r="L16">
        <v>6888</v>
      </c>
      <c r="M16" t="s">
        <v>361</v>
      </c>
      <c r="O16">
        <v>2231</v>
      </c>
      <c r="P16">
        <v>4463</v>
      </c>
      <c r="Q16">
        <v>446</v>
      </c>
      <c r="R16">
        <v>0</v>
      </c>
      <c r="T16" s="9">
        <v>45658</v>
      </c>
      <c r="V16">
        <v>203</v>
      </c>
      <c r="W16">
        <v>203</v>
      </c>
      <c r="X16" s="9">
        <v>45697</v>
      </c>
    </row>
    <row r="17" spans="1:25" x14ac:dyDescent="0.2">
      <c r="A17" s="22">
        <v>25155235</v>
      </c>
      <c r="B17" s="9">
        <v>45673</v>
      </c>
      <c r="C17" s="23">
        <v>45674</v>
      </c>
      <c r="D17">
        <v>2</v>
      </c>
      <c r="E17">
        <v>1</v>
      </c>
      <c r="F17" t="s">
        <v>343</v>
      </c>
      <c r="G17" t="s">
        <v>344</v>
      </c>
      <c r="I17" t="s">
        <v>345</v>
      </c>
      <c r="J17" t="s">
        <v>359</v>
      </c>
      <c r="K17" t="s">
        <v>360</v>
      </c>
      <c r="L17">
        <v>6888</v>
      </c>
      <c r="M17" t="s">
        <v>361</v>
      </c>
      <c r="O17">
        <v>2231</v>
      </c>
      <c r="P17">
        <v>1116</v>
      </c>
      <c r="Q17">
        <v>446</v>
      </c>
      <c r="R17">
        <v>0</v>
      </c>
      <c r="T17" s="9">
        <v>45658</v>
      </c>
      <c r="V17">
        <v>203</v>
      </c>
      <c r="W17">
        <v>203</v>
      </c>
      <c r="X17" s="9">
        <v>45697</v>
      </c>
    </row>
    <row r="18" spans="1:25" x14ac:dyDescent="0.2">
      <c r="A18" s="22">
        <v>25155235</v>
      </c>
      <c r="B18" s="9">
        <v>45671</v>
      </c>
      <c r="C18" s="23">
        <v>45672</v>
      </c>
      <c r="D18">
        <v>2</v>
      </c>
      <c r="E18">
        <v>1</v>
      </c>
      <c r="F18" t="s">
        <v>343</v>
      </c>
      <c r="G18" t="s">
        <v>344</v>
      </c>
      <c r="I18" t="s">
        <v>345</v>
      </c>
      <c r="J18" t="s">
        <v>359</v>
      </c>
      <c r="K18" t="s">
        <v>360</v>
      </c>
      <c r="O18">
        <v>2231</v>
      </c>
      <c r="P18">
        <v>2231</v>
      </c>
      <c r="Q18">
        <v>446</v>
      </c>
      <c r="R18">
        <v>0</v>
      </c>
      <c r="T18" s="9">
        <v>45658</v>
      </c>
      <c r="V18">
        <v>203</v>
      </c>
      <c r="W18">
        <v>203</v>
      </c>
      <c r="X18" s="9">
        <v>45697</v>
      </c>
    </row>
    <row r="19" spans="1:25" x14ac:dyDescent="0.2">
      <c r="A19" s="22">
        <v>25155235</v>
      </c>
      <c r="B19" s="9">
        <v>45677</v>
      </c>
      <c r="C19" s="23">
        <v>45677</v>
      </c>
      <c r="D19">
        <v>1</v>
      </c>
      <c r="E19">
        <v>1</v>
      </c>
      <c r="F19" t="s">
        <v>343</v>
      </c>
      <c r="G19" t="s">
        <v>344</v>
      </c>
      <c r="I19" t="s">
        <v>345</v>
      </c>
      <c r="J19" t="s">
        <v>359</v>
      </c>
      <c r="K19" t="s">
        <v>360</v>
      </c>
      <c r="O19">
        <v>1116</v>
      </c>
      <c r="P19">
        <v>1116</v>
      </c>
      <c r="Q19">
        <v>223</v>
      </c>
      <c r="R19">
        <v>0</v>
      </c>
      <c r="T19" s="9">
        <v>45658</v>
      </c>
      <c r="V19">
        <v>203</v>
      </c>
      <c r="W19">
        <v>203</v>
      </c>
      <c r="X19" s="9">
        <v>45697</v>
      </c>
    </row>
    <row r="20" spans="1:25" x14ac:dyDescent="0.2">
      <c r="A20" s="22">
        <v>25155235</v>
      </c>
      <c r="B20" s="9">
        <v>45681</v>
      </c>
      <c r="C20" s="23">
        <v>45681</v>
      </c>
      <c r="D20">
        <v>1</v>
      </c>
      <c r="E20">
        <v>1</v>
      </c>
      <c r="F20" t="s">
        <v>343</v>
      </c>
      <c r="G20" t="s">
        <v>344</v>
      </c>
      <c r="I20" t="s">
        <v>345</v>
      </c>
      <c r="J20" t="s">
        <v>359</v>
      </c>
      <c r="K20" t="s">
        <v>360</v>
      </c>
      <c r="L20">
        <v>6888</v>
      </c>
      <c r="M20" t="s">
        <v>361</v>
      </c>
      <c r="O20">
        <v>1116</v>
      </c>
      <c r="P20">
        <v>3347</v>
      </c>
      <c r="Q20">
        <v>223</v>
      </c>
      <c r="R20">
        <v>0</v>
      </c>
      <c r="T20" s="9">
        <v>45658</v>
      </c>
      <c r="V20">
        <v>203</v>
      </c>
      <c r="W20">
        <v>203</v>
      </c>
      <c r="X20" s="9">
        <v>45697</v>
      </c>
    </row>
    <row r="21" spans="1:25" x14ac:dyDescent="0.2">
      <c r="A21">
        <v>25155235</v>
      </c>
      <c r="B21" t="s">
        <v>58</v>
      </c>
      <c r="C21" s="22" t="s">
        <v>59</v>
      </c>
      <c r="D21" s="22">
        <v>4</v>
      </c>
      <c r="E21" s="22">
        <v>4</v>
      </c>
      <c r="I21" t="s">
        <v>365</v>
      </c>
      <c r="J21" t="s">
        <v>359</v>
      </c>
      <c r="K21" t="s">
        <v>360</v>
      </c>
      <c r="S21" s="22">
        <v>1795</v>
      </c>
      <c r="T21" s="9">
        <v>45658</v>
      </c>
      <c r="V21">
        <v>203</v>
      </c>
      <c r="W21">
        <v>410</v>
      </c>
      <c r="X21" s="9">
        <v>45775</v>
      </c>
    </row>
    <row r="22" spans="1:25" x14ac:dyDescent="0.2">
      <c r="A22">
        <v>25155235</v>
      </c>
      <c r="B22" t="s">
        <v>61</v>
      </c>
      <c r="C22" s="22" t="s">
        <v>61</v>
      </c>
      <c r="D22" s="22">
        <v>1</v>
      </c>
      <c r="E22" s="22">
        <v>1</v>
      </c>
      <c r="I22" t="s">
        <v>365</v>
      </c>
      <c r="J22" t="s">
        <v>359</v>
      </c>
      <c r="K22" t="s">
        <v>360</v>
      </c>
      <c r="S22" s="22">
        <v>449</v>
      </c>
      <c r="T22" s="9">
        <v>45658</v>
      </c>
      <c r="V22">
        <v>203</v>
      </c>
      <c r="W22">
        <v>410</v>
      </c>
      <c r="X22" s="9">
        <v>45775</v>
      </c>
    </row>
    <row r="23" spans="1:25" x14ac:dyDescent="0.2">
      <c r="A23" s="22">
        <v>28027738</v>
      </c>
      <c r="B23" s="9">
        <v>45658</v>
      </c>
      <c r="C23" s="23">
        <v>45660</v>
      </c>
      <c r="D23">
        <v>3</v>
      </c>
      <c r="E23">
        <v>1</v>
      </c>
      <c r="F23" t="s">
        <v>343</v>
      </c>
      <c r="G23" t="s">
        <v>344</v>
      </c>
      <c r="I23" t="s">
        <v>345</v>
      </c>
      <c r="J23" t="s">
        <v>362</v>
      </c>
      <c r="K23" t="s">
        <v>363</v>
      </c>
      <c r="O23">
        <v>2206</v>
      </c>
      <c r="P23">
        <v>2778</v>
      </c>
      <c r="Q23">
        <v>556</v>
      </c>
      <c r="R23">
        <v>0</v>
      </c>
      <c r="T23" s="9">
        <v>45658</v>
      </c>
      <c r="V23">
        <v>203</v>
      </c>
      <c r="W23">
        <v>203</v>
      </c>
      <c r="X23" s="9">
        <v>45697</v>
      </c>
    </row>
    <row r="24" spans="1:25" x14ac:dyDescent="0.2">
      <c r="A24" s="22">
        <v>203661004</v>
      </c>
      <c r="B24" s="9">
        <v>45676</v>
      </c>
      <c r="C24" s="23">
        <v>45679</v>
      </c>
      <c r="D24">
        <v>4</v>
      </c>
      <c r="E24">
        <v>1</v>
      </c>
      <c r="F24" t="s">
        <v>343</v>
      </c>
      <c r="G24" t="s">
        <v>344</v>
      </c>
      <c r="I24" t="s">
        <v>345</v>
      </c>
      <c r="J24" t="s">
        <v>348</v>
      </c>
      <c r="K24" t="s">
        <v>349</v>
      </c>
      <c r="O24" s="21">
        <v>3710</v>
      </c>
      <c r="P24">
        <v>2529</v>
      </c>
      <c r="Q24">
        <v>506</v>
      </c>
      <c r="R24">
        <v>0</v>
      </c>
      <c r="T24" s="9">
        <v>45658</v>
      </c>
      <c r="V24">
        <v>203</v>
      </c>
      <c r="W24">
        <v>204</v>
      </c>
      <c r="X24" s="9">
        <v>45700</v>
      </c>
      <c r="Y24" s="11"/>
    </row>
    <row r="25" spans="1:25" x14ac:dyDescent="0.2">
      <c r="A25" s="22">
        <v>308280510</v>
      </c>
      <c r="B25" s="9">
        <v>45679</v>
      </c>
      <c r="C25" s="23">
        <v>45687</v>
      </c>
      <c r="D25">
        <v>9</v>
      </c>
      <c r="E25">
        <v>1</v>
      </c>
      <c r="F25" t="s">
        <v>343</v>
      </c>
      <c r="G25" t="s">
        <v>344</v>
      </c>
      <c r="I25" t="s">
        <v>345</v>
      </c>
      <c r="J25" t="s">
        <v>350</v>
      </c>
      <c r="K25" t="s">
        <v>351</v>
      </c>
      <c r="O25" s="21">
        <v>6992</v>
      </c>
      <c r="P25">
        <v>5965</v>
      </c>
      <c r="Q25">
        <v>1193</v>
      </c>
      <c r="R25">
        <v>0</v>
      </c>
      <c r="T25" s="9">
        <v>45658</v>
      </c>
      <c r="V25">
        <v>203</v>
      </c>
      <c r="W25">
        <v>204</v>
      </c>
      <c r="X25" s="9">
        <v>45700</v>
      </c>
      <c r="Y25" s="11"/>
    </row>
    <row r="26" spans="1:25" x14ac:dyDescent="0.2">
      <c r="A26" s="22">
        <v>315919936</v>
      </c>
      <c r="B26" s="9">
        <v>45683</v>
      </c>
      <c r="C26" s="23">
        <v>45687</v>
      </c>
      <c r="D26">
        <v>5</v>
      </c>
      <c r="E26">
        <v>1</v>
      </c>
      <c r="F26" t="s">
        <v>343</v>
      </c>
      <c r="G26" t="s">
        <v>344</v>
      </c>
      <c r="I26" t="s">
        <v>345</v>
      </c>
      <c r="J26" t="s">
        <v>352</v>
      </c>
      <c r="K26" t="s">
        <v>353</v>
      </c>
      <c r="O26" s="21">
        <v>3981</v>
      </c>
      <c r="P26">
        <v>2550</v>
      </c>
      <c r="Q26">
        <v>510</v>
      </c>
      <c r="R26">
        <v>0</v>
      </c>
      <c r="T26" s="9">
        <v>45658</v>
      </c>
      <c r="V26">
        <v>203</v>
      </c>
      <c r="W26">
        <v>204</v>
      </c>
      <c r="X26" s="9">
        <v>45700</v>
      </c>
      <c r="Y26" s="11"/>
    </row>
    <row r="27" spans="1:25" ht="15" x14ac:dyDescent="0.25">
      <c r="A27" s="32">
        <v>11915519</v>
      </c>
      <c r="B27" s="33">
        <v>45712</v>
      </c>
      <c r="C27" s="33">
        <v>45716</v>
      </c>
      <c r="D27" s="32">
        <v>5</v>
      </c>
      <c r="E27" s="32">
        <v>1</v>
      </c>
      <c r="F27" s="32" t="s">
        <v>343</v>
      </c>
      <c r="G27" s="32" t="s">
        <v>344</v>
      </c>
      <c r="H27" s="32"/>
      <c r="I27" s="32" t="s">
        <v>345</v>
      </c>
      <c r="J27" s="32" t="s">
        <v>355</v>
      </c>
      <c r="K27" s="32" t="s">
        <v>356</v>
      </c>
      <c r="L27" s="32"/>
      <c r="M27" s="32"/>
      <c r="N27" s="32"/>
      <c r="O27" s="32">
        <v>7184</v>
      </c>
      <c r="P27" s="32">
        <v>6082</v>
      </c>
      <c r="Q27" s="32">
        <v>1217</v>
      </c>
      <c r="R27" s="25">
        <v>0</v>
      </c>
      <c r="T27" s="26">
        <v>45717</v>
      </c>
      <c r="W27">
        <v>408</v>
      </c>
      <c r="X27" s="9">
        <v>45770</v>
      </c>
    </row>
    <row r="28" spans="1:25" ht="15" x14ac:dyDescent="0.25">
      <c r="A28" s="32">
        <v>11915519</v>
      </c>
      <c r="B28" s="33">
        <v>45735</v>
      </c>
      <c r="C28" s="33">
        <v>45736</v>
      </c>
      <c r="D28" s="32">
        <v>2</v>
      </c>
      <c r="E28" s="32">
        <v>1</v>
      </c>
      <c r="F28" s="32" t="s">
        <v>343</v>
      </c>
      <c r="G28" s="32" t="s">
        <v>344</v>
      </c>
      <c r="H28" s="32"/>
      <c r="I28" s="32" t="s">
        <v>345</v>
      </c>
      <c r="J28" s="32" t="s">
        <v>355</v>
      </c>
      <c r="K28" s="32" t="s">
        <v>356</v>
      </c>
      <c r="L28" s="32"/>
      <c r="M28" s="32"/>
      <c r="N28" s="32"/>
      <c r="O28" s="32">
        <v>2873</v>
      </c>
      <c r="P28" s="32">
        <v>2404</v>
      </c>
      <c r="Q28" s="32">
        <v>481</v>
      </c>
      <c r="R28" s="25">
        <v>0</v>
      </c>
      <c r="T28" s="26">
        <v>45717</v>
      </c>
      <c r="W28">
        <v>408</v>
      </c>
      <c r="X28" s="9">
        <v>45770</v>
      </c>
    </row>
    <row r="29" spans="1:25" ht="15" x14ac:dyDescent="0.25">
      <c r="A29" s="32">
        <v>11915519</v>
      </c>
      <c r="B29" s="33">
        <v>45742</v>
      </c>
      <c r="C29" s="33">
        <v>45742</v>
      </c>
      <c r="D29" s="32">
        <v>1</v>
      </c>
      <c r="E29" s="32">
        <v>1</v>
      </c>
      <c r="F29" s="32" t="s">
        <v>343</v>
      </c>
      <c r="G29" s="32" t="s">
        <v>344</v>
      </c>
      <c r="H29" s="32"/>
      <c r="I29" s="32" t="s">
        <v>345</v>
      </c>
      <c r="J29" s="32" t="s">
        <v>355</v>
      </c>
      <c r="K29" s="32" t="s">
        <v>356</v>
      </c>
      <c r="L29" s="32"/>
      <c r="M29" s="32"/>
      <c r="N29" s="32"/>
      <c r="O29" s="32">
        <v>1437</v>
      </c>
      <c r="P29" s="32">
        <v>1202</v>
      </c>
      <c r="Q29" s="32">
        <v>240</v>
      </c>
      <c r="R29" s="25">
        <v>0</v>
      </c>
      <c r="T29" s="26">
        <v>45717</v>
      </c>
      <c r="W29">
        <v>408</v>
      </c>
      <c r="X29" s="9">
        <v>45770</v>
      </c>
    </row>
    <row r="30" spans="1:25" ht="15" x14ac:dyDescent="0.25">
      <c r="A30" s="32">
        <v>22201347</v>
      </c>
      <c r="B30" s="33">
        <v>45698</v>
      </c>
      <c r="C30" s="33">
        <v>45698</v>
      </c>
      <c r="D30" s="32">
        <v>1</v>
      </c>
      <c r="E30" s="32">
        <v>1</v>
      </c>
      <c r="F30" s="32" t="s">
        <v>343</v>
      </c>
      <c r="G30" s="32" t="s">
        <v>344</v>
      </c>
      <c r="H30" s="32"/>
      <c r="I30" s="32" t="s">
        <v>345</v>
      </c>
      <c r="J30" s="32" t="s">
        <v>357</v>
      </c>
      <c r="K30" s="32" t="s">
        <v>358</v>
      </c>
      <c r="L30" s="32"/>
      <c r="M30" s="32"/>
      <c r="N30" s="32"/>
      <c r="O30" s="32">
        <v>1174</v>
      </c>
      <c r="P30" s="32">
        <v>1174</v>
      </c>
      <c r="Q30" s="32">
        <v>235</v>
      </c>
      <c r="R30" s="25">
        <v>0</v>
      </c>
      <c r="T30" s="26">
        <v>45717</v>
      </c>
      <c r="W30">
        <v>408</v>
      </c>
      <c r="X30" s="9">
        <v>45770</v>
      </c>
    </row>
    <row r="31" spans="1:25" ht="15" x14ac:dyDescent="0.25">
      <c r="A31" s="32">
        <v>22201347</v>
      </c>
      <c r="B31" s="33">
        <v>45706</v>
      </c>
      <c r="C31" s="33">
        <v>45707</v>
      </c>
      <c r="D31" s="32">
        <v>2</v>
      </c>
      <c r="E31" s="32">
        <v>1</v>
      </c>
      <c r="F31" s="32" t="s">
        <v>343</v>
      </c>
      <c r="G31" s="32" t="s">
        <v>344</v>
      </c>
      <c r="H31" s="32"/>
      <c r="I31" s="32" t="s">
        <v>345</v>
      </c>
      <c r="J31" s="32" t="s">
        <v>357</v>
      </c>
      <c r="K31" s="32" t="s">
        <v>358</v>
      </c>
      <c r="L31" s="32"/>
      <c r="M31" s="32"/>
      <c r="N31" s="32"/>
      <c r="O31" s="32">
        <v>3287</v>
      </c>
      <c r="P31" s="32">
        <v>2348</v>
      </c>
      <c r="Q31" s="32">
        <v>470</v>
      </c>
      <c r="R31" s="25">
        <v>0</v>
      </c>
      <c r="T31" s="26">
        <v>45717</v>
      </c>
      <c r="W31">
        <v>408</v>
      </c>
      <c r="X31" s="9">
        <v>45770</v>
      </c>
    </row>
    <row r="32" spans="1:25" ht="15" x14ac:dyDescent="0.25">
      <c r="A32" s="32">
        <v>22201347</v>
      </c>
      <c r="B32" s="33">
        <v>45714</v>
      </c>
      <c r="C32" s="33">
        <v>45714</v>
      </c>
      <c r="D32" s="32">
        <v>1</v>
      </c>
      <c r="E32" s="32">
        <v>1</v>
      </c>
      <c r="F32" s="32" t="s">
        <v>343</v>
      </c>
      <c r="G32" s="32" t="s">
        <v>344</v>
      </c>
      <c r="H32" s="32"/>
      <c r="I32" s="32" t="s">
        <v>345</v>
      </c>
      <c r="J32" s="32" t="s">
        <v>357</v>
      </c>
      <c r="K32" s="32" t="s">
        <v>358</v>
      </c>
      <c r="L32" s="32"/>
      <c r="M32" s="32"/>
      <c r="N32" s="32"/>
      <c r="O32" s="32">
        <v>1174</v>
      </c>
      <c r="P32" s="32">
        <v>1174</v>
      </c>
      <c r="Q32" s="32">
        <v>235</v>
      </c>
      <c r="R32" s="25">
        <v>0</v>
      </c>
      <c r="T32" s="26">
        <v>45717</v>
      </c>
      <c r="W32">
        <v>408</v>
      </c>
      <c r="X32" s="9">
        <v>45770</v>
      </c>
    </row>
    <row r="33" spans="1:24" ht="15" x14ac:dyDescent="0.25">
      <c r="A33" s="32">
        <v>22201347</v>
      </c>
      <c r="B33" s="33">
        <v>45720</v>
      </c>
      <c r="C33" s="33">
        <v>45720</v>
      </c>
      <c r="D33" s="32">
        <v>1</v>
      </c>
      <c r="E33" s="32">
        <v>1</v>
      </c>
      <c r="F33" s="32" t="s">
        <v>343</v>
      </c>
      <c r="G33" s="32" t="s">
        <v>344</v>
      </c>
      <c r="H33" s="32"/>
      <c r="I33" s="32" t="s">
        <v>345</v>
      </c>
      <c r="J33" s="32" t="s">
        <v>357</v>
      </c>
      <c r="K33" s="32" t="s">
        <v>358</v>
      </c>
      <c r="L33" s="32"/>
      <c r="M33" s="32"/>
      <c r="N33" s="32"/>
      <c r="O33" s="32">
        <v>1233</v>
      </c>
      <c r="P33" s="32">
        <v>1233</v>
      </c>
      <c r="Q33" s="32">
        <v>247</v>
      </c>
      <c r="R33" s="25">
        <v>0</v>
      </c>
      <c r="T33" s="26">
        <v>45717</v>
      </c>
      <c r="W33">
        <v>408</v>
      </c>
      <c r="X33" s="9">
        <v>45770</v>
      </c>
    </row>
    <row r="34" spans="1:24" ht="15" x14ac:dyDescent="0.25">
      <c r="A34" s="32">
        <v>22201347</v>
      </c>
      <c r="B34" s="33">
        <v>45734</v>
      </c>
      <c r="C34" s="33">
        <v>45735</v>
      </c>
      <c r="D34" s="32">
        <v>2</v>
      </c>
      <c r="E34" s="32">
        <v>1</v>
      </c>
      <c r="F34" s="32" t="s">
        <v>343</v>
      </c>
      <c r="G34" s="32" t="s">
        <v>344</v>
      </c>
      <c r="H34" s="32"/>
      <c r="I34" s="32" t="s">
        <v>345</v>
      </c>
      <c r="J34" s="32" t="s">
        <v>357</v>
      </c>
      <c r="K34" s="32" t="s">
        <v>358</v>
      </c>
      <c r="L34" s="32">
        <v>6888</v>
      </c>
      <c r="M34" s="32" t="s">
        <v>361</v>
      </c>
      <c r="N34" s="32"/>
      <c r="O34" s="32">
        <v>2466</v>
      </c>
      <c r="P34" s="32">
        <v>2466</v>
      </c>
      <c r="Q34" s="32">
        <v>493</v>
      </c>
      <c r="R34" s="25">
        <v>0</v>
      </c>
      <c r="T34" s="26">
        <v>45717</v>
      </c>
      <c r="W34">
        <v>408</v>
      </c>
      <c r="X34" s="9">
        <v>45770</v>
      </c>
    </row>
    <row r="35" spans="1:24" ht="15" x14ac:dyDescent="0.25">
      <c r="A35" s="32">
        <v>22201347</v>
      </c>
      <c r="B35" s="33">
        <v>45733</v>
      </c>
      <c r="C35" s="33">
        <v>45733</v>
      </c>
      <c r="D35" s="32">
        <v>1</v>
      </c>
      <c r="E35" s="32">
        <v>1</v>
      </c>
      <c r="F35" s="32" t="s">
        <v>343</v>
      </c>
      <c r="G35" s="32" t="s">
        <v>344</v>
      </c>
      <c r="H35" s="32"/>
      <c r="I35" s="32" t="s">
        <v>345</v>
      </c>
      <c r="J35" s="32" t="s">
        <v>357</v>
      </c>
      <c r="K35" s="32" t="s">
        <v>358</v>
      </c>
      <c r="L35" s="32">
        <v>6888</v>
      </c>
      <c r="M35" s="32" t="s">
        <v>361</v>
      </c>
      <c r="N35" s="32"/>
      <c r="O35" s="32">
        <v>1233</v>
      </c>
      <c r="P35" s="32">
        <v>2466</v>
      </c>
      <c r="Q35" s="32">
        <v>247</v>
      </c>
      <c r="R35" s="25">
        <v>0</v>
      </c>
      <c r="T35" s="26">
        <v>45717</v>
      </c>
      <c r="W35">
        <v>408</v>
      </c>
      <c r="X35" s="9">
        <v>45770</v>
      </c>
    </row>
    <row r="36" spans="1:24" ht="15" x14ac:dyDescent="0.25">
      <c r="A36" s="32">
        <v>22201347</v>
      </c>
      <c r="B36" s="33">
        <v>45746</v>
      </c>
      <c r="C36" s="33">
        <v>45747</v>
      </c>
      <c r="D36" s="32">
        <v>2</v>
      </c>
      <c r="E36" s="32">
        <v>1</v>
      </c>
      <c r="F36" s="32" t="s">
        <v>343</v>
      </c>
      <c r="G36" s="32" t="s">
        <v>344</v>
      </c>
      <c r="H36" s="32"/>
      <c r="I36" s="32" t="s">
        <v>345</v>
      </c>
      <c r="J36" s="32" t="s">
        <v>357</v>
      </c>
      <c r="K36" s="32" t="s">
        <v>358</v>
      </c>
      <c r="L36" s="32"/>
      <c r="M36" s="32"/>
      <c r="N36" s="32"/>
      <c r="O36" s="32">
        <v>2466</v>
      </c>
      <c r="P36" s="32">
        <v>2466</v>
      </c>
      <c r="Q36" s="32">
        <v>493</v>
      </c>
      <c r="R36" s="25">
        <v>0</v>
      </c>
      <c r="T36" s="26">
        <v>45717</v>
      </c>
      <c r="W36">
        <v>408</v>
      </c>
      <c r="X36" s="9">
        <v>45770</v>
      </c>
    </row>
    <row r="37" spans="1:24" ht="15" x14ac:dyDescent="0.25">
      <c r="A37" s="32">
        <v>25147505</v>
      </c>
      <c r="B37" s="33">
        <v>45711</v>
      </c>
      <c r="C37" s="33">
        <v>45711</v>
      </c>
      <c r="D37" s="32">
        <v>1</v>
      </c>
      <c r="E37" s="32">
        <v>1</v>
      </c>
      <c r="F37" s="32" t="s">
        <v>343</v>
      </c>
      <c r="G37" s="32" t="s">
        <v>344</v>
      </c>
      <c r="H37" s="32"/>
      <c r="I37" s="32" t="s">
        <v>345</v>
      </c>
      <c r="J37" s="32" t="s">
        <v>346</v>
      </c>
      <c r="K37" s="32" t="s">
        <v>347</v>
      </c>
      <c r="L37" s="32"/>
      <c r="M37" s="32"/>
      <c r="N37" s="32"/>
      <c r="O37" s="32">
        <v>1107</v>
      </c>
      <c r="P37" s="32">
        <v>791</v>
      </c>
      <c r="Q37" s="32">
        <v>158</v>
      </c>
      <c r="R37" s="25">
        <v>0</v>
      </c>
      <c r="T37" s="26">
        <v>45717</v>
      </c>
      <c r="W37">
        <v>408</v>
      </c>
      <c r="X37" s="9">
        <v>45770</v>
      </c>
    </row>
  </sheetData>
  <autoFilter ref="A1:X1" xr:uid="{06C019A0-69F7-4CCB-8031-4618650DB101}">
    <sortState xmlns:xlrd2="http://schemas.microsoft.com/office/spreadsheetml/2017/richdata2" ref="A2:X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2025-11-25T08:53:50Z</dcterms:created>
  <dcterms:modified xsi:type="dcterms:W3CDTF">2025-12-09T12:04:40Z</dcterms:modified>
</cp:coreProperties>
</file>