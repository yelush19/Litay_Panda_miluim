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LitayPandaMiluim\PUBLIC\"/>
    </mc:Choice>
  </mc:AlternateContent>
  <xr:revisionPtr revIDLastSave="0" documentId="8_{0C4156D5-6201-49DD-A424-DCF75E163D54}" xr6:coauthVersionLast="47" xr6:coauthVersionMax="47" xr10:uidLastSave="{00000000-0000-0000-0000-000000000000}"/>
  <bookViews>
    <workbookView xWindow="28680" yWindow="-120" windowWidth="29040" windowHeight="15720" firstSheet="8" activeTab="8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3️⃣ תשלומי ב&quot;ל" sheetId="4" r:id="rId4"/>
    <sheet name="4️⃣ דוח מסכם" sheetId="6" state="hidden" r:id="rId5"/>
    <sheet name="💵 רשימת תשלומים" sheetId="7" state="hidden" r:id="rId6"/>
    <sheet name="2️⃣ תקופות מילואים" sheetId="9" state="hidden" r:id="rId7"/>
    <sheet name="📈 היסטוריית שכר" sheetId="8" r:id="rId8"/>
    <sheet name="2️⃣ תקופות מילואים-חדש" sheetId="10" r:id="rId9"/>
    <sheet name="מילואים 2025- מקאנו" sheetId="11" r:id="rId10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מילואים'!$A$1:$Q$157</definedName>
    <definedName name="_xlnm._FilterDatabase" localSheetId="8" hidden="1">'2️⃣ תקופות מילואים-חדש'!$A$1:$T$223</definedName>
    <definedName name="_xlnm._FilterDatabase" localSheetId="3" hidden="1">'3️⃣ תשלומי ב"ל'!$A$1:$L$81</definedName>
    <definedName name="_xlnm._FilterDatabase" localSheetId="4" hidden="1">'4️⃣ דוח מסכם'!$A$1:$L$80</definedName>
    <definedName name="_xlnm._FilterDatabase" localSheetId="9" hidden="1">'מילואים 2025- מקאנו'!$A$1:$D$753</definedName>
    <definedName name="_xlnm._FilterDatabase" localSheetId="7" hidden="1">'📈 היסטוריית שכר'!$A$4:$H$13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3" i="10" l="1"/>
  <c r="Q113" i="10"/>
  <c r="Q114" i="10"/>
  <c r="Q226" i="10"/>
  <c r="Q227" i="10"/>
  <c r="Q228" i="10"/>
  <c r="M144" i="10"/>
  <c r="O40" i="10"/>
  <c r="M119" i="10"/>
  <c r="Q119" i="10" s="1"/>
  <c r="O135" i="10"/>
  <c r="M132" i="10"/>
  <c r="Q132" i="10" s="1"/>
  <c r="M131" i="10"/>
  <c r="Q131" i="10" s="1"/>
  <c r="M130" i="10"/>
  <c r="Q130" i="10" s="1"/>
  <c r="O128" i="10"/>
  <c r="M218" i="10"/>
  <c r="Q218" i="10" s="1"/>
  <c r="O115" i="10"/>
  <c r="O114" i="10"/>
  <c r="O75" i="10"/>
  <c r="O73" i="10"/>
  <c r="Q222" i="10"/>
  <c r="Q223" i="10"/>
  <c r="Q224" i="10"/>
  <c r="Q225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O187" i="10"/>
  <c r="O188" i="10" s="1"/>
  <c r="O168" i="10"/>
  <c r="O162" i="10"/>
  <c r="O144" i="10"/>
  <c r="O142" i="10"/>
  <c r="M28" i="10"/>
  <c r="O28" i="10"/>
  <c r="M4" i="10"/>
  <c r="Q4" i="10" s="1"/>
  <c r="N38" i="9"/>
  <c r="P40" i="9"/>
  <c r="P38" i="9"/>
  <c r="P36" i="9"/>
  <c r="P34" i="9"/>
  <c r="P33" i="9"/>
  <c r="P31" i="9"/>
  <c r="P29" i="9"/>
  <c r="P27" i="9"/>
  <c r="P113" i="9"/>
  <c r="P112" i="9"/>
  <c r="N144" i="9"/>
  <c r="M11" i="10"/>
  <c r="M12" i="10"/>
  <c r="M13" i="10"/>
  <c r="M14" i="10"/>
  <c r="M15" i="10"/>
  <c r="O15" i="10" s="1"/>
  <c r="M17" i="10"/>
  <c r="Q17" i="10" s="1"/>
  <c r="M19" i="10"/>
  <c r="Q19" i="10" s="1"/>
  <c r="M20" i="10"/>
  <c r="Q20" i="10" s="1"/>
  <c r="M21" i="10"/>
  <c r="Q21" i="10" s="1"/>
  <c r="M22" i="10"/>
  <c r="Q22" i="10" s="1"/>
  <c r="M23" i="10"/>
  <c r="Q23" i="10" s="1"/>
  <c r="M24" i="10"/>
  <c r="Q24" i="10" s="1"/>
  <c r="M27" i="10"/>
  <c r="Q27" i="10" s="1"/>
  <c r="M30" i="10"/>
  <c r="Q30" i="10" s="1"/>
  <c r="M31" i="10"/>
  <c r="Q31" i="10" s="1"/>
  <c r="M32" i="10"/>
  <c r="Q32" i="10" s="1"/>
  <c r="M33" i="10"/>
  <c r="M34" i="10"/>
  <c r="Q34" i="10" s="1"/>
  <c r="M35" i="10"/>
  <c r="M36" i="10"/>
  <c r="M37" i="10"/>
  <c r="Q37" i="10" s="1"/>
  <c r="M38" i="10"/>
  <c r="Q38" i="10" s="1"/>
  <c r="M39" i="10"/>
  <c r="Q39" i="10" s="1"/>
  <c r="M40" i="10"/>
  <c r="M41" i="10"/>
  <c r="Q41" i="10" s="1"/>
  <c r="M42" i="10"/>
  <c r="Q42" i="10" s="1"/>
  <c r="M43" i="10"/>
  <c r="Q43" i="10" s="1"/>
  <c r="M44" i="10"/>
  <c r="Q44" i="10" s="1"/>
  <c r="M45" i="10"/>
  <c r="Q45" i="10" s="1"/>
  <c r="M46" i="10"/>
  <c r="Q46" i="10" s="1"/>
  <c r="M47" i="10"/>
  <c r="Q47" i="10" s="1"/>
  <c r="M48" i="10"/>
  <c r="Q48" i="10" s="1"/>
  <c r="M49" i="10"/>
  <c r="Q49" i="10" s="1"/>
  <c r="M50" i="10"/>
  <c r="Q50" i="10" s="1"/>
  <c r="M51" i="10"/>
  <c r="Q51" i="10" s="1"/>
  <c r="M53" i="10"/>
  <c r="Q53" i="10" s="1"/>
  <c r="M54" i="10"/>
  <c r="Q54" i="10" s="1"/>
  <c r="M55" i="10"/>
  <c r="Q55" i="10" s="1"/>
  <c r="M56" i="10"/>
  <c r="Q56" i="10" s="1"/>
  <c r="M57" i="10"/>
  <c r="Q57" i="10" s="1"/>
  <c r="M58" i="10"/>
  <c r="Q58" i="10" s="1"/>
  <c r="M59" i="10"/>
  <c r="Q59" i="10" s="1"/>
  <c r="M61" i="10"/>
  <c r="Q61" i="10" s="1"/>
  <c r="M62" i="10"/>
  <c r="Q62" i="10" s="1"/>
  <c r="M64" i="10"/>
  <c r="Q64" i="10" s="1"/>
  <c r="M66" i="10"/>
  <c r="Q66" i="10" s="1"/>
  <c r="M67" i="10"/>
  <c r="Q67" i="10" s="1"/>
  <c r="M68" i="10"/>
  <c r="Q68" i="10" s="1"/>
  <c r="M69" i="10"/>
  <c r="Q69" i="10" s="1"/>
  <c r="M70" i="10"/>
  <c r="Q70" i="10" s="1"/>
  <c r="M71" i="10"/>
  <c r="Q71" i="10" s="1"/>
  <c r="M72" i="10"/>
  <c r="Q72" i="10" s="1"/>
  <c r="M74" i="10"/>
  <c r="Q74" i="10" s="1"/>
  <c r="M75" i="10"/>
  <c r="M76" i="10"/>
  <c r="Q76" i="10" s="1"/>
  <c r="M77" i="10"/>
  <c r="Q77" i="10" s="1"/>
  <c r="M78" i="10"/>
  <c r="Q78" i="10" s="1"/>
  <c r="M79" i="10"/>
  <c r="Q79" i="10" s="1"/>
  <c r="M80" i="10"/>
  <c r="Q80" i="10" s="1"/>
  <c r="M81" i="10"/>
  <c r="Q81" i="10" s="1"/>
  <c r="M82" i="10"/>
  <c r="Q82" i="10" s="1"/>
  <c r="M83" i="10"/>
  <c r="Q83" i="10" s="1"/>
  <c r="M84" i="10"/>
  <c r="Q84" i="10" s="1"/>
  <c r="M85" i="10"/>
  <c r="Q85" i="10" s="1"/>
  <c r="M86" i="10"/>
  <c r="Q86" i="10" s="1"/>
  <c r="M87" i="10"/>
  <c r="Q87" i="10" s="1"/>
  <c r="M88" i="10"/>
  <c r="Q88" i="10" s="1"/>
  <c r="M89" i="10"/>
  <c r="Q89" i="10" s="1"/>
  <c r="M90" i="10"/>
  <c r="Q90" i="10" s="1"/>
  <c r="M92" i="10"/>
  <c r="Q92" i="10" s="1"/>
  <c r="M93" i="10"/>
  <c r="Q93" i="10" s="1"/>
  <c r="M94" i="10"/>
  <c r="Q94" i="10" s="1"/>
  <c r="M95" i="10"/>
  <c r="Q95" i="10" s="1"/>
  <c r="M96" i="10"/>
  <c r="Q96" i="10" s="1"/>
  <c r="M97" i="10"/>
  <c r="Q97" i="10" s="1"/>
  <c r="M98" i="10"/>
  <c r="Q98" i="10" s="1"/>
  <c r="M99" i="10"/>
  <c r="Q99" i="10" s="1"/>
  <c r="M100" i="10"/>
  <c r="Q100" i="10" s="1"/>
  <c r="M101" i="10"/>
  <c r="Q101" i="10" s="1"/>
  <c r="M102" i="10"/>
  <c r="Q102" i="10" s="1"/>
  <c r="M103" i="10"/>
  <c r="Q103" i="10" s="1"/>
  <c r="M104" i="10"/>
  <c r="Q104" i="10" s="1"/>
  <c r="M105" i="10"/>
  <c r="Q105" i="10" s="1"/>
  <c r="M106" i="10"/>
  <c r="Q106" i="10" s="1"/>
  <c r="M107" i="10"/>
  <c r="Q107" i="10" s="1"/>
  <c r="M108" i="10"/>
  <c r="Q108" i="10" s="1"/>
  <c r="M109" i="10"/>
  <c r="Q109" i="10" s="1"/>
  <c r="M110" i="10"/>
  <c r="Q110" i="10" s="1"/>
  <c r="M111" i="10"/>
  <c r="Q111" i="10" s="1"/>
  <c r="M112" i="10"/>
  <c r="Q112" i="10" s="1"/>
  <c r="M114" i="10"/>
  <c r="M115" i="10"/>
  <c r="M116" i="10"/>
  <c r="Q116" i="10" s="1"/>
  <c r="M117" i="10"/>
  <c r="Q117" i="10" s="1"/>
  <c r="M118" i="10"/>
  <c r="Q118" i="10" s="1"/>
  <c r="M120" i="10"/>
  <c r="Q120" i="10" s="1"/>
  <c r="M121" i="10"/>
  <c r="Q121" i="10" s="1"/>
  <c r="M122" i="10"/>
  <c r="Q122" i="10" s="1"/>
  <c r="M123" i="10"/>
  <c r="Q123" i="10" s="1"/>
  <c r="M124" i="10"/>
  <c r="Q124" i="10" s="1"/>
  <c r="M125" i="10"/>
  <c r="Q125" i="10" s="1"/>
  <c r="M126" i="10"/>
  <c r="Q126" i="10" s="1"/>
  <c r="M127" i="10"/>
  <c r="Q127" i="10" s="1"/>
  <c r="M133" i="10"/>
  <c r="Q133" i="10" s="1"/>
  <c r="M134" i="10"/>
  <c r="Q134" i="10" s="1"/>
  <c r="M135" i="10"/>
  <c r="M136" i="10"/>
  <c r="Q136" i="10" s="1"/>
  <c r="M137" i="10"/>
  <c r="Q137" i="10" s="1"/>
  <c r="M138" i="10"/>
  <c r="Q138" i="10" s="1"/>
  <c r="M139" i="10"/>
  <c r="Q139" i="10" s="1"/>
  <c r="M140" i="10"/>
  <c r="Q140" i="10" s="1"/>
  <c r="M141" i="10"/>
  <c r="Q141" i="10" s="1"/>
  <c r="M142" i="10"/>
  <c r="M143" i="10"/>
  <c r="Q143" i="10" s="1"/>
  <c r="M145" i="10"/>
  <c r="Q145" i="10" s="1"/>
  <c r="M146" i="10"/>
  <c r="Q146" i="10" s="1"/>
  <c r="M147" i="10"/>
  <c r="Q147" i="10" s="1"/>
  <c r="M148" i="10"/>
  <c r="Q148" i="10" s="1"/>
  <c r="M149" i="10"/>
  <c r="Q149" i="10" s="1"/>
  <c r="M150" i="10"/>
  <c r="Q150" i="10" s="1"/>
  <c r="M205" i="10"/>
  <c r="Q205" i="10" s="1"/>
  <c r="M128" i="10"/>
  <c r="M129" i="10"/>
  <c r="Q129" i="10" s="1"/>
  <c r="M152" i="10"/>
  <c r="Q152" i="10" s="1"/>
  <c r="M153" i="10"/>
  <c r="Q153" i="10" s="1"/>
  <c r="M154" i="10"/>
  <c r="Q154" i="10" s="1"/>
  <c r="M155" i="10"/>
  <c r="Q155" i="10" s="1"/>
  <c r="M156" i="10"/>
  <c r="Q156" i="10" s="1"/>
  <c r="M157" i="10"/>
  <c r="Q157" i="10" s="1"/>
  <c r="M158" i="10"/>
  <c r="Q158" i="10" s="1"/>
  <c r="M160" i="10"/>
  <c r="Q160" i="10" s="1"/>
  <c r="M161" i="10"/>
  <c r="Q161" i="10" s="1"/>
  <c r="M164" i="10"/>
  <c r="Q164" i="10" s="1"/>
  <c r="M168" i="10"/>
  <c r="M169" i="10"/>
  <c r="Q169" i="10" s="1"/>
  <c r="M170" i="10"/>
  <c r="Q170" i="10" s="1"/>
  <c r="M171" i="10"/>
  <c r="Q171" i="10" s="1"/>
  <c r="M172" i="10"/>
  <c r="Q172" i="10" s="1"/>
  <c r="M174" i="10"/>
  <c r="Q174" i="10" s="1"/>
  <c r="M175" i="10"/>
  <c r="Q175" i="10" s="1"/>
  <c r="M176" i="10"/>
  <c r="Q176" i="10" s="1"/>
  <c r="M177" i="10"/>
  <c r="Q177" i="10" s="1"/>
  <c r="M178" i="10"/>
  <c r="Q178" i="10" s="1"/>
  <c r="M179" i="10"/>
  <c r="Q179" i="10" s="1"/>
  <c r="M180" i="10"/>
  <c r="Q180" i="10" s="1"/>
  <c r="M181" i="10"/>
  <c r="Q181" i="10" s="1"/>
  <c r="M182" i="10"/>
  <c r="Q182" i="10" s="1"/>
  <c r="M183" i="10"/>
  <c r="Q183" i="10" s="1"/>
  <c r="M184" i="10"/>
  <c r="Q184" i="10" s="1"/>
  <c r="M185" i="10"/>
  <c r="Q185" i="10" s="1"/>
  <c r="M186" i="10"/>
  <c r="Q186" i="10" s="1"/>
  <c r="M187" i="10"/>
  <c r="M188" i="10"/>
  <c r="M192" i="10"/>
  <c r="Q192" i="10" s="1"/>
  <c r="M193" i="10"/>
  <c r="Q193" i="10" s="1"/>
  <c r="M194" i="10"/>
  <c r="Q194" i="10" s="1"/>
  <c r="M195" i="10"/>
  <c r="Q195" i="10" s="1"/>
  <c r="M196" i="10"/>
  <c r="Q196" i="10" s="1"/>
  <c r="M197" i="10"/>
  <c r="Q197" i="10" s="1"/>
  <c r="M198" i="10"/>
  <c r="Q198" i="10" s="1"/>
  <c r="M199" i="10"/>
  <c r="Q199" i="10" s="1"/>
  <c r="M200" i="10"/>
  <c r="Q200" i="10" s="1"/>
  <c r="M202" i="10"/>
  <c r="Q202" i="10" s="1"/>
  <c r="M203" i="10"/>
  <c r="Q203" i="10" s="1"/>
  <c r="M204" i="10"/>
  <c r="Q204" i="10" s="1"/>
  <c r="M206" i="10"/>
  <c r="Q206" i="10" s="1"/>
  <c r="M207" i="10"/>
  <c r="Q207" i="10" s="1"/>
  <c r="M208" i="10"/>
  <c r="Q208" i="10" s="1"/>
  <c r="M209" i="10"/>
  <c r="Q209" i="10" s="1"/>
  <c r="M210" i="10"/>
  <c r="Q210" i="10" s="1"/>
  <c r="M211" i="10"/>
  <c r="Q211" i="10" s="1"/>
  <c r="M212" i="10"/>
  <c r="Q212" i="10" s="1"/>
  <c r="M213" i="10"/>
  <c r="Q213" i="10" s="1"/>
  <c r="M214" i="10"/>
  <c r="Q214" i="10" s="1"/>
  <c r="M215" i="10"/>
  <c r="Q215" i="10" s="1"/>
  <c r="M216" i="10"/>
  <c r="Q216" i="10" s="1"/>
  <c r="M217" i="10"/>
  <c r="Q217" i="10" s="1"/>
  <c r="M219" i="10"/>
  <c r="Q219" i="10" s="1"/>
  <c r="M220" i="10"/>
  <c r="Q220" i="10" s="1"/>
  <c r="M221" i="10"/>
  <c r="Q221" i="10" s="1"/>
  <c r="H162" i="10"/>
  <c r="M162" i="10" s="1"/>
  <c r="C33" i="8"/>
  <c r="D33" i="8"/>
  <c r="C32" i="8"/>
  <c r="D32" i="8"/>
  <c r="L201" i="10"/>
  <c r="M201" i="10" s="1"/>
  <c r="Q201" i="10" s="1"/>
  <c r="C31" i="8"/>
  <c r="D31" i="8"/>
  <c r="H189" i="10"/>
  <c r="M189" i="10" s="1"/>
  <c r="Q189" i="10" s="1"/>
  <c r="H190" i="10"/>
  <c r="M190" i="10" s="1"/>
  <c r="Q190" i="10" s="1"/>
  <c r="H191" i="10"/>
  <c r="M191" i="10" s="1"/>
  <c r="Q191" i="10" s="1"/>
  <c r="H18" i="10"/>
  <c r="M18" i="10" s="1"/>
  <c r="Q18" i="10" s="1"/>
  <c r="L173" i="10"/>
  <c r="M173" i="10" s="1"/>
  <c r="Q173" i="10" s="1"/>
  <c r="C30" i="8"/>
  <c r="D30" i="8"/>
  <c r="L167" i="10"/>
  <c r="M167" i="10" s="1"/>
  <c r="Q167" i="10" s="1"/>
  <c r="L166" i="10"/>
  <c r="M166" i="10" s="1"/>
  <c r="Q166" i="10" s="1"/>
  <c r="A166" i="10"/>
  <c r="C29" i="8"/>
  <c r="D29" i="8"/>
  <c r="L165" i="10"/>
  <c r="M165" i="10" s="1"/>
  <c r="Q165" i="10" s="1"/>
  <c r="A165" i="10"/>
  <c r="A163" i="10"/>
  <c r="L163" i="10"/>
  <c r="M163" i="10" s="1"/>
  <c r="Q163" i="10" s="1"/>
  <c r="C28" i="8"/>
  <c r="D28" i="8"/>
  <c r="L159" i="10"/>
  <c r="M159" i="10" s="1"/>
  <c r="Q159" i="10" s="1"/>
  <c r="L151" i="10"/>
  <c r="M151" i="10" s="1"/>
  <c r="Q151" i="10" s="1"/>
  <c r="L113" i="10"/>
  <c r="M113" i="10" s="1"/>
  <c r="C26" i="8"/>
  <c r="L91" i="10"/>
  <c r="M91" i="10" s="1"/>
  <c r="Q91" i="10" s="1"/>
  <c r="C24" i="8"/>
  <c r="D24" i="8"/>
  <c r="C23" i="8"/>
  <c r="D23" i="8"/>
  <c r="L73" i="10"/>
  <c r="M73" i="10" s="1"/>
  <c r="D21" i="8"/>
  <c r="C21" i="8" s="1"/>
  <c r="L65" i="10"/>
  <c r="M65" i="10" s="1"/>
  <c r="Q65" i="10" s="1"/>
  <c r="L60" i="10"/>
  <c r="M60" i="10" s="1"/>
  <c r="Q60" i="10" s="1"/>
  <c r="L10" i="10"/>
  <c r="M10" i="10" s="1"/>
  <c r="Q10" i="10" s="1"/>
  <c r="L7" i="10"/>
  <c r="M7" i="10" s="1"/>
  <c r="Q7" i="10" s="1"/>
  <c r="D27" i="8"/>
  <c r="C27" i="8" s="1"/>
  <c r="D26" i="8"/>
  <c r="D25" i="8"/>
  <c r="C25" i="8" s="1"/>
  <c r="D16" i="8"/>
  <c r="C16" i="8"/>
  <c r="L52" i="10" s="1"/>
  <c r="M52" i="10" s="1"/>
  <c r="Q52" i="10" s="1"/>
  <c r="C15" i="8"/>
  <c r="L29" i="10" s="1"/>
  <c r="M29" i="10" s="1"/>
  <c r="Q29" i="10" s="1"/>
  <c r="D13" i="8"/>
  <c r="C13" i="8" s="1"/>
  <c r="L26" i="10" s="1"/>
  <c r="M26" i="10" s="1"/>
  <c r="Q26" i="10" s="1"/>
  <c r="D14" i="8"/>
  <c r="C14" i="8" s="1"/>
  <c r="D12" i="8"/>
  <c r="C12" i="8" s="1"/>
  <c r="L25" i="10" s="1"/>
  <c r="M25" i="10" s="1"/>
  <c r="Q25" i="10" s="1"/>
  <c r="D11" i="8"/>
  <c r="C11" i="8" s="1"/>
  <c r="L16" i="10" s="1"/>
  <c r="M16" i="10" s="1"/>
  <c r="Q16" i="10" s="1"/>
  <c r="D10" i="8"/>
  <c r="C10" i="8" s="1"/>
  <c r="L8" i="10" s="1"/>
  <c r="M8" i="10" s="1"/>
  <c r="Q8" i="10" s="1"/>
  <c r="D8" i="8"/>
  <c r="C8" i="8" s="1"/>
  <c r="D7" i="8"/>
  <c r="C7" i="8" s="1"/>
  <c r="L5" i="10" s="1"/>
  <c r="M5" i="10" s="1"/>
  <c r="Q5" i="10" s="1"/>
  <c r="D6" i="8"/>
  <c r="C6" i="8" s="1"/>
  <c r="L3" i="10" s="1"/>
  <c r="M3" i="10" s="1"/>
  <c r="Q3" i="10" s="1"/>
  <c r="C5" i="8"/>
  <c r="L2" i="10" s="1"/>
  <c r="M2" i="10" s="1"/>
  <c r="Q2" i="10" s="1"/>
  <c r="C18" i="8"/>
  <c r="L63" i="10" s="1"/>
  <c r="M63" i="10" s="1"/>
  <c r="Q63" i="10" s="1"/>
  <c r="L2" i="6"/>
  <c r="J63" i="6"/>
  <c r="L63" i="6" s="1"/>
  <c r="J62" i="6"/>
  <c r="L62" i="6" s="1"/>
  <c r="Q15" i="10" l="1"/>
  <c r="Q11" i="10"/>
  <c r="Q12" i="10"/>
  <c r="Q13" i="10"/>
  <c r="Q14" i="10"/>
  <c r="Q28" i="10"/>
  <c r="Q187" i="10"/>
  <c r="Q142" i="10"/>
  <c r="Q188" i="10"/>
  <c r="Q135" i="10"/>
  <c r="Q40" i="10"/>
  <c r="Q144" i="10"/>
  <c r="Q33" i="10"/>
  <c r="Q162" i="10"/>
  <c r="Q36" i="10"/>
  <c r="Q35" i="10"/>
  <c r="Q168" i="10"/>
  <c r="Q73" i="10"/>
  <c r="Q115" i="10"/>
  <c r="Q75" i="10"/>
  <c r="Q128" i="10"/>
  <c r="L9" i="10"/>
  <c r="M9" i="10" s="1"/>
  <c r="Q9" i="10" s="1"/>
  <c r="L6" i="10"/>
  <c r="M6" i="10" s="1"/>
  <c r="Q6" i="10" s="1"/>
  <c r="J9" i="6"/>
  <c r="L9" i="6" s="1"/>
  <c r="L5" i="6"/>
  <c r="L8" i="9"/>
  <c r="J8" i="6"/>
  <c r="L8" i="6" s="1"/>
  <c r="J7" i="6"/>
  <c r="L7" i="6" s="1"/>
  <c r="J6" i="6"/>
  <c r="L6" i="6" s="1"/>
  <c r="K79" i="6"/>
  <c r="K75" i="6"/>
  <c r="K61" i="6"/>
  <c r="K60" i="6"/>
  <c r="K33" i="6"/>
  <c r="K23" i="6" l="1"/>
  <c r="K18" i="6"/>
  <c r="K16" i="6"/>
  <c r="K44" i="6"/>
  <c r="K12" i="6"/>
  <c r="R13" i="9"/>
  <c r="R11" i="9"/>
  <c r="F7" i="7"/>
  <c r="F8" i="7"/>
  <c r="F9" i="7"/>
  <c r="D6" i="7"/>
  <c r="D11" i="7" s="1"/>
  <c r="F5" i="7"/>
  <c r="E11" i="7"/>
  <c r="C11" i="7"/>
  <c r="P144" i="9"/>
  <c r="M41" i="9"/>
  <c r="M88" i="9"/>
  <c r="M87" i="9"/>
  <c r="M86" i="9"/>
  <c r="M9" i="9"/>
  <c r="M15" i="9"/>
  <c r="M27" i="9"/>
  <c r="M29" i="9"/>
  <c r="M63" i="9"/>
  <c r="M71" i="9"/>
  <c r="M73" i="9"/>
  <c r="M89" i="9"/>
  <c r="M91" i="9"/>
  <c r="M111" i="9"/>
  <c r="M112" i="9"/>
  <c r="M113" i="9"/>
  <c r="M115" i="9"/>
  <c r="M117" i="9"/>
  <c r="M24" i="9"/>
  <c r="M25" i="9"/>
  <c r="M31" i="9"/>
  <c r="M33" i="9"/>
  <c r="M34" i="9"/>
  <c r="M75" i="9"/>
  <c r="M92" i="9"/>
  <c r="M93" i="9"/>
  <c r="M118" i="9"/>
  <c r="M119" i="9"/>
  <c r="M120" i="9"/>
  <c r="M121" i="9"/>
  <c r="M2" i="9"/>
  <c r="M10" i="9"/>
  <c r="M36" i="9"/>
  <c r="M38" i="9"/>
  <c r="M40" i="9"/>
  <c r="M58" i="9"/>
  <c r="M76" i="9"/>
  <c r="M78" i="9"/>
  <c r="M95" i="9"/>
  <c r="M96" i="9"/>
  <c r="M97" i="9"/>
  <c r="M109" i="9"/>
  <c r="M144" i="9"/>
  <c r="M145" i="9"/>
  <c r="M122" i="9"/>
  <c r="M123" i="9"/>
  <c r="M124" i="9"/>
  <c r="M146" i="9"/>
  <c r="M11" i="9"/>
  <c r="M12" i="9"/>
  <c r="M16" i="9"/>
  <c r="M42" i="9"/>
  <c r="M64" i="9"/>
  <c r="M80" i="9"/>
  <c r="M81" i="9"/>
  <c r="M98" i="9"/>
  <c r="M94" i="9"/>
  <c r="M125" i="9"/>
  <c r="M126" i="9"/>
  <c r="M127" i="9"/>
  <c r="M128" i="9"/>
  <c r="M5" i="9"/>
  <c r="M13" i="9"/>
  <c r="M43" i="9"/>
  <c r="M44" i="9"/>
  <c r="M45" i="9"/>
  <c r="M59" i="9"/>
  <c r="M65" i="9"/>
  <c r="M66" i="9"/>
  <c r="M82" i="9"/>
  <c r="M83" i="9"/>
  <c r="M84" i="9"/>
  <c r="M85" i="9"/>
  <c r="R81" i="9" s="1"/>
  <c r="M99" i="9"/>
  <c r="M100" i="9"/>
  <c r="M101" i="9"/>
  <c r="M108" i="9"/>
  <c r="M129" i="9"/>
  <c r="M130" i="9"/>
  <c r="M131" i="9"/>
  <c r="M132" i="9"/>
  <c r="M133" i="9"/>
  <c r="M147" i="9"/>
  <c r="M148" i="9"/>
  <c r="M154" i="9"/>
  <c r="M6" i="9"/>
  <c r="M17" i="9"/>
  <c r="M23" i="9"/>
  <c r="M26" i="9"/>
  <c r="M46" i="9"/>
  <c r="M47" i="9"/>
  <c r="R65" i="9" s="1"/>
  <c r="M60" i="9"/>
  <c r="M67" i="9"/>
  <c r="M110" i="9"/>
  <c r="M134" i="9"/>
  <c r="M135" i="9"/>
  <c r="M136" i="9"/>
  <c r="M149" i="9"/>
  <c r="M150" i="9"/>
  <c r="M155" i="9"/>
  <c r="M156" i="9"/>
  <c r="M157" i="9"/>
  <c r="M7" i="9"/>
  <c r="M18" i="9"/>
  <c r="M19" i="9"/>
  <c r="M48" i="9"/>
  <c r="M50" i="9"/>
  <c r="M51" i="9"/>
  <c r="M52" i="9"/>
  <c r="M61" i="9"/>
  <c r="M68" i="9"/>
  <c r="M102" i="9"/>
  <c r="M137" i="9"/>
  <c r="M138" i="9"/>
  <c r="M139" i="9"/>
  <c r="M14" i="9"/>
  <c r="M20" i="9"/>
  <c r="M53" i="9"/>
  <c r="M54" i="9"/>
  <c r="M55" i="9"/>
  <c r="M62" i="9"/>
  <c r="M69" i="9"/>
  <c r="M70" i="9"/>
  <c r="M103" i="9"/>
  <c r="M104" i="9"/>
  <c r="M105" i="9"/>
  <c r="M140" i="9"/>
  <c r="M141" i="9"/>
  <c r="M151" i="9"/>
  <c r="M152" i="9"/>
  <c r="M3" i="9"/>
  <c r="M8" i="9"/>
  <c r="M21" i="9"/>
  <c r="M22" i="9"/>
  <c r="M49" i="9"/>
  <c r="M56" i="9"/>
  <c r="M57" i="9"/>
  <c r="M106" i="9"/>
  <c r="M107" i="9"/>
  <c r="M142" i="9"/>
  <c r="M143" i="9"/>
  <c r="M153" i="9"/>
  <c r="M4" i="9"/>
  <c r="G2" i="3"/>
  <c r="R49" i="9" l="1"/>
  <c r="R84" i="9"/>
  <c r="R83" i="9"/>
  <c r="R82" i="9"/>
  <c r="R156" i="9"/>
  <c r="R54" i="9"/>
  <c r="R55" i="9"/>
  <c r="R154" i="9"/>
  <c r="R66" i="9"/>
  <c r="R123" i="9"/>
  <c r="F6" i="7"/>
  <c r="F11" i="7" s="1"/>
  <c r="R155" i="9"/>
  <c r="R67" i="9"/>
  <c r="R86" i="9"/>
  <c r="R117" i="9"/>
  <c r="R51" i="9"/>
  <c r="R101" i="9"/>
  <c r="R77" i="9"/>
  <c r="R76" i="9"/>
  <c r="R102" i="9"/>
  <c r="R88" i="9"/>
  <c r="R87" i="9"/>
  <c r="R75" i="9"/>
  <c r="R50" i="9"/>
  <c r="R85" i="9"/>
  <c r="R6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tc={6787C478-0C85-493B-9475-C26595629C1D}</author>
    <author>tc={D26D7842-31F3-4E79-B9DB-E82B94C48F48}</author>
    <author>tc={E988842A-8805-40B0-AFB4-F67C9B2C58EC}</author>
    <author>tc={5916CADD-192B-4B60-9D13-82A0CC932093}</author>
    <author>tc={3E6A486E-5E75-4DF1-878B-80F26C1A4EF9}</author>
    <author>tc={AAD40D6C-319B-490F-8B48-12D6D86E15FE}</author>
    <author>tc={51188C0D-F36D-449E-91C0-787B8B479DCB}</author>
    <author>tc={8919AB1E-119B-4A81-B2BA-BF151A5A6566}</author>
  </authors>
  <commentList>
    <comment ref="P27" authorId="0" shapeId="0" xr:uid="{6787C478-0C85-493B-9475-C26595629C1D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הפרש 30.04.25
</t>
      </text>
    </comment>
    <comment ref="P29" authorId="1" shapeId="0" xr:uid="{D26D7842-31F3-4E79-B9DB-E82B94C48F48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הפרש 30.04.25
</t>
      </text>
    </comment>
    <comment ref="P31" authorId="2" shapeId="0" xr:uid="{E988842A-8805-40B0-AFB4-F67C9B2C58EC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23.04+30.04.25
</t>
      </text>
    </comment>
    <comment ref="P33" authorId="3" shapeId="0" xr:uid="{5916CADD-192B-4B60-9D13-82A0CC932093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23.04+30.4</t>
      </text>
    </comment>
    <comment ref="P34" authorId="4" shapeId="0" xr:uid="{3E6A486E-5E75-4DF1-878B-80F26C1A4EF9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23.4+30.4</t>
      </text>
    </comment>
    <comment ref="P36" authorId="5" shapeId="0" xr:uid="{AAD40D6C-319B-490F-8B48-12D6D86E15F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23+30.04</t>
      </text>
    </comment>
    <comment ref="P38" authorId="6" shapeId="0" xr:uid="{51188C0D-F36D-449E-91C0-787B8B479DC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23.04+30.04</t>
      </text>
    </comment>
    <comment ref="P40" authorId="7" shapeId="0" xr:uid="{8919AB1E-119B-4A81-B2BA-BF151A5A6566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23-30.4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tc={ACC39B94-5F36-42D0-B5BE-3E8C81E8A151}</author>
    <author>Yelena Enthin</author>
    <author>tc={81FCC75A-D414-4980-9266-2FDAE9322A1F}</author>
    <author>tc={54B08874-3A14-40D8-BA67-98DD0D3B132C}</author>
    <author>tc={A25660C0-EC77-44D3-87E6-71E55B4D2BEF}</author>
    <author>tc={BD3D539D-B95B-4F93-A044-7763FE534921}</author>
    <author>tc={461FF6D1-8E8A-4694-B773-5CC241EEE3E9}</author>
    <author>tc={C166CB12-AF7E-4F5F-AD9A-2D9AE280C192}</author>
    <author>tc={D1E3ED06-E83E-4035-908E-894E48E82007}</author>
  </authors>
  <commentList>
    <comment ref="N28" authorId="0" shapeId="0" xr:uid="{ACC39B94-5F36-42D0-B5BE-3E8C81E8A151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שולם ב26.12.25</t>
      </text>
    </comment>
    <comment ref="O30" authorId="1" shapeId="0" xr:uid="{47173DBE-F4D6-47CC-BBF3-1D6073995DEE}">
      <text>
        <r>
          <rPr>
            <b/>
            <sz val="15"/>
            <color indexed="81"/>
            <rFont val="Tahoma"/>
            <family val="2"/>
          </rPr>
          <t>Yelena Enthin:</t>
        </r>
        <r>
          <rPr>
            <sz val="15"/>
            <color indexed="81"/>
            <rFont val="Tahoma"/>
            <family val="2"/>
          </rPr>
          <t xml:space="preserve">
09.01.2025
</t>
        </r>
      </text>
    </comment>
    <comment ref="O33" authorId="2" shapeId="0" xr:uid="{81FCC75A-D414-4980-9266-2FDAE9322A1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23.04.2025</t>
      </text>
    </comment>
    <comment ref="O40" authorId="3" shapeId="0" xr:uid="{54B08874-3A14-40D8-BA67-98DD0D3B132C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שולם 17-19.03.2025</t>
      </text>
    </comment>
    <comment ref="N62" authorId="4" shapeId="0" xr:uid="{A25660C0-EC77-44D3-87E6-71E55B4D2BEF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שולם ב01.2026
</t>
      </text>
    </comment>
    <comment ref="N66" authorId="5" shapeId="0" xr:uid="{BD3D539D-B95B-4F93-A044-7763FE534921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שולם 01.2026
</t>
      </text>
    </comment>
    <comment ref="O92" authorId="6" shapeId="0" xr:uid="{461FF6D1-8E8A-4694-B773-5CC241EEE3E9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12.02.25</t>
      </text>
    </comment>
    <comment ref="O135" authorId="7" shapeId="0" xr:uid="{C166CB12-AF7E-4F5F-AD9A-2D9AE280C192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2506-26.08.25</t>
      </text>
    </comment>
    <comment ref="N159" authorId="8" shapeId="0" xr:uid="{D1E3ED06-E83E-4035-908E-894E48E82007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שולם בשכר 01.2026- תקבול 26.12.25
</t>
      </text>
    </comment>
  </commentList>
</comments>
</file>

<file path=xl/sharedStrings.xml><?xml version="1.0" encoding="utf-8"?>
<sst xmlns="http://schemas.openxmlformats.org/spreadsheetml/2006/main" count="4095" uniqueCount="607">
  <si>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</si>
  <si>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</si>
  <si>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</si>
  <si>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</si>
  <si>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</si>
  <si>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</si>
  <si>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</si>
  <si>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</si>
  <si>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</si>
  <si>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</si>
  <si>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</si>
  <si>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</si>
  <si>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</si>
  <si>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</si>
  <si>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</si>
  <si>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</si>
  <si>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</si>
  <si>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</si>
  <si>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</si>
  <si>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</si>
  <si>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</si>
  <si>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</si>
  <si>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</si>
  <si>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</si>
  <si>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</si>
  <si>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</si>
  <si>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</si>
  <si>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</si>
  <si>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</si>
  <si>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</si>
  <si>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</si>
  <si>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</si>
  <si>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</si>
  <si>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</si>
  <si>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</si>
  <si>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</si>
  <si>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</si>
  <si>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</si>
  <si>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</si>
  <si>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</si>
  <si>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</si>
  <si>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</si>
  <si>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</si>
  <si>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</si>
  <si>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</si>
  <si>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</si>
  <si>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</si>
  <si>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</si>
  <si>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</si>
  <si>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</si>
  <si>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</si>
  <si>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</si>
  <si>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</si>
  <si>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</si>
  <si>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</si>
  <si>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</si>
  <si>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</si>
  <si>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</si>
  <si>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</si>
  <si>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</si>
  <si>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</si>
  <si>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</si>
  <si>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</si>
  <si>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</si>
  <si>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</si>
  <si>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</si>
  <si>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</si>
  <si>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</si>
  <si>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</si>
  <si>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</si>
  <si>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</si>
  <si>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</si>
  <si>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</si>
  <si>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</si>
  <si>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</si>
  <si>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</si>
  <si>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</si>
  <si>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</si>
  <si>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</si>
  <si>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</si>
  <si>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</si>
  <si>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</si>
  <si>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</si>
  <si>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</si>
  <si>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</si>
  <si>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</si>
  <si>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</si>
  <si>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</si>
  <si>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</si>
  <si>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</si>
  <si>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</si>
  <si>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</si>
  <si>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</si>
  <si>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</si>
  <si>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</si>
  <si>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</si>
  <si>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</si>
  <si>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</si>
  <si>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</si>
  <si>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</si>
  <si>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</si>
  <si>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</si>
  <si>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</si>
  <si>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</si>
  <si>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</si>
  <si>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</si>
  <si>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</si>
  <si>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</si>
  <si>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</si>
  <si>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</si>
  <si>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</si>
  <si>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</si>
  <si>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</si>
  <si>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</si>
  <si>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</si>
  <si>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</si>
  <si>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</si>
  <si>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</si>
  <si>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</si>
  <si>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</si>
  <si>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</si>
  <si>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</si>
  <si>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</si>
  <si>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</si>
  <si>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</si>
  <si>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</si>
  <si>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</si>
  <si>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</si>
  <si>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</si>
  <si>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</si>
  <si>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</si>
  <si>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</si>
  <si>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</si>
  <si>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</si>
  <si>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</si>
  <si>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</si>
  <si>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</si>
  <si>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</si>
  <si>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</si>
  <si>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</si>
  <si>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</si>
  <si>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</si>
  <si>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</si>
  <si>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</si>
  <si>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</si>
  <si>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</si>
  <si>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</si>
  <si>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</si>
  <si>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</si>
  <si>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</si>
  <si>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</si>
  <si>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</si>
  <si>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</si>
  <si>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</si>
  <si>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</si>
  <si>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</si>
  <si>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</si>
  <si>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</si>
  <si>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</si>
  <si>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</si>
  <si>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</si>
  <si>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</si>
  <si>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</si>
  <si>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</si>
  <si>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</si>
  <si>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</si>
  <si>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</si>
  <si>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</si>
  <si>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</si>
  <si>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</si>
  <si>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</si>
  <si>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</si>
  <si>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</si>
  <si>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</si>
  <si>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</si>
  <si>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</si>
  <si>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</si>
  <si>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</si>
  <si>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</si>
  <si>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</si>
  <si>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</si>
  <si>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</si>
  <si>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</si>
  <si>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</si>
  <si>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</si>
  <si>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</si>
  <si>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</si>
  <si>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</si>
  <si>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</si>
  <si>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</si>
  <si>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</si>
  <si>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</si>
  <si>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</si>
  <si>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</si>
  <si>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</si>
  <si>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</si>
  <si>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</si>
  <si>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</si>
  <si>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</si>
  <si>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</si>
  <si>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</si>
  <si>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</si>
  <si>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</si>
  <si>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</si>
  <si>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</si>
  <si>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</si>
  <si>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</si>
  <si>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</si>
  <si>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</si>
  <si>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</si>
  <si>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</si>
  <si>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</si>
  <si>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</si>
  <si>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</si>
  <si>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</si>
  <si>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</si>
  <si>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</si>
  <si>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</si>
  <si>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</si>
  <si>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</si>
  <si>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</si>
  <si>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</si>
  <si>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</si>
  <si>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</si>
  <si>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</si>
  <si>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</si>
  <si>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</si>
  <si>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</si>
  <si>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</si>
  <si>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</si>
  <si>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</si>
  <si>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</si>
  <si>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</si>
  <si>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</si>
  <si>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</si>
  <si>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</si>
  <si>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</si>
  <si>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</si>
  <si>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</si>
  <si>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</si>
  <si>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</si>
  <si>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</si>
  <si>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</si>
  <si>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</si>
  <si>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</si>
  <si>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</si>
  <si>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</si>
  <si>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</si>
  <si>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</si>
  <si>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</si>
  <si>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</si>
  <si>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</si>
  <si>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</si>
  <si>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</si>
  <si>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</si>
  <si>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</si>
  <si>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</si>
  <si>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</si>
  <si>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</si>
  <si>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</si>
  <si>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</si>
  <si>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</si>
  <si>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</si>
  <si>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</si>
  <si>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</si>
  <si>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</si>
  <si>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</si>
  <si>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</si>
  <si>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</si>
  <si>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</si>
  <si>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</si>
  <si>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</si>
  <si>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</si>
  <si>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</si>
  <si>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</si>
  <si>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</si>
  <si>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</si>
  <si>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</si>
  <si>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</si>
  <si>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</si>
  <si>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</si>
  <si>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</si>
  <si>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</si>
  <si>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</si>
  <si>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</si>
  <si>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</si>
  <si>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15/09/2025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</si>
  <si>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</si>
  <si>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</si>
  <si>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</si>
  <si>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</si>
  <si>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</si>
  <si>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</si>
  <si>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</si>
  <si>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</si>
  <si>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</si>
  <si>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</si>
  <si>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</si>
  <si>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P0001</t>
  </si>
  <si>
    <t>01/09/2025</t>
  </si>
  <si>
    <t>17/09/2025</t>
  </si>
  <si>
    <t>P0002</t>
  </si>
  <si>
    <t>P0003</t>
  </si>
  <si>
    <t>21/05/2025</t>
  </si>
  <si>
    <t>P0004</t>
  </si>
  <si>
    <t>P0005</t>
  </si>
  <si>
    <t>29/07/2025</t>
  </si>
  <si>
    <t>P0006</t>
  </si>
  <si>
    <t>11/09/2025</t>
  </si>
  <si>
    <t>14/09/2025</t>
  </si>
  <si>
    <t>P0007</t>
  </si>
  <si>
    <t>22/01/2025</t>
  </si>
  <si>
    <t>P0008</t>
  </si>
  <si>
    <t>02/03/2025</t>
  </si>
  <si>
    <t>P0009</t>
  </si>
  <si>
    <t>27/04/2025</t>
  </si>
  <si>
    <t>P0010, P0011</t>
  </si>
  <si>
    <t>P0012</t>
  </si>
  <si>
    <t>17/08/2025</t>
  </si>
  <si>
    <t>21/08/2025</t>
  </si>
  <si>
    <t>P0013</t>
  </si>
  <si>
    <t>26/01/2025</t>
  </si>
  <si>
    <t>30/01/2025</t>
  </si>
  <si>
    <t>P0014</t>
  </si>
  <si>
    <t>22/04/2025</t>
  </si>
  <si>
    <t>29/05/2025</t>
  </si>
  <si>
    <t>P0015</t>
  </si>
  <si>
    <t>03/06/2025</t>
  </si>
  <si>
    <t>P0016</t>
  </si>
  <si>
    <t>07/07/2025</t>
  </si>
  <si>
    <t>28/07/2025</t>
  </si>
  <si>
    <t>P0017, P0018</t>
  </si>
  <si>
    <t>06/08/2025</t>
  </si>
  <si>
    <t>07/08/2025</t>
  </si>
  <si>
    <t>P0019</t>
  </si>
  <si>
    <t>09/09/2025</t>
  </si>
  <si>
    <t>30/09/2025</t>
  </si>
  <si>
    <t>P0020, P0021</t>
  </si>
  <si>
    <t>P0022</t>
  </si>
  <si>
    <t>20/02/2025</t>
  </si>
  <si>
    <t>P0023, P0024</t>
  </si>
  <si>
    <t>29/06/2025</t>
  </si>
  <si>
    <t>P0025</t>
  </si>
  <si>
    <t>P0026, P0027</t>
  </si>
  <si>
    <t>P0028, P0029, P0030</t>
  </si>
  <si>
    <t>P0031, P0032, P0033</t>
  </si>
  <si>
    <t>P0034</t>
  </si>
  <si>
    <t>05/05/2025</t>
  </si>
  <si>
    <t>P0035, P0036, P0037</t>
  </si>
  <si>
    <t>P0038, P0039</t>
  </si>
  <si>
    <t>P0040</t>
  </si>
  <si>
    <t>P0041</t>
  </si>
  <si>
    <t>21/07/2025</t>
  </si>
  <si>
    <t>30/07/2025</t>
  </si>
  <si>
    <t>P0042, P0043, P0044</t>
  </si>
  <si>
    <t>04/08/2025</t>
  </si>
  <si>
    <t>12/08/2025</t>
  </si>
  <si>
    <t>P0045, P0046, P0047</t>
  </si>
  <si>
    <t>21/09/2025</t>
  </si>
  <si>
    <t>P0048, P0049</t>
  </si>
  <si>
    <t>P0050</t>
  </si>
  <si>
    <t>P0051</t>
  </si>
  <si>
    <t>16/06/2025</t>
  </si>
  <si>
    <t>23/06/2025</t>
  </si>
  <si>
    <t>P0052</t>
  </si>
  <si>
    <t>27/07/2025</t>
  </si>
  <si>
    <t>P0053</t>
  </si>
  <si>
    <t>20/08/2025</t>
  </si>
  <si>
    <t>P0054</t>
  </si>
  <si>
    <t>P0055</t>
  </si>
  <si>
    <t>24/04/2025</t>
  </si>
  <si>
    <t>P0056</t>
  </si>
  <si>
    <t>20/05/2025</t>
  </si>
  <si>
    <t>30/05/2025</t>
  </si>
  <si>
    <t>P0057, P0058</t>
  </si>
  <si>
    <t>18/06/2025</t>
  </si>
  <si>
    <t>22/06/2025</t>
  </si>
  <si>
    <t>P0059</t>
  </si>
  <si>
    <t>22/07/2025</t>
  </si>
  <si>
    <t>P0060</t>
  </si>
  <si>
    <t>05/08/2025</t>
  </si>
  <si>
    <t>P0061, P0062</t>
  </si>
  <si>
    <t>P0063, P0064</t>
  </si>
  <si>
    <t>P0065</t>
  </si>
  <si>
    <t>P0066, P0067</t>
  </si>
  <si>
    <t>P0068, P0069</t>
  </si>
  <si>
    <t>P0070, P0071, P0072, P0073</t>
  </si>
  <si>
    <t>P0074, P0075</t>
  </si>
  <si>
    <t>P0076, P0077</t>
  </si>
  <si>
    <t>P0078, P0079, P0080</t>
  </si>
  <si>
    <t>P0081, P0082</t>
  </si>
  <si>
    <t>P0083, P0084, P0085, P0086</t>
  </si>
  <si>
    <t>P0087</t>
  </si>
  <si>
    <t>19/08/2025</t>
  </si>
  <si>
    <t>P0088, P0089, P0090</t>
  </si>
  <si>
    <t>P0091, P0092</t>
  </si>
  <si>
    <t>P0093</t>
  </si>
  <si>
    <t>19/06/2025</t>
  </si>
  <si>
    <t>24/06/2025</t>
  </si>
  <si>
    <t>P0094</t>
  </si>
  <si>
    <t>P0095, P0096, P0097, P0098, P0099</t>
  </si>
  <si>
    <t>25/02/2025</t>
  </si>
  <si>
    <t>P0100, P0101, P0102, P0103</t>
  </si>
  <si>
    <t>P0104, P0105, P0106, P0107, P0108</t>
  </si>
  <si>
    <t>06/04/2025</t>
  </si>
  <si>
    <t>29/04/2025</t>
  </si>
  <si>
    <t>P0109, P0110, P0111, P0112</t>
  </si>
  <si>
    <t>P0113, P0114, P0115, P0116, P0117</t>
  </si>
  <si>
    <t>P0118, P0119, P0120</t>
  </si>
  <si>
    <t>P0121, P0122, P0123</t>
  </si>
  <si>
    <t>18/08/2025</t>
  </si>
  <si>
    <t>P0124, P0125</t>
  </si>
  <si>
    <t>03/09/2025</t>
  </si>
  <si>
    <t>P0126, P0127</t>
  </si>
  <si>
    <t>P0128</t>
  </si>
  <si>
    <t>P0129, P0130</t>
  </si>
  <si>
    <t>10/06/2025</t>
  </si>
  <si>
    <t>15/06/2025</t>
  </si>
  <si>
    <t>P0131, P0132</t>
  </si>
  <si>
    <t>P0133, P0134</t>
  </si>
  <si>
    <t>07/09/2025</t>
  </si>
  <si>
    <t>P0135</t>
  </si>
  <si>
    <t>P0136</t>
  </si>
  <si>
    <t>28/06/2025</t>
  </si>
  <si>
    <t>P0137, P0138, P0139</t>
  </si>
  <si>
    <t>מנה</t>
  </si>
  <si>
    <t>סה"כ כולל ₪</t>
  </si>
  <si>
    <t>סה"כ: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</si>
  <si>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</si>
  <si>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</si>
  <si>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</si>
  <si>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</si>
  <si>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</si>
  <si>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</si>
  <si>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</si>
  <si>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28027738</t>
  </si>
  <si>
    <t>01/01/2024</t>
  </si>
  <si>
    <t>תעריף ראשוני</t>
  </si>
  <si>
    <t>לפני העלאה</t>
  </si>
  <si>
    <t>01/09/2024</t>
  </si>
  <si>
    <t>🔺 העלאת שכר</t>
  </si>
  <si>
    <t>11915519</t>
  </si>
  <si>
    <t>22201347</t>
  </si>
  <si>
    <t>25147505</t>
  </si>
  <si>
    <t>25155235</t>
  </si>
  <si>
    <t>203661004</t>
  </si>
  <si>
    <t>308280510</t>
  </si>
  <si>
    <t>315919936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</si>
  <si>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</si>
  <si>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</si>
  <si>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</si>
  <si>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</si>
  <si>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</si>
  <si>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</si>
  <si>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</si>
  <si>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</si>
  <si>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חודש ביצוע תשלום</t>
  </si>
  <si>
    <t>P0010</t>
  </si>
  <si>
    <t>P0011</t>
  </si>
  <si>
    <t>P0017</t>
  </si>
  <si>
    <t>P0018</t>
  </si>
  <si>
    <t>P0020</t>
  </si>
  <si>
    <t>P0021</t>
  </si>
  <si>
    <t>P0023</t>
  </si>
  <si>
    <t>P0024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</si>
  <si>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</si>
  <si>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</si>
  <si>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</si>
  <si>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</si>
  <si>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</si>
  <si>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</si>
  <si>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</si>
  <si>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</si>
  <si>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P0035</t>
  </si>
  <si>
    <t>P0036</t>
  </si>
  <si>
    <t>P0037</t>
  </si>
  <si>
    <t>P0038</t>
  </si>
  <si>
    <t>P0039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</si>
  <si>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</si>
  <si>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</si>
  <si>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</si>
  <si>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</si>
  <si>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</si>
  <si>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</si>
  <si>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</si>
  <si>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</si>
  <si>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P0057</t>
  </si>
  <si>
    <t>P0058</t>
  </si>
  <si>
    <t>P0061</t>
  </si>
  <si>
    <t>P0062</t>
  </si>
  <si>
    <t>P0063</t>
  </si>
  <si>
    <t>P0064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</si>
  <si>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</si>
  <si>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</si>
  <si>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</si>
  <si>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</si>
  <si>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</si>
  <si>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</si>
  <si>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</si>
  <si>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</si>
  <si>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</si>
  <si>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</si>
  <si>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</si>
  <si>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</si>
  <si>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</si>
  <si>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</si>
  <si>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</si>
  <si>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</si>
  <si>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</si>
  <si>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</si>
  <si>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</si>
  <si>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</si>
  <si>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</si>
  <si>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P0088</t>
  </si>
  <si>
    <t>P0089</t>
  </si>
  <si>
    <t>P0090</t>
  </si>
  <si>
    <t>P0091</t>
  </si>
  <si>
    <t>P0092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</si>
  <si>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</si>
  <si>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</si>
  <si>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</si>
  <si>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</si>
  <si>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</si>
  <si>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</si>
  <si>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</si>
  <si>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</si>
  <si>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</si>
  <si>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</si>
  <si>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</si>
  <si>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</si>
  <si>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</si>
  <si>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</si>
  <si>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</si>
  <si>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</si>
  <si>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</si>
  <si>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</si>
  <si>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</si>
  <si>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</si>
  <si>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</si>
  <si>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</si>
  <si>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</si>
  <si>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</si>
  <si>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</si>
  <si>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</si>
  <si>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</si>
  <si>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</si>
  <si>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</si>
  <si>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</si>
  <si>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</si>
  <si>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</si>
  <si>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</si>
  <si>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P0129</t>
  </si>
  <si>
    <t>P0130</t>
  </si>
  <si>
    <t>P0131</t>
  </si>
  <si>
    <t>P0132</t>
  </si>
  <si>
    <t>P0133</t>
  </si>
  <si>
    <t>P0134</t>
  </si>
  <si>
    <t>P0137</t>
  </si>
  <si>
    <t>P0138</t>
  </si>
  <si>
    <t>P0139</t>
  </si>
  <si>
    <t>סכום הפרשים לעובד ₪</t>
  </si>
  <si>
    <t>תקין</t>
  </si>
  <si>
    <t>ביקורת נתונים מול תקופות מילואים</t>
  </si>
  <si>
    <t xml:space="preserve">💰 הערות </t>
  </si>
  <si>
    <t>עודכן במרכז</t>
  </si>
  <si>
    <t>לא שולם- מועבר לולדה לבדיקה שח 05-07.2025- הפרשים שליליים</t>
  </si>
  <si>
    <t>לא שולם- בני- בהמשך -09.11.25</t>
  </si>
  <si>
    <t>אבישי שרון מהדקאר</t>
  </si>
  <si>
    <t>1898 זה היה בטבלה של ביטוח לאומי</t>
  </si>
  <si>
    <t>21/20/2025</t>
  </si>
  <si>
    <t>קיבלנו על יומיים ולא 7</t>
  </si>
  <si>
    <t>מרכז</t>
  </si>
  <si>
    <t>תעריף חודשי ₪</t>
  </si>
  <si>
    <t>דניאל אולשנסקי</t>
  </si>
  <si>
    <t>שינוי מספטמבר 2025</t>
  </si>
  <si>
    <t>סיים ב30.11.2025</t>
  </si>
  <si>
    <t>כולל תוספת של 16 ₪ בהפרשים</t>
  </si>
  <si>
    <t>סיים ב31.10.2025</t>
  </si>
  <si>
    <t>תומר</t>
  </si>
  <si>
    <t>אורי דוד עברי</t>
  </si>
  <si>
    <t>316048313</t>
  </si>
  <si>
    <t>איתי קעטבי</t>
  </si>
  <si>
    <t>נהיראל כהן</t>
  </si>
  <si>
    <t>324921550</t>
  </si>
  <si>
    <t>קומרוב ג'סיקה</t>
  </si>
  <si>
    <t>318763786</t>
  </si>
  <si>
    <t>רום יחיא</t>
  </si>
  <si>
    <t>207384934</t>
  </si>
  <si>
    <t>תאריך</t>
  </si>
  <si>
    <t>מילואים</t>
  </si>
  <si>
    <t xml:space="preserve">חיים  ראש </t>
  </si>
  <si>
    <t>ב"ל לעובדתוספת 40%</t>
  </si>
  <si>
    <t>הפרש שלילי- להחלטה של בני</t>
  </si>
  <si>
    <t>לבדוק מדוע לא שולם</t>
  </si>
  <si>
    <t>לא שולם- שיומי יבדוק סכומי תשלום קוד</t>
  </si>
  <si>
    <t xml:space="preserve">הגשה </t>
  </si>
  <si>
    <t>08.01.2026</t>
  </si>
  <si>
    <t>ת"ז</t>
  </si>
  <si>
    <t>לבדוק מדוע לא שולם- אין תקופה בצה"ל- תשובת מלל</t>
  </si>
  <si>
    <t>תוספת 950 שולמה ב01.26 לאחר עזיבתו עם קבלתה</t>
  </si>
  <si>
    <t>הפרש שלילי- - מחוייב בשכר 01.2026</t>
  </si>
  <si>
    <t>שולם עבור שלושת השורות יחד</t>
  </si>
  <si>
    <t>שולם לעובד בשכר קודם</t>
  </si>
  <si>
    <t>שולם 497.54- נסגר מתאפס</t>
  </si>
  <si>
    <t>שולם הפרש של 303 ב01/26</t>
  </si>
  <si>
    <t>הפרש שלילי-חויב בשכר</t>
  </si>
  <si>
    <t>שולי-- לא הייתי מחייבת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</si>
</sst>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2D5F3F"/>
      <name val="Arial"/>
      <family val="2"/>
    </font>
    <font>
      <b/>
      <sz val="12"/>
      <color rgb="FF528163"/>
      <name val="Arial"/>
      <family val="2"/>
    </font>
    <font>
      <b/>
      <sz val="11"/>
      <color rgb="FF2D5F3F"/>
      <name val="Arial"/>
      <family val="2"/>
    </font>
    <font>
      <b/>
      <sz val="11"/>
      <color rgb="FF528163"/>
      <name val="Arial"/>
      <family val="2"/>
    </font>
    <font>
      <b/>
      <sz val="11"/>
      <color rgb="FF27AE60"/>
      <name val="Arial"/>
      <family val="2"/>
    </font>
    <font>
      <b/>
      <sz val="12"/>
      <color rgb="FFFFFFFF"/>
      <name val="Arial"/>
      <family val="2"/>
    </font>
    <font>
      <b/>
      <sz val="11"/>
      <color rgb="FF27AE60"/>
      <name val="Arial"/>
      <family val="2"/>
    </font>
    <font>
      <b/>
      <sz val="14"/>
      <color rgb="FF27AE60"/>
      <name val="Arial"/>
      <family val="2"/>
    </font>
    <font>
      <b/>
      <sz val="14"/>
      <name val="Arial"/>
      <family val="2"/>
    </font>
    <font>
      <i/>
      <sz val="10"/>
      <color rgb="FF636E72"/>
      <name val="Arial"/>
      <family val="2"/>
    </font>
    <font>
      <b/>
      <sz val="11"/>
      <color rgb="FFF39C12"/>
      <name val="Arial"/>
      <family val="2"/>
    </font>
    <font>
      <b/>
      <sz val="11"/>
      <color rgb="FFFFFFFF"/>
      <name val="Assistant"/>
      <charset val="177"/>
    </font>
    <font>
      <b/>
      <sz val="11"/>
      <name val="Assistant"/>
      <charset val="177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39C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rgb="FF00B050"/>
      <name val="Arial"/>
      <family val="2"/>
      <scheme val="minor"/>
    </font>
    <font>
      <b/>
      <sz val="11"/>
      <color theme="1"/>
      <name val="Arial"/>
      <family val="2"/>
    </font>
    <font>
      <sz val="15"/>
      <color indexed="81"/>
      <name val="Tahoma"/>
      <family val="2"/>
    </font>
    <font>
      <b/>
      <sz val="15"/>
      <color indexed="81"/>
      <name val="Tahoma"/>
      <family val="2"/>
    </font>
    <font>
      <sz val="11"/>
      <name val="Arial"/>
      <family val="2"/>
      <scheme val="minor"/>
    </font>
    <font>
      <b/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9E2F3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39C12"/>
      </patternFill>
    </fill>
    <fill>
      <patternFill patternType="solid">
        <fgColor theme="4" tint="0.59999389629810485"/>
        <bgColor rgb="FFF39C12"/>
      </patternFill>
    </fill>
  </fills>
  <borders count="2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14" fillId="7" borderId="0" xfId="0" applyFont="1" applyFill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15" fillId="7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6" fillId="0" borderId="1" xfId="0" applyFont="1" applyBorder="1" applyAlignment="1">
      <alignment horizontal="right" vertical="center"/>
    </xf>
    <xf numFmtId="2" fontId="16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right" vertical="center"/>
    </xf>
    <xf numFmtId="0" fontId="20" fillId="7" borderId="0" xfId="0" applyFont="1" applyFill="1" applyAlignment="1">
      <alignment horizontal="center" vertical="center" wrapText="1"/>
    </xf>
    <xf numFmtId="0" fontId="0" fillId="8" borderId="3" xfId="0" applyFill="1" applyBorder="1" applyAlignment="1">
      <alignment horizontal="right" vertical="center" readingOrder="2"/>
    </xf>
    <xf numFmtId="17" fontId="0" fillId="0" borderId="0" xfId="0" applyNumberFormat="1" applyAlignment="1">
      <alignment horizontal="right" vertical="center"/>
    </xf>
    <xf numFmtId="0" fontId="0" fillId="0" borderId="3" xfId="0" applyBorder="1" applyAlignment="1">
      <alignment horizontal="right" vertical="center" readingOrder="2"/>
    </xf>
    <xf numFmtId="0" fontId="0" fillId="9" borderId="0" xfId="0" applyFill="1" applyAlignment="1">
      <alignment horizontal="right" vertical="center"/>
    </xf>
    <xf numFmtId="0" fontId="0" fillId="9" borderId="0" xfId="0" applyFill="1"/>
    <xf numFmtId="14" fontId="0" fillId="9" borderId="0" xfId="0" applyNumberFormat="1" applyFill="1" applyAlignment="1">
      <alignment horizontal="right" vertical="center"/>
    </xf>
    <xf numFmtId="14" fontId="0" fillId="9" borderId="3" xfId="0" applyNumberFormat="1" applyFill="1" applyBorder="1" applyAlignment="1">
      <alignment horizontal="left" vertical="center" readingOrder="2"/>
    </xf>
    <xf numFmtId="0" fontId="6" fillId="9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7" fontId="2" fillId="3" borderId="0" xfId="0" applyNumberFormat="1" applyFont="1" applyFill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4" fontId="16" fillId="0" borderId="1" xfId="0" applyNumberFormat="1" applyFont="1" applyBorder="1" applyAlignment="1">
      <alignment horizontal="right" vertical="center"/>
    </xf>
    <xf numFmtId="0" fontId="0" fillId="0" borderId="1" xfId="0" applyBorder="1"/>
    <xf numFmtId="3" fontId="7" fillId="0" borderId="1" xfId="0" applyNumberFormat="1" applyFont="1" applyBorder="1" applyAlignment="1">
      <alignment horizontal="right" vertical="center"/>
    </xf>
    <xf numFmtId="0" fontId="13" fillId="6" borderId="0" xfId="0" applyFont="1" applyFill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23" fillId="6" borderId="0" xfId="0" applyFont="1" applyFill="1" applyAlignment="1">
      <alignment horizontal="right" vertical="center"/>
    </xf>
    <xf numFmtId="0" fontId="24" fillId="0" borderId="5" xfId="0" applyFont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1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1" fillId="2" borderId="0" xfId="0" applyNumberFormat="1" applyFont="1" applyFill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24" fillId="0" borderId="6" xfId="0" applyFont="1" applyBorder="1" applyAlignment="1">
      <alignment horizontal="center" vertical="center"/>
    </xf>
    <xf numFmtId="0" fontId="25" fillId="10" borderId="5" xfId="0" applyFont="1" applyFill="1" applyBorder="1" applyAlignment="1">
      <alignment horizontal="center" vertical="center" wrapText="1"/>
    </xf>
    <xf numFmtId="14" fontId="24" fillId="0" borderId="5" xfId="0" applyNumberFormat="1" applyFont="1" applyBorder="1" applyAlignment="1">
      <alignment horizontal="center" vertical="center"/>
    </xf>
    <xf numFmtId="14" fontId="24" fillId="11" borderId="5" xfId="0" applyNumberFormat="1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14" fontId="24" fillId="12" borderId="5" xfId="0" applyNumberFormat="1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center" vertical="center"/>
    </xf>
    <xf numFmtId="14" fontId="24" fillId="12" borderId="7" xfId="0" applyNumberFormat="1" applyFont="1" applyFill="1" applyBorder="1" applyAlignment="1">
      <alignment horizontal="center" vertical="center"/>
    </xf>
    <xf numFmtId="0" fontId="24" fillId="12" borderId="7" xfId="0" applyFont="1" applyFill="1" applyBorder="1" applyAlignment="1">
      <alignment horizontal="center" vertical="center"/>
    </xf>
    <xf numFmtId="14" fontId="24" fillId="0" borderId="8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4" fillId="0" borderId="11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4" fontId="24" fillId="12" borderId="11" xfId="0" applyNumberFormat="1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14" fontId="24" fillId="0" borderId="13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4" fontId="24" fillId="0" borderId="6" xfId="0" applyNumberFormat="1" applyFont="1" applyBorder="1" applyAlignment="1">
      <alignment horizontal="center" vertical="center"/>
    </xf>
    <xf numFmtId="14" fontId="24" fillId="13" borderId="5" xfId="0" applyNumberFormat="1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4" fontId="24" fillId="13" borderId="7" xfId="0" applyNumberFormat="1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horizontal="center" vertical="center"/>
    </xf>
    <xf numFmtId="14" fontId="24" fillId="13" borderId="13" xfId="0" applyNumberFormat="1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14" fontId="24" fillId="0" borderId="7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4" fontId="24" fillId="13" borderId="6" xfId="0" applyNumberFormat="1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horizontal="center" vertical="center"/>
    </xf>
    <xf numFmtId="14" fontId="24" fillId="13" borderId="16" xfId="0" applyNumberFormat="1" applyFont="1" applyFill="1" applyBorder="1" applyAlignment="1">
      <alignment horizontal="center" vertical="center"/>
    </xf>
    <xf numFmtId="0" fontId="24" fillId="13" borderId="16" xfId="0" applyFont="1" applyFill="1" applyBorder="1" applyAlignment="1">
      <alignment horizontal="center" vertical="center"/>
    </xf>
    <xf numFmtId="14" fontId="0" fillId="13" borderId="0" xfId="0" applyNumberFormat="1" applyFill="1"/>
    <xf numFmtId="14" fontId="26" fillId="0" borderId="13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49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 vertical="center"/>
    </xf>
    <xf numFmtId="14" fontId="0" fillId="0" borderId="0" xfId="0" applyNumberFormat="1" applyBorder="1" applyAlignment="1">
      <alignment horizontal="right" vertical="center"/>
    </xf>
    <xf numFmtId="17" fontId="0" fillId="0" borderId="0" xfId="0" applyNumberFormat="1" applyBorder="1" applyAlignment="1">
      <alignment horizontal="right" vertical="center"/>
    </xf>
    <xf numFmtId="3" fontId="9" fillId="0" borderId="0" xfId="0" applyNumberFormat="1" applyFont="1" applyBorder="1" applyAlignment="1">
      <alignment horizontal="right" vertical="center"/>
    </xf>
    <xf numFmtId="2" fontId="0" fillId="0" borderId="0" xfId="0" applyNumberFormat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14" fontId="0" fillId="0" borderId="0" xfId="0" applyNumberFormat="1" applyBorder="1"/>
    <xf numFmtId="2" fontId="16" fillId="0" borderId="0" xfId="0" applyNumberFormat="1" applyFont="1" applyBorder="1"/>
    <xf numFmtId="17" fontId="0" fillId="0" borderId="0" xfId="0" applyNumberFormat="1" applyBorder="1"/>
    <xf numFmtId="0" fontId="0" fillId="0" borderId="0" xfId="0" applyBorder="1"/>
    <xf numFmtId="2" fontId="27" fillId="0" borderId="0" xfId="0" applyNumberFormat="1" applyFont="1" applyBorder="1"/>
    <xf numFmtId="49" fontId="0" fillId="0" borderId="0" xfId="0" applyNumberFormat="1" applyBorder="1" applyAlignment="1">
      <alignment horizontal="right" vertical="center"/>
    </xf>
    <xf numFmtId="2" fontId="16" fillId="13" borderId="0" xfId="0" applyNumberFormat="1" applyFont="1" applyFill="1" applyBorder="1" applyAlignment="1">
      <alignment horizontal="right" vertical="center"/>
    </xf>
    <xf numFmtId="3" fontId="28" fillId="0" borderId="0" xfId="0" applyNumberFormat="1" applyFont="1" applyBorder="1" applyAlignment="1">
      <alignment horizontal="right" vertical="center"/>
    </xf>
    <xf numFmtId="2" fontId="0" fillId="0" borderId="0" xfId="0" applyNumberFormat="1" applyBorder="1"/>
    <xf numFmtId="49" fontId="27" fillId="0" borderId="0" xfId="0" applyNumberFormat="1" applyFont="1" applyBorder="1"/>
    <xf numFmtId="0" fontId="16" fillId="11" borderId="0" xfId="0" applyFont="1" applyFill="1" applyBorder="1"/>
    <xf numFmtId="49" fontId="0" fillId="11" borderId="0" xfId="0" applyNumberFormat="1" applyFill="1" applyBorder="1" applyAlignment="1">
      <alignment horizontal="right"/>
    </xf>
    <xf numFmtId="0" fontId="0" fillId="11" borderId="0" xfId="0" applyFill="1" applyBorder="1" applyAlignment="1">
      <alignment horizontal="right" vertical="center"/>
    </xf>
    <xf numFmtId="0" fontId="16" fillId="11" borderId="0" xfId="0" applyFont="1" applyFill="1" applyBorder="1" applyAlignment="1">
      <alignment horizontal="right" vertical="center"/>
    </xf>
    <xf numFmtId="14" fontId="16" fillId="11" borderId="0" xfId="0" applyNumberFormat="1" applyFont="1" applyFill="1" applyBorder="1" applyAlignment="1">
      <alignment horizontal="right" vertical="center"/>
    </xf>
    <xf numFmtId="17" fontId="16" fillId="11" borderId="0" xfId="0" applyNumberFormat="1" applyFont="1" applyFill="1" applyBorder="1" applyAlignment="1">
      <alignment horizontal="right" vertical="center"/>
    </xf>
    <xf numFmtId="3" fontId="19" fillId="11" borderId="0" xfId="0" applyNumberFormat="1" applyFont="1" applyFill="1" applyBorder="1" applyAlignment="1">
      <alignment horizontal="right" vertical="center"/>
    </xf>
    <xf numFmtId="2" fontId="16" fillId="11" borderId="0" xfId="0" applyNumberFormat="1" applyFont="1" applyFill="1" applyBorder="1"/>
    <xf numFmtId="0" fontId="0" fillId="11" borderId="0" xfId="0" applyFill="1" applyBorder="1"/>
    <xf numFmtId="49" fontId="0" fillId="11" borderId="0" xfId="0" applyNumberFormat="1" applyFill="1" applyBorder="1" applyAlignment="1">
      <alignment horizontal="right" vertical="center"/>
    </xf>
    <xf numFmtId="2" fontId="16" fillId="11" borderId="0" xfId="0" applyNumberFormat="1" applyFont="1" applyFill="1" applyBorder="1" applyAlignment="1">
      <alignment horizontal="right" vertical="center"/>
    </xf>
    <xf numFmtId="14" fontId="0" fillId="11" borderId="0" xfId="0" applyNumberFormat="1" applyFill="1" applyBorder="1"/>
    <xf numFmtId="0" fontId="19" fillId="14" borderId="0" xfId="0" applyFont="1" applyFill="1" applyBorder="1" applyAlignment="1">
      <alignment horizontal="right" vertical="center"/>
    </xf>
    <xf numFmtId="14" fontId="16" fillId="11" borderId="0" xfId="0" applyNumberFormat="1" applyFont="1" applyFill="1" applyBorder="1"/>
    <xf numFmtId="17" fontId="0" fillId="0" borderId="0" xfId="0" applyNumberFormat="1" applyBorder="1" applyAlignment="1">
      <alignment horizontal="right"/>
    </xf>
    <xf numFmtId="2" fontId="0" fillId="13" borderId="0" xfId="0" applyNumberForma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/>
    </xf>
    <xf numFmtId="49" fontId="31" fillId="0" borderId="0" xfId="0" applyNumberFormat="1" applyFont="1" applyBorder="1" applyAlignment="1">
      <alignment horizontal="right" vertical="center"/>
    </xf>
    <xf numFmtId="0" fontId="31" fillId="0" borderId="0" xfId="0" applyFont="1" applyBorder="1" applyAlignment="1">
      <alignment horizontal="right" vertical="center"/>
    </xf>
    <xf numFmtId="14" fontId="31" fillId="0" borderId="0" xfId="0" applyNumberFormat="1" applyFont="1" applyBorder="1" applyAlignment="1">
      <alignment horizontal="right" vertical="center"/>
    </xf>
    <xf numFmtId="17" fontId="31" fillId="0" borderId="0" xfId="0" applyNumberFormat="1" applyFont="1" applyBorder="1" applyAlignment="1">
      <alignment horizontal="right" vertical="center"/>
    </xf>
    <xf numFmtId="3" fontId="7" fillId="0" borderId="0" xfId="0" applyNumberFormat="1" applyFont="1" applyBorder="1" applyAlignment="1">
      <alignment horizontal="right" vertical="center"/>
    </xf>
    <xf numFmtId="2" fontId="2" fillId="3" borderId="0" xfId="0" applyNumberFormat="1" applyFont="1" applyFill="1" applyBorder="1" applyAlignment="1">
      <alignment horizontal="right" vertical="center"/>
    </xf>
    <xf numFmtId="49" fontId="0" fillId="13" borderId="0" xfId="0" applyNumberFormat="1" applyFill="1" applyBorder="1" applyAlignment="1">
      <alignment horizontal="right" vertical="center"/>
    </xf>
    <xf numFmtId="0" fontId="0" fillId="13" borderId="0" xfId="0" applyFill="1" applyBorder="1" applyAlignment="1">
      <alignment horizontal="right" vertical="center"/>
    </xf>
    <xf numFmtId="14" fontId="0" fillId="13" borderId="0" xfId="0" applyNumberFormat="1" applyFill="1" applyBorder="1" applyAlignment="1">
      <alignment horizontal="right" vertical="center"/>
    </xf>
    <xf numFmtId="17" fontId="0" fillId="13" borderId="0" xfId="0" applyNumberFormat="1" applyFill="1" applyBorder="1" applyAlignment="1">
      <alignment horizontal="right" vertical="center"/>
    </xf>
    <xf numFmtId="3" fontId="7" fillId="13" borderId="0" xfId="0" applyNumberFormat="1" applyFont="1" applyFill="1" applyBorder="1" applyAlignment="1">
      <alignment horizontal="right" vertical="center"/>
    </xf>
    <xf numFmtId="0" fontId="2" fillId="15" borderId="0" xfId="0" applyFont="1" applyFill="1" applyBorder="1" applyAlignment="1">
      <alignment horizontal="right" vertical="center"/>
    </xf>
    <xf numFmtId="2" fontId="27" fillId="13" borderId="0" xfId="0" applyNumberFormat="1" applyFont="1" applyFill="1" applyBorder="1"/>
    <xf numFmtId="14" fontId="16" fillId="0" borderId="0" xfId="0" applyNumberFormat="1" applyFont="1" applyBorder="1" applyAlignment="1">
      <alignment horizontal="right" vertical="center"/>
    </xf>
    <xf numFmtId="17" fontId="16" fillId="0" borderId="0" xfId="0" applyNumberFormat="1" applyFont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  <xf numFmtId="3" fontId="19" fillId="0" borderId="0" xfId="0" applyNumberFormat="1" applyFont="1" applyBorder="1" applyAlignment="1">
      <alignment horizontal="right" vertical="center"/>
    </xf>
    <xf numFmtId="2" fontId="16" fillId="0" borderId="0" xfId="0" applyNumberFormat="1" applyFont="1" applyBorder="1" applyAlignment="1">
      <alignment horizontal="right" vertical="center"/>
    </xf>
    <xf numFmtId="0" fontId="19" fillId="3" borderId="0" xfId="0" applyFont="1" applyFill="1" applyBorder="1" applyAlignment="1">
      <alignment horizontal="right" vertical="center"/>
    </xf>
    <xf numFmtId="2" fontId="16" fillId="13" borderId="0" xfId="0" applyNumberFormat="1" applyFont="1" applyFill="1" applyBorder="1"/>
    <xf numFmtId="0" fontId="16" fillId="0" borderId="0" xfId="0" applyFont="1" applyBorder="1"/>
    <xf numFmtId="2" fontId="27" fillId="11" borderId="0" xfId="0" applyNumberFormat="1" applyFont="1" applyFill="1" applyBorder="1"/>
    <xf numFmtId="3" fontId="32" fillId="0" borderId="0" xfId="0" applyNumberFormat="1" applyFont="1" applyBorder="1" applyAlignment="1">
      <alignment horizontal="right" vertical="center"/>
    </xf>
    <xf numFmtId="2" fontId="31" fillId="0" borderId="0" xfId="0" applyNumberFormat="1" applyFont="1" applyBorder="1" applyAlignment="1">
      <alignment horizontal="right" vertical="center"/>
    </xf>
    <xf numFmtId="0" fontId="31" fillId="0" borderId="0" xfId="0" applyFont="1" applyBorder="1"/>
    <xf numFmtId="14" fontId="31" fillId="0" borderId="0" xfId="0" applyNumberFormat="1" applyFont="1" applyBorder="1"/>
    <xf numFmtId="49" fontId="31" fillId="0" borderId="0" xfId="0" applyNumberFormat="1" applyFont="1" applyBorder="1" applyAlignment="1">
      <alignment horizontal="right"/>
    </xf>
    <xf numFmtId="17" fontId="31" fillId="0" borderId="0" xfId="0" applyNumberFormat="1" applyFont="1" applyBorder="1"/>
    <xf numFmtId="0" fontId="2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lena Enthin" id="{EE3ADE9B-CE50-4301-BC3F-2273D626F8D8}" userId="a22927e12277f1f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7" dT="2026-01-08T12:43:55.65" personId="{EE3ADE9B-CE50-4301-BC3F-2273D626F8D8}" id="{6787C478-0C85-493B-9475-C26595629C1D}">
    <text xml:space="preserve">הפרש 30.04.25
</text>
  </threadedComment>
  <threadedComment ref="P29" dT="2026-01-08T12:44:16.12" personId="{EE3ADE9B-CE50-4301-BC3F-2273D626F8D8}" id="{D26D7842-31F3-4E79-B9DB-E82B94C48F48}">
    <text xml:space="preserve">הפרש 30.04.25
</text>
  </threadedComment>
  <threadedComment ref="P31" dT="2026-01-08T12:52:14.48" personId="{EE3ADE9B-CE50-4301-BC3F-2273D626F8D8}" id="{E988842A-8805-40B0-AFB4-F67C9B2C58EC}">
    <text xml:space="preserve">23.04+30.04.25
</text>
  </threadedComment>
  <threadedComment ref="P33" dT="2026-01-08T12:52:45.47" personId="{EE3ADE9B-CE50-4301-BC3F-2273D626F8D8}" id="{5916CADD-192B-4B60-9D13-82A0CC932093}">
    <text>23.04+30.4</text>
  </threadedComment>
  <threadedComment ref="P34" dT="2026-01-08T12:53:11.97" personId="{EE3ADE9B-CE50-4301-BC3F-2273D626F8D8}" id="{3E6A486E-5E75-4DF1-878B-80F26C1A4EF9}">
    <text>23.4+30.4</text>
  </threadedComment>
  <threadedComment ref="P36" dT="2026-01-08T12:53:31.47" personId="{EE3ADE9B-CE50-4301-BC3F-2273D626F8D8}" id="{AAD40D6C-319B-490F-8B48-12D6D86E15FE}">
    <text>23+30.04</text>
  </threadedComment>
  <threadedComment ref="P38" dT="2026-01-08T12:53:52.71" personId="{EE3ADE9B-CE50-4301-BC3F-2273D626F8D8}" id="{51188C0D-F36D-449E-91C0-787B8B479DCB}">
    <text>23.04+30.04</text>
  </threadedComment>
  <threadedComment ref="P40" dT="2026-01-08T12:54:20.95" personId="{EE3ADE9B-CE50-4301-BC3F-2273D626F8D8}" id="{8919AB1E-119B-4A81-B2BA-BF151A5A6566}">
    <text>23-30.4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8" dT="2026-02-03T17:14:23.99" personId="{EE3ADE9B-CE50-4301-BC3F-2273D626F8D8}" id="{ACC39B94-5F36-42D0-B5BE-3E8C81E8A151}">
    <text>שולם ב26.12.25</text>
  </threadedComment>
  <threadedComment ref="O33" dT="2026-01-21T10:30:04.08" personId="{EE3ADE9B-CE50-4301-BC3F-2273D626F8D8}" id="{81FCC75A-D414-4980-9266-2FDAE9322A1F}">
    <text>23.04.2025</text>
  </threadedComment>
  <threadedComment ref="O40" dT="2026-01-21T10:38:48.99" personId="{EE3ADE9B-CE50-4301-BC3F-2273D626F8D8}" id="{54B08874-3A14-40D8-BA67-98DD0D3B132C}">
    <text>שולם 17-19.03.2025</text>
  </threadedComment>
  <threadedComment ref="N62" dT="2026-02-03T17:36:20.30" personId="{EE3ADE9B-CE50-4301-BC3F-2273D626F8D8}" id="{A25660C0-EC77-44D3-87E6-71E55B4D2BEF}">
    <text xml:space="preserve">שולם ב01.2026
</text>
  </threadedComment>
  <threadedComment ref="N66" dT="2026-02-03T17:38:15.08" personId="{EE3ADE9B-CE50-4301-BC3F-2273D626F8D8}" id="{BD3D539D-B95B-4F93-A044-7763FE534921}">
    <text xml:space="preserve">שולם 01.2026
</text>
  </threadedComment>
  <threadedComment ref="O92" dT="2026-01-21T09:49:35.74" personId="{EE3ADE9B-CE50-4301-BC3F-2273D626F8D8}" id="{461FF6D1-8E8A-4694-B773-5CC241EEE3E9}">
    <text>12.02.25</text>
  </threadedComment>
  <threadedComment ref="O135" dT="2026-01-21T10:12:11.03" personId="{EE3ADE9B-CE50-4301-BC3F-2273D626F8D8}" id="{C166CB12-AF7E-4F5F-AD9A-2D9AE280C192}">
    <text>2506-26.08.25</text>
  </threadedComment>
  <threadedComment ref="N159" dT="2026-02-03T17:32:42.16" personId="{EE3ADE9B-CE50-4301-BC3F-2273D626F8D8}" id="{D1E3ED06-E83E-4035-908E-894E48E82007}">
    <text xml:space="preserve">שולם בשכר 01.2026- תקבול 26.12.25
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x14ac:dyDescent="0.25">
      <c r="A1" s="23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x14ac:dyDescent="0.25">
      <c r="A84" s="22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7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/>
      <c r="B2" s="2" t="s">
        <v>110</v>
      </c>
      <c r="C2" s="2" t="s">
        <v>111</v>
      </c>
      <c r="D2" s="2" t="s">
        <v>112</v>
      </c>
      <c r="E2" s="2" t="s">
        <v>113</v>
      </c>
      <c r="F2" s="2"/>
      <c r="G2" s="2">
        <f>F2/22</f>
        <v>0</v>
      </c>
      <c r="H2" s="2"/>
      <c r="I2" s="2"/>
      <c r="J2" s="2" t="s">
        <v>114</v>
      </c>
    </row>
    <row r="3" spans="1:10" x14ac:dyDescent="0.2">
      <c r="A3" s="2">
        <v>211877550</v>
      </c>
      <c r="B3" s="2" t="s">
        <v>110</v>
      </c>
      <c r="C3" s="2" t="s">
        <v>111</v>
      </c>
      <c r="D3" s="2" t="s">
        <v>112</v>
      </c>
      <c r="E3" s="2" t="s">
        <v>113</v>
      </c>
      <c r="F3" s="2">
        <v>18717</v>
      </c>
      <c r="G3" s="2">
        <v>863.72865712967234</v>
      </c>
      <c r="H3" s="2"/>
      <c r="I3" s="2"/>
      <c r="J3" s="2" t="s">
        <v>114</v>
      </c>
    </row>
    <row r="4" spans="1:10" x14ac:dyDescent="0.2">
      <c r="A4" s="2">
        <v>37643772</v>
      </c>
      <c r="B4" s="2" t="s">
        <v>115</v>
      </c>
      <c r="C4" s="2" t="s">
        <v>116</v>
      </c>
      <c r="D4" s="2" t="s">
        <v>117</v>
      </c>
      <c r="E4" s="2" t="s">
        <v>118</v>
      </c>
      <c r="F4" s="2">
        <v>24026</v>
      </c>
      <c r="G4" s="2">
        <v>1108.7217351176739</v>
      </c>
      <c r="H4" s="2"/>
      <c r="I4" s="2"/>
      <c r="J4" s="2" t="s">
        <v>114</v>
      </c>
    </row>
    <row r="5" spans="1:10" x14ac:dyDescent="0.2">
      <c r="A5" s="2">
        <v>28027738</v>
      </c>
      <c r="B5" s="2" t="s">
        <v>119</v>
      </c>
      <c r="C5" s="2" t="s">
        <v>120</v>
      </c>
      <c r="D5" s="2" t="s">
        <v>121</v>
      </c>
      <c r="E5" s="2" t="s">
        <v>113</v>
      </c>
      <c r="F5" s="2">
        <v>20500</v>
      </c>
      <c r="G5" s="2">
        <v>946.00830641439768</v>
      </c>
      <c r="H5" s="2"/>
      <c r="I5" s="2"/>
      <c r="J5" s="2" t="s">
        <v>122</v>
      </c>
    </row>
    <row r="6" spans="1:10" x14ac:dyDescent="0.2">
      <c r="A6" s="2">
        <v>203661004</v>
      </c>
      <c r="B6" s="2" t="s">
        <v>123</v>
      </c>
      <c r="C6" s="2" t="s">
        <v>124</v>
      </c>
      <c r="D6" s="2" t="s">
        <v>125</v>
      </c>
      <c r="E6" s="2" t="s">
        <v>118</v>
      </c>
      <c r="F6" s="2">
        <v>18828</v>
      </c>
      <c r="G6" s="2">
        <v>868.85094600830632</v>
      </c>
      <c r="H6" s="2"/>
      <c r="I6" s="2"/>
      <c r="J6" s="2" t="s">
        <v>114</v>
      </c>
    </row>
    <row r="7" spans="1:10" x14ac:dyDescent="0.2">
      <c r="A7" s="2">
        <v>315919936</v>
      </c>
      <c r="B7" s="2" t="s">
        <v>126</v>
      </c>
      <c r="C7" s="2" t="s">
        <v>127</v>
      </c>
      <c r="D7" s="2" t="s">
        <v>128</v>
      </c>
      <c r="E7" s="2" t="s">
        <v>118</v>
      </c>
      <c r="F7" s="2">
        <v>14532</v>
      </c>
      <c r="G7" s="2">
        <v>670.60452238117205</v>
      </c>
      <c r="H7" s="2"/>
      <c r="I7" s="2"/>
      <c r="J7" s="2" t="s">
        <v>114</v>
      </c>
    </row>
    <row r="8" spans="1:10" x14ac:dyDescent="0.2">
      <c r="A8" s="2">
        <v>69304962</v>
      </c>
      <c r="B8" s="2" t="s">
        <v>129</v>
      </c>
      <c r="C8" s="2" t="s">
        <v>130</v>
      </c>
      <c r="D8" s="2" t="s">
        <v>131</v>
      </c>
      <c r="E8" s="2" t="s">
        <v>118</v>
      </c>
      <c r="F8" s="2">
        <v>20586.599999999999</v>
      </c>
      <c r="G8" s="2">
        <v>950.00461467466528</v>
      </c>
      <c r="H8" s="2"/>
      <c r="I8" s="2"/>
      <c r="J8" s="2" t="s">
        <v>114</v>
      </c>
    </row>
    <row r="9" spans="1:10" x14ac:dyDescent="0.2">
      <c r="A9" s="2">
        <v>25474677</v>
      </c>
      <c r="B9" s="2" t="s">
        <v>132</v>
      </c>
      <c r="C9" s="2" t="s">
        <v>133</v>
      </c>
      <c r="D9" s="2" t="s">
        <v>134</v>
      </c>
      <c r="E9" s="2" t="s">
        <v>135</v>
      </c>
      <c r="F9" s="2">
        <v>27791</v>
      </c>
      <c r="G9" s="2">
        <v>1282.464236271343</v>
      </c>
      <c r="H9" s="2"/>
      <c r="I9" s="2"/>
      <c r="J9" s="2" t="s">
        <v>136</v>
      </c>
    </row>
    <row r="10" spans="1:10" x14ac:dyDescent="0.2">
      <c r="A10" s="2">
        <v>22201347</v>
      </c>
      <c r="B10" s="2" t="s">
        <v>137</v>
      </c>
      <c r="C10" s="2" t="s">
        <v>138</v>
      </c>
      <c r="D10" s="2" t="s">
        <v>139</v>
      </c>
      <c r="E10" s="2" t="s">
        <v>135</v>
      </c>
      <c r="F10" s="2">
        <v>23754</v>
      </c>
      <c r="G10" s="2">
        <v>1096.169820027688</v>
      </c>
      <c r="H10" s="2"/>
      <c r="I10" s="2"/>
      <c r="J10" s="2" t="s">
        <v>114</v>
      </c>
    </row>
    <row r="11" spans="1:10" x14ac:dyDescent="0.2">
      <c r="A11" s="2">
        <v>322131285</v>
      </c>
      <c r="B11" s="2" t="s">
        <v>140</v>
      </c>
      <c r="C11" s="2" t="s">
        <v>141</v>
      </c>
      <c r="D11" s="2" t="s">
        <v>142</v>
      </c>
      <c r="E11" s="2" t="s">
        <v>113</v>
      </c>
      <c r="F11" s="2">
        <v>18077</v>
      </c>
      <c r="G11" s="2">
        <v>834.19473927088131</v>
      </c>
      <c r="H11" s="2"/>
      <c r="I11" s="2"/>
      <c r="J11" s="2" t="s">
        <v>114</v>
      </c>
    </row>
    <row r="12" spans="1:10" x14ac:dyDescent="0.2">
      <c r="A12" s="2">
        <v>209501998</v>
      </c>
      <c r="B12" s="2" t="s">
        <v>143</v>
      </c>
      <c r="C12" s="2" t="s">
        <v>144</v>
      </c>
      <c r="D12" s="2" t="s">
        <v>145</v>
      </c>
      <c r="E12" s="2" t="s">
        <v>135</v>
      </c>
      <c r="F12" s="2">
        <v>15825</v>
      </c>
      <c r="G12" s="2">
        <v>730.27226580526064</v>
      </c>
      <c r="H12" s="2"/>
      <c r="I12" s="2"/>
      <c r="J12" s="2" t="s">
        <v>146</v>
      </c>
    </row>
    <row r="13" spans="1:10" x14ac:dyDescent="0.2">
      <c r="A13" s="2">
        <v>308280510</v>
      </c>
      <c r="B13" s="2" t="s">
        <v>147</v>
      </c>
      <c r="C13" s="2" t="s">
        <v>148</v>
      </c>
      <c r="D13" s="2" t="s">
        <v>149</v>
      </c>
      <c r="E13" s="2" t="s">
        <v>113</v>
      </c>
      <c r="F13" s="2">
        <v>17921</v>
      </c>
      <c r="G13" s="2">
        <v>826.99584679280099</v>
      </c>
      <c r="H13" s="2"/>
      <c r="I13" s="2"/>
      <c r="J13" s="2" t="s">
        <v>114</v>
      </c>
    </row>
    <row r="14" spans="1:10" x14ac:dyDescent="0.2">
      <c r="A14" s="2">
        <v>11915519</v>
      </c>
      <c r="B14" s="2" t="s">
        <v>150</v>
      </c>
      <c r="C14" s="2" t="s">
        <v>151</v>
      </c>
      <c r="D14" s="2" t="s">
        <v>152</v>
      </c>
      <c r="E14" s="2" t="s">
        <v>113</v>
      </c>
      <c r="F14" s="2">
        <v>18822</v>
      </c>
      <c r="G14" s="2">
        <v>868.57406552838017</v>
      </c>
      <c r="H14" s="2"/>
      <c r="I14" s="2"/>
      <c r="J14" s="2" t="s">
        <v>114</v>
      </c>
    </row>
    <row r="15" spans="1:10" x14ac:dyDescent="0.2">
      <c r="A15" s="2">
        <v>25147505</v>
      </c>
      <c r="B15" s="2" t="s">
        <v>153</v>
      </c>
      <c r="C15" s="2" t="s">
        <v>154</v>
      </c>
      <c r="D15" s="2" t="s">
        <v>155</v>
      </c>
      <c r="E15" s="2" t="s">
        <v>113</v>
      </c>
      <c r="F15" s="2">
        <v>20150</v>
      </c>
      <c r="G15" s="2">
        <v>929.85694508537142</v>
      </c>
      <c r="H15" s="2"/>
      <c r="I15" s="2"/>
      <c r="J15" s="2" t="s">
        <v>114</v>
      </c>
    </row>
    <row r="16" spans="1:10" x14ac:dyDescent="0.2">
      <c r="A16" s="2">
        <v>25342445</v>
      </c>
      <c r="B16" s="2" t="s">
        <v>153</v>
      </c>
      <c r="C16" s="2" t="s">
        <v>156</v>
      </c>
      <c r="D16" s="2" t="s">
        <v>157</v>
      </c>
      <c r="E16" s="2" t="s">
        <v>135</v>
      </c>
      <c r="F16" s="2">
        <v>19826</v>
      </c>
      <c r="G16" s="2">
        <v>914.90539916935847</v>
      </c>
      <c r="H16" s="2"/>
      <c r="I16" s="2"/>
      <c r="J16" s="2" t="s">
        <v>114</v>
      </c>
    </row>
    <row r="17" spans="1:10" x14ac:dyDescent="0.2">
      <c r="A17" s="2">
        <v>25155235</v>
      </c>
      <c r="B17" s="2" t="s">
        <v>158</v>
      </c>
      <c r="C17" s="2" t="s">
        <v>159</v>
      </c>
      <c r="D17" s="2" t="s">
        <v>160</v>
      </c>
      <c r="E17" s="2" t="s">
        <v>135</v>
      </c>
      <c r="F17" s="2">
        <v>19825</v>
      </c>
      <c r="G17" s="2">
        <v>914.85925242270412</v>
      </c>
      <c r="H17" s="2"/>
      <c r="I17" s="2"/>
      <c r="J17" s="2" t="s">
        <v>114</v>
      </c>
    </row>
    <row r="18" spans="1:10" x14ac:dyDescent="0.2">
      <c r="A18" s="2">
        <v>315536524</v>
      </c>
      <c r="B18" s="2" t="s">
        <v>161</v>
      </c>
      <c r="C18" s="2" t="s">
        <v>162</v>
      </c>
      <c r="D18" s="2" t="s">
        <v>163</v>
      </c>
      <c r="E18" s="2" t="s">
        <v>113</v>
      </c>
      <c r="F18" s="2">
        <v>17601</v>
      </c>
      <c r="G18" s="2">
        <v>812.22888786340559</v>
      </c>
      <c r="H18" s="2"/>
      <c r="I18" s="2"/>
      <c r="J18" s="2" t="s">
        <v>114</v>
      </c>
    </row>
    <row r="19" spans="1:10" x14ac:dyDescent="0.2">
      <c r="A19">
        <v>32345035</v>
      </c>
      <c r="B19" t="s">
        <v>113</v>
      </c>
      <c r="C19" t="s">
        <v>164</v>
      </c>
      <c r="D19" t="s">
        <v>165</v>
      </c>
      <c r="E19" t="s">
        <v>118</v>
      </c>
      <c r="F19">
        <v>17670</v>
      </c>
      <c r="G19">
        <v>815.41301338255641</v>
      </c>
      <c r="J1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81"/>
  <sheetViews>
    <sheetView rightToLeft="1" workbookViewId="0">
      <pane ySplit="1" topLeftCell="A2" activePane="bottomLeft" state="frozen"/>
      <selection pane="bottomLeft" activeCell="L83" sqref="L83"/>
    </sheetView>
  </sheetViews>
  <sheetFormatPr defaultRowHeight="14.25" x14ac:dyDescent="0.2"/>
  <cols>
    <col min="1" max="12" width="15" customWidth="1"/>
  </cols>
  <sheetData>
    <row r="1" spans="1:12" ht="24.95" customHeight="1" x14ac:dyDescent="0.2">
      <c r="A1" s="8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8" t="s">
        <v>174</v>
      </c>
      <c r="K1" s="8" t="s">
        <v>175</v>
      </c>
      <c r="L1" s="8" t="s">
        <v>176</v>
      </c>
    </row>
    <row r="2" spans="1:12" ht="15" hidden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7">
        <v>821</v>
      </c>
      <c r="G2" s="17">
        <v>164</v>
      </c>
      <c r="H2" s="17">
        <v>0</v>
      </c>
      <c r="I2" s="17">
        <v>985</v>
      </c>
      <c r="J2" s="9">
        <v>203</v>
      </c>
      <c r="K2" s="9" t="s">
        <v>179</v>
      </c>
      <c r="L2" s="9" t="s">
        <v>180</v>
      </c>
    </row>
    <row r="3" spans="1:12" ht="15" hidden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7">
        <v>821</v>
      </c>
      <c r="G3" s="17">
        <v>164</v>
      </c>
      <c r="H3" s="17">
        <v>0</v>
      </c>
      <c r="I3" s="17">
        <v>985</v>
      </c>
      <c r="J3" s="9">
        <v>203</v>
      </c>
      <c r="K3" s="9" t="s">
        <v>179</v>
      </c>
      <c r="L3" s="9" t="s">
        <v>180</v>
      </c>
    </row>
    <row r="4" spans="1:12" ht="15" hidden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7">
        <v>1051</v>
      </c>
      <c r="G4" s="17">
        <v>210</v>
      </c>
      <c r="H4" s="17">
        <v>0</v>
      </c>
      <c r="I4" s="17">
        <v>1261</v>
      </c>
      <c r="J4" s="9">
        <v>203</v>
      </c>
      <c r="K4" s="9" t="s">
        <v>179</v>
      </c>
      <c r="L4" s="9" t="s">
        <v>180</v>
      </c>
    </row>
    <row r="5" spans="1:12" ht="15" hidden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7">
        <v>5257</v>
      </c>
      <c r="G5" s="17">
        <v>1051</v>
      </c>
      <c r="H5" s="17">
        <v>0</v>
      </c>
      <c r="I5" s="17">
        <v>6308</v>
      </c>
      <c r="J5" s="9">
        <v>203</v>
      </c>
      <c r="K5" s="9" t="s">
        <v>179</v>
      </c>
      <c r="L5" s="9" t="s">
        <v>180</v>
      </c>
    </row>
    <row r="6" spans="1:12" ht="15" hidden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7">
        <v>751</v>
      </c>
      <c r="G6" s="17">
        <v>0</v>
      </c>
      <c r="H6" s="17">
        <v>0</v>
      </c>
      <c r="I6" s="17">
        <v>751</v>
      </c>
      <c r="J6" s="9">
        <v>203</v>
      </c>
      <c r="K6" s="9" t="s">
        <v>179</v>
      </c>
      <c r="L6" s="9" t="s">
        <v>180</v>
      </c>
    </row>
    <row r="7" spans="1:12" ht="15" hidden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7">
        <v>1116</v>
      </c>
      <c r="G7" s="17">
        <v>223</v>
      </c>
      <c r="H7" s="17">
        <v>0</v>
      </c>
      <c r="I7" s="17">
        <v>1339</v>
      </c>
      <c r="J7" s="9">
        <v>203</v>
      </c>
      <c r="K7" s="9" t="s">
        <v>179</v>
      </c>
      <c r="L7" s="9" t="s">
        <v>180</v>
      </c>
    </row>
    <row r="8" spans="1:12" ht="15" hidden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7">
        <v>2231</v>
      </c>
      <c r="G8" s="17">
        <v>446</v>
      </c>
      <c r="H8" s="17">
        <v>0</v>
      </c>
      <c r="I8" s="17">
        <v>2677</v>
      </c>
      <c r="J8" s="9">
        <v>203</v>
      </c>
      <c r="K8" s="9" t="s">
        <v>179</v>
      </c>
      <c r="L8" s="9" t="s">
        <v>180</v>
      </c>
    </row>
    <row r="9" spans="1:12" ht="15" hidden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7">
        <v>2231</v>
      </c>
      <c r="G9" s="17">
        <v>446</v>
      </c>
      <c r="H9" s="17">
        <v>0</v>
      </c>
      <c r="I9" s="17">
        <v>2677</v>
      </c>
      <c r="J9" s="9">
        <v>203</v>
      </c>
      <c r="K9" s="9" t="s">
        <v>179</v>
      </c>
      <c r="L9" s="9" t="s">
        <v>180</v>
      </c>
    </row>
    <row r="10" spans="1:12" ht="15" hidden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7">
        <v>2231</v>
      </c>
      <c r="G10" s="17">
        <v>446</v>
      </c>
      <c r="H10" s="17">
        <v>0</v>
      </c>
      <c r="I10" s="17">
        <v>2677</v>
      </c>
      <c r="J10" s="9">
        <v>203</v>
      </c>
      <c r="K10" s="9" t="s">
        <v>179</v>
      </c>
      <c r="L10" s="9" t="s">
        <v>180</v>
      </c>
    </row>
    <row r="11" spans="1:12" ht="15" hidden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7">
        <v>2231</v>
      </c>
      <c r="G11" s="17">
        <v>446</v>
      </c>
      <c r="H11" s="17">
        <v>0</v>
      </c>
      <c r="I11" s="17">
        <v>2677</v>
      </c>
      <c r="J11" s="9">
        <v>203</v>
      </c>
      <c r="K11" s="9" t="s">
        <v>179</v>
      </c>
      <c r="L11" s="9" t="s">
        <v>180</v>
      </c>
    </row>
    <row r="12" spans="1:12" ht="15" hidden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7">
        <v>1116</v>
      </c>
      <c r="G12" s="17">
        <v>446</v>
      </c>
      <c r="H12" s="17">
        <v>0</v>
      </c>
      <c r="I12" s="17">
        <v>1562</v>
      </c>
      <c r="J12" s="9">
        <v>203</v>
      </c>
      <c r="K12" s="9" t="s">
        <v>179</v>
      </c>
      <c r="L12" s="9" t="s">
        <v>180</v>
      </c>
    </row>
    <row r="13" spans="1:12" ht="15" hidden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7">
        <v>1116</v>
      </c>
      <c r="G13" s="17">
        <v>223</v>
      </c>
      <c r="H13" s="17">
        <v>0</v>
      </c>
      <c r="I13" s="17">
        <v>1339</v>
      </c>
      <c r="J13" s="9">
        <v>203</v>
      </c>
      <c r="K13" s="9" t="s">
        <v>179</v>
      </c>
      <c r="L13" s="9" t="s">
        <v>180</v>
      </c>
    </row>
    <row r="14" spans="1:12" ht="15" hidden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7">
        <v>1116</v>
      </c>
      <c r="G14" s="17">
        <v>223</v>
      </c>
      <c r="H14" s="17">
        <v>0</v>
      </c>
      <c r="I14" s="17">
        <v>1339</v>
      </c>
      <c r="J14" s="9">
        <v>203</v>
      </c>
      <c r="K14" s="9" t="s">
        <v>179</v>
      </c>
      <c r="L14" s="9" t="s">
        <v>180</v>
      </c>
    </row>
    <row r="15" spans="1:12" ht="15" hidden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7">
        <v>2206</v>
      </c>
      <c r="G15" s="17">
        <v>556</v>
      </c>
      <c r="H15" s="17">
        <v>0</v>
      </c>
      <c r="I15" s="17">
        <v>2762</v>
      </c>
      <c r="J15" s="9">
        <v>203</v>
      </c>
      <c r="K15" s="9" t="s">
        <v>179</v>
      </c>
      <c r="L15" s="9" t="s">
        <v>180</v>
      </c>
    </row>
    <row r="16" spans="1:12" ht="15" hidden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7">
        <v>6811</v>
      </c>
      <c r="G16" s="17">
        <v>973</v>
      </c>
      <c r="H16" s="17">
        <v>0</v>
      </c>
      <c r="I16" s="17">
        <v>7784</v>
      </c>
      <c r="J16" s="9">
        <v>203</v>
      </c>
      <c r="K16" s="9" t="s">
        <v>179</v>
      </c>
      <c r="L16" s="9" t="s">
        <v>180</v>
      </c>
    </row>
    <row r="17" spans="1:12" ht="15" hidden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7">
        <v>4638</v>
      </c>
      <c r="G17" s="17">
        <v>663</v>
      </c>
      <c r="H17" s="17">
        <v>0</v>
      </c>
      <c r="I17" s="17">
        <v>5301</v>
      </c>
      <c r="J17" s="9">
        <v>203</v>
      </c>
      <c r="K17" s="9" t="s">
        <v>179</v>
      </c>
      <c r="L17" s="9" t="s">
        <v>180</v>
      </c>
    </row>
    <row r="18" spans="1:12" ht="15" hidden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7">
        <v>550</v>
      </c>
      <c r="G18" s="17">
        <v>0</v>
      </c>
      <c r="H18" s="17">
        <v>0</v>
      </c>
      <c r="I18" s="17">
        <v>550</v>
      </c>
      <c r="J18" s="9">
        <v>203</v>
      </c>
      <c r="K18" s="9" t="s">
        <v>179</v>
      </c>
      <c r="L18" s="9" t="s">
        <v>180</v>
      </c>
    </row>
    <row r="19" spans="1:12" ht="15" hidden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7">
        <v>1010</v>
      </c>
      <c r="G19" s="17">
        <v>606</v>
      </c>
      <c r="H19" s="17">
        <v>0</v>
      </c>
      <c r="I19" s="17">
        <v>1616</v>
      </c>
      <c r="J19" s="9">
        <v>203</v>
      </c>
      <c r="K19" s="9" t="s">
        <v>179</v>
      </c>
      <c r="L19" s="9" t="s">
        <v>180</v>
      </c>
    </row>
    <row r="20" spans="1:12" ht="15" hidden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7">
        <v>2334</v>
      </c>
      <c r="G20" s="17">
        <v>427</v>
      </c>
      <c r="H20" s="17">
        <v>0</v>
      </c>
      <c r="I20" s="17">
        <v>2761</v>
      </c>
      <c r="J20" s="9">
        <v>203</v>
      </c>
      <c r="K20" s="9" t="s">
        <v>179</v>
      </c>
      <c r="L20" s="9" t="s">
        <v>180</v>
      </c>
    </row>
    <row r="21" spans="1:12" ht="15" hidden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7">
        <v>1448</v>
      </c>
      <c r="G21" s="17">
        <v>0</v>
      </c>
      <c r="H21" s="17">
        <v>0</v>
      </c>
      <c r="I21" s="17">
        <v>1448</v>
      </c>
      <c r="J21" s="9">
        <v>203</v>
      </c>
      <c r="K21" s="9" t="s">
        <v>179</v>
      </c>
      <c r="L21" s="9" t="s">
        <v>180</v>
      </c>
    </row>
    <row r="22" spans="1:12" ht="15" hidden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7">
        <v>2063</v>
      </c>
      <c r="G22" s="17">
        <v>0</v>
      </c>
      <c r="H22" s="17">
        <v>0</v>
      </c>
      <c r="I22" s="17">
        <v>2063</v>
      </c>
      <c r="J22" s="9">
        <v>203</v>
      </c>
      <c r="K22" s="9" t="s">
        <v>179</v>
      </c>
      <c r="L22" s="9" t="s">
        <v>180</v>
      </c>
    </row>
    <row r="23" spans="1:12" ht="15" hidden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7">
        <v>551</v>
      </c>
      <c r="G23" s="17">
        <v>110</v>
      </c>
      <c r="H23" s="17">
        <v>0</v>
      </c>
      <c r="I23" s="17">
        <v>661</v>
      </c>
      <c r="J23" s="9">
        <v>203</v>
      </c>
      <c r="K23" s="9" t="s">
        <v>179</v>
      </c>
      <c r="L23" s="9" t="s">
        <v>180</v>
      </c>
    </row>
    <row r="24" spans="1:12" ht="15" hidden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7">
        <v>1102</v>
      </c>
      <c r="G24" s="17">
        <v>110</v>
      </c>
      <c r="H24" s="17">
        <v>0</v>
      </c>
      <c r="I24" s="17">
        <v>1212</v>
      </c>
      <c r="J24" s="9">
        <v>203</v>
      </c>
      <c r="K24" s="9" t="s">
        <v>179</v>
      </c>
      <c r="L24" s="9" t="s">
        <v>180</v>
      </c>
    </row>
    <row r="25" spans="1:12" ht="15" hidden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7">
        <v>1102</v>
      </c>
      <c r="G25" s="17">
        <v>110</v>
      </c>
      <c r="H25" s="17">
        <v>0</v>
      </c>
      <c r="I25" s="17">
        <v>1212</v>
      </c>
      <c r="J25" s="9">
        <v>203</v>
      </c>
      <c r="K25" s="9" t="s">
        <v>179</v>
      </c>
      <c r="L25" s="9" t="s">
        <v>180</v>
      </c>
    </row>
    <row r="26" spans="1:12" ht="15" hidden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7">
        <v>2718</v>
      </c>
      <c r="G26" s="17">
        <v>544</v>
      </c>
      <c r="H26" s="17">
        <v>0</v>
      </c>
      <c r="I26" s="17">
        <v>3262</v>
      </c>
      <c r="J26" s="9">
        <v>203</v>
      </c>
      <c r="K26" s="9" t="s">
        <v>179</v>
      </c>
      <c r="L26" s="9" t="s">
        <v>180</v>
      </c>
    </row>
    <row r="27" spans="1:12" ht="15" hidden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7">
        <v>97</v>
      </c>
      <c r="G27" s="17">
        <v>0</v>
      </c>
      <c r="H27" s="17">
        <v>0</v>
      </c>
      <c r="I27" s="17">
        <v>97</v>
      </c>
      <c r="J27" s="9">
        <v>204</v>
      </c>
      <c r="K27" s="9" t="s">
        <v>179</v>
      </c>
      <c r="L27" s="9" t="s">
        <v>208</v>
      </c>
    </row>
    <row r="28" spans="1:12" ht="15" hidden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7">
        <v>484</v>
      </c>
      <c r="G28" s="17">
        <v>0</v>
      </c>
      <c r="H28" s="17">
        <v>0</v>
      </c>
      <c r="I28" s="17">
        <v>484</v>
      </c>
      <c r="J28" s="9">
        <v>204</v>
      </c>
      <c r="K28" s="9" t="s">
        <v>179</v>
      </c>
      <c r="L28" s="9" t="s">
        <v>208</v>
      </c>
    </row>
    <row r="29" spans="1:12" ht="15" hidden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7">
        <v>7184</v>
      </c>
      <c r="G29" s="17">
        <v>1217</v>
      </c>
      <c r="H29" s="17">
        <v>0</v>
      </c>
      <c r="I29" s="17">
        <v>8401</v>
      </c>
      <c r="J29" s="9">
        <v>408</v>
      </c>
      <c r="K29" s="9" t="s">
        <v>213</v>
      </c>
      <c r="L29" s="9" t="s">
        <v>214</v>
      </c>
    </row>
    <row r="30" spans="1:12" ht="15" hidden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7">
        <v>2873</v>
      </c>
      <c r="G30" s="17">
        <v>481</v>
      </c>
      <c r="H30" s="17">
        <v>0</v>
      </c>
      <c r="I30" s="17">
        <v>3354</v>
      </c>
      <c r="J30" s="9">
        <v>408</v>
      </c>
      <c r="K30" s="9" t="s">
        <v>213</v>
      </c>
      <c r="L30" s="9" t="s">
        <v>214</v>
      </c>
    </row>
    <row r="31" spans="1:12" ht="15" hidden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7">
        <v>1437</v>
      </c>
      <c r="G31" s="17">
        <v>240</v>
      </c>
      <c r="H31" s="17">
        <v>0</v>
      </c>
      <c r="I31" s="17">
        <v>1677</v>
      </c>
      <c r="J31" s="9">
        <v>408</v>
      </c>
      <c r="K31" s="9" t="s">
        <v>213</v>
      </c>
      <c r="L31" s="9" t="s">
        <v>214</v>
      </c>
    </row>
    <row r="32" spans="1:12" ht="15" hidden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7">
        <v>1174</v>
      </c>
      <c r="G32" s="17">
        <v>235</v>
      </c>
      <c r="H32" s="17">
        <v>0</v>
      </c>
      <c r="I32" s="17">
        <v>1409</v>
      </c>
      <c r="J32" s="9">
        <v>408</v>
      </c>
      <c r="K32" s="9" t="s">
        <v>213</v>
      </c>
      <c r="L32" s="9" t="s">
        <v>214</v>
      </c>
    </row>
    <row r="33" spans="1:12" ht="15" hidden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7">
        <v>3287</v>
      </c>
      <c r="G33" s="17">
        <v>470</v>
      </c>
      <c r="H33" s="17">
        <v>0</v>
      </c>
      <c r="I33" s="17">
        <v>3757</v>
      </c>
      <c r="J33" s="9">
        <v>408</v>
      </c>
      <c r="K33" s="9" t="s">
        <v>213</v>
      </c>
      <c r="L33" s="9" t="s">
        <v>214</v>
      </c>
    </row>
    <row r="34" spans="1:12" ht="15" hidden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7">
        <v>1174</v>
      </c>
      <c r="G34" s="17">
        <v>235</v>
      </c>
      <c r="H34" s="17">
        <v>0</v>
      </c>
      <c r="I34" s="17">
        <v>1409</v>
      </c>
      <c r="J34" s="9">
        <v>408</v>
      </c>
      <c r="K34" s="9" t="s">
        <v>213</v>
      </c>
      <c r="L34" s="9" t="s">
        <v>214</v>
      </c>
    </row>
    <row r="35" spans="1:12" ht="15" hidden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7">
        <v>1233</v>
      </c>
      <c r="G35" s="17">
        <v>247</v>
      </c>
      <c r="H35" s="17">
        <v>0</v>
      </c>
      <c r="I35" s="17">
        <v>1480</v>
      </c>
      <c r="J35" s="9">
        <v>408</v>
      </c>
      <c r="K35" s="9" t="s">
        <v>213</v>
      </c>
      <c r="L35" s="9" t="s">
        <v>214</v>
      </c>
    </row>
    <row r="36" spans="1:12" ht="15" hidden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7">
        <v>1233</v>
      </c>
      <c r="G36" s="17">
        <v>247</v>
      </c>
      <c r="H36" s="17">
        <v>0</v>
      </c>
      <c r="I36" s="17">
        <v>1480</v>
      </c>
      <c r="J36" s="9">
        <v>408</v>
      </c>
      <c r="K36" s="9" t="s">
        <v>213</v>
      </c>
      <c r="L36" s="9" t="s">
        <v>214</v>
      </c>
    </row>
    <row r="37" spans="1:12" ht="15" hidden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7">
        <v>2466</v>
      </c>
      <c r="G37" s="17">
        <v>493</v>
      </c>
      <c r="H37" s="17">
        <v>0</v>
      </c>
      <c r="I37" s="17">
        <v>2959</v>
      </c>
      <c r="J37" s="9">
        <v>408</v>
      </c>
      <c r="K37" s="9" t="s">
        <v>213</v>
      </c>
      <c r="L37" s="9" t="s">
        <v>214</v>
      </c>
    </row>
    <row r="38" spans="1:12" ht="15" hidden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7">
        <v>2466</v>
      </c>
      <c r="G38" s="17">
        <v>493</v>
      </c>
      <c r="H38" s="17">
        <v>0</v>
      </c>
      <c r="I38" s="17">
        <v>2959</v>
      </c>
      <c r="J38" s="9">
        <v>408</v>
      </c>
      <c r="K38" s="9" t="s">
        <v>213</v>
      </c>
      <c r="L38" s="9" t="s">
        <v>214</v>
      </c>
    </row>
    <row r="39" spans="1:12" ht="15" hidden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7">
        <v>1107</v>
      </c>
      <c r="G39" s="17">
        <v>158</v>
      </c>
      <c r="H39" s="17">
        <v>0</v>
      </c>
      <c r="I39" s="17">
        <v>1265</v>
      </c>
      <c r="J39" s="9">
        <v>408</v>
      </c>
      <c r="K39" s="9" t="s">
        <v>213</v>
      </c>
      <c r="L39" s="9" t="s">
        <v>214</v>
      </c>
    </row>
    <row r="40" spans="1:12" ht="15" hidden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7">
        <v>1251</v>
      </c>
      <c r="G40" s="17">
        <v>250</v>
      </c>
      <c r="H40" s="17">
        <v>0</v>
      </c>
      <c r="I40" s="17">
        <v>1501</v>
      </c>
      <c r="J40" s="9">
        <v>802</v>
      </c>
      <c r="K40" s="9" t="s">
        <v>229</v>
      </c>
      <c r="L40" s="9" t="s">
        <v>230</v>
      </c>
    </row>
    <row r="41" spans="1:12" ht="15" hidden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7">
        <v>1251</v>
      </c>
      <c r="G41" s="17">
        <v>250</v>
      </c>
      <c r="H41" s="17">
        <v>0</v>
      </c>
      <c r="I41" s="17">
        <v>1501</v>
      </c>
      <c r="J41" s="9">
        <v>802</v>
      </c>
      <c r="K41" s="9" t="s">
        <v>229</v>
      </c>
      <c r="L41" s="9" t="s">
        <v>230</v>
      </c>
    </row>
    <row r="42" spans="1:12" ht="15" hidden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7">
        <v>891</v>
      </c>
      <c r="G42" s="17">
        <v>178</v>
      </c>
      <c r="H42" s="17">
        <v>0</v>
      </c>
      <c r="I42" s="17">
        <v>1069</v>
      </c>
      <c r="J42" s="9">
        <v>802</v>
      </c>
      <c r="K42" s="9" t="s">
        <v>229</v>
      </c>
      <c r="L42" s="9" t="s">
        <v>230</v>
      </c>
    </row>
    <row r="43" spans="1:12" ht="15" hidden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7">
        <v>891</v>
      </c>
      <c r="G43" s="17">
        <v>178</v>
      </c>
      <c r="H43" s="17">
        <v>0</v>
      </c>
      <c r="I43" s="17">
        <v>1069</v>
      </c>
      <c r="J43" s="9">
        <v>802</v>
      </c>
      <c r="K43" s="9" t="s">
        <v>229</v>
      </c>
      <c r="L43" s="9" t="s">
        <v>230</v>
      </c>
    </row>
    <row r="44" spans="1:12" ht="15" hidden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7">
        <v>891</v>
      </c>
      <c r="G44" s="17">
        <v>178</v>
      </c>
      <c r="H44" s="17">
        <v>0</v>
      </c>
      <c r="I44" s="17">
        <v>1069</v>
      </c>
      <c r="J44" s="9">
        <v>802</v>
      </c>
      <c r="K44" s="9" t="s">
        <v>229</v>
      </c>
      <c r="L44" s="9" t="s">
        <v>230</v>
      </c>
    </row>
    <row r="45" spans="1:12" ht="15" hidden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7">
        <v>891</v>
      </c>
      <c r="G45" s="17">
        <v>178</v>
      </c>
      <c r="H45" s="17">
        <v>0</v>
      </c>
      <c r="I45" s="17">
        <v>1069</v>
      </c>
      <c r="J45" s="9">
        <v>802</v>
      </c>
      <c r="K45" s="9" t="s">
        <v>229</v>
      </c>
      <c r="L45" s="9" t="s">
        <v>230</v>
      </c>
    </row>
    <row r="46" spans="1:12" ht="15" hidden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7">
        <v>6234</v>
      </c>
      <c r="G46" s="17">
        <v>1247</v>
      </c>
      <c r="H46" s="17">
        <v>0</v>
      </c>
      <c r="I46" s="17">
        <v>7481</v>
      </c>
      <c r="J46" s="9">
        <v>802</v>
      </c>
      <c r="K46" s="9" t="s">
        <v>229</v>
      </c>
      <c r="L46" s="9" t="s">
        <v>230</v>
      </c>
    </row>
    <row r="47" spans="1:12" ht="15" hidden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7">
        <v>26717</v>
      </c>
      <c r="G47" s="17">
        <v>5333</v>
      </c>
      <c r="H47" s="17">
        <v>0</v>
      </c>
      <c r="I47" s="17">
        <v>32050</v>
      </c>
      <c r="J47" s="9">
        <v>802</v>
      </c>
      <c r="K47" s="9" t="s">
        <v>229</v>
      </c>
      <c r="L47" s="9" t="s">
        <v>230</v>
      </c>
    </row>
    <row r="48" spans="1:12" ht="15" hidden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7">
        <v>27607</v>
      </c>
      <c r="G48" s="17">
        <v>5448</v>
      </c>
      <c r="H48" s="17">
        <v>0</v>
      </c>
      <c r="I48" s="17">
        <v>33055</v>
      </c>
      <c r="J48" s="9">
        <v>802</v>
      </c>
      <c r="K48" s="9" t="s">
        <v>229</v>
      </c>
      <c r="L48" s="9" t="s">
        <v>230</v>
      </c>
    </row>
    <row r="49" spans="1:12" ht="15" hidden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7">
        <v>3798</v>
      </c>
      <c r="G49" s="17">
        <v>760</v>
      </c>
      <c r="H49" s="17">
        <v>0</v>
      </c>
      <c r="I49" s="17">
        <v>4558</v>
      </c>
      <c r="J49" s="9">
        <v>802</v>
      </c>
      <c r="K49" s="9" t="s">
        <v>229</v>
      </c>
      <c r="L49" s="9" t="s">
        <v>230</v>
      </c>
    </row>
    <row r="50" spans="1:12" ht="15" hidden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7">
        <v>2532</v>
      </c>
      <c r="G50" s="17">
        <v>506</v>
      </c>
      <c r="H50" s="17">
        <v>0</v>
      </c>
      <c r="I50" s="17">
        <v>3038</v>
      </c>
      <c r="J50" s="9">
        <v>802</v>
      </c>
      <c r="K50" s="9" t="s">
        <v>229</v>
      </c>
      <c r="L50" s="9" t="s">
        <v>230</v>
      </c>
    </row>
    <row r="51" spans="1:12" ht="15" hidden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7">
        <v>5014</v>
      </c>
      <c r="G51" s="17">
        <v>1254</v>
      </c>
      <c r="H51" s="17">
        <v>0</v>
      </c>
      <c r="I51" s="17">
        <v>6268</v>
      </c>
      <c r="J51" s="9">
        <v>802</v>
      </c>
      <c r="K51" s="9" t="s">
        <v>229</v>
      </c>
      <c r="L51" s="9" t="s">
        <v>230</v>
      </c>
    </row>
    <row r="52" spans="1:12" ht="15" hidden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7">
        <v>1254</v>
      </c>
      <c r="G52" s="17">
        <v>251</v>
      </c>
      <c r="H52" s="17">
        <v>0</v>
      </c>
      <c r="I52" s="17">
        <v>1505</v>
      </c>
      <c r="J52" s="9">
        <v>802</v>
      </c>
      <c r="K52" s="9" t="s">
        <v>229</v>
      </c>
      <c r="L52" s="9" t="s">
        <v>230</v>
      </c>
    </row>
    <row r="53" spans="1:12" ht="15" hidden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7">
        <v>1254</v>
      </c>
      <c r="G53" s="17">
        <v>251</v>
      </c>
      <c r="H53" s="17">
        <v>0</v>
      </c>
      <c r="I53" s="17">
        <v>1505</v>
      </c>
      <c r="J53" s="9">
        <v>802</v>
      </c>
      <c r="K53" s="9" t="s">
        <v>229</v>
      </c>
      <c r="L53" s="9" t="s">
        <v>230</v>
      </c>
    </row>
    <row r="54" spans="1:12" ht="15" hidden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7">
        <v>1294</v>
      </c>
      <c r="G54" s="17">
        <v>259</v>
      </c>
      <c r="H54" s="17">
        <v>0</v>
      </c>
      <c r="I54" s="17">
        <v>1553</v>
      </c>
      <c r="J54" s="9">
        <v>802</v>
      </c>
      <c r="K54" s="9" t="s">
        <v>229</v>
      </c>
      <c r="L54" s="9" t="s">
        <v>230</v>
      </c>
    </row>
    <row r="55" spans="1:12" ht="15" hidden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7">
        <v>2587</v>
      </c>
      <c r="G55" s="17">
        <v>517</v>
      </c>
      <c r="H55" s="17">
        <v>0</v>
      </c>
      <c r="I55" s="17">
        <v>3104</v>
      </c>
      <c r="J55" s="9">
        <v>802</v>
      </c>
      <c r="K55" s="9" t="s">
        <v>229</v>
      </c>
      <c r="L55" s="9" t="s">
        <v>230</v>
      </c>
    </row>
    <row r="56" spans="1:12" ht="15" hidden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7">
        <v>812</v>
      </c>
      <c r="G56" s="17">
        <v>162</v>
      </c>
      <c r="H56" s="17">
        <v>0</v>
      </c>
      <c r="I56" s="17">
        <v>974</v>
      </c>
      <c r="J56" s="9">
        <v>802</v>
      </c>
      <c r="K56" s="9" t="s">
        <v>229</v>
      </c>
      <c r="L56" s="9" t="s">
        <v>230</v>
      </c>
    </row>
    <row r="57" spans="1:12" ht="15" hidden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7">
        <v>1623</v>
      </c>
      <c r="G57" s="17">
        <v>325</v>
      </c>
      <c r="H57" s="17">
        <v>0</v>
      </c>
      <c r="I57" s="17">
        <v>1948</v>
      </c>
      <c r="J57" s="9">
        <v>802</v>
      </c>
      <c r="K57" s="9" t="s">
        <v>229</v>
      </c>
      <c r="L57" s="9" t="s">
        <v>230</v>
      </c>
    </row>
    <row r="58" spans="1:12" ht="15" hidden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7">
        <v>812</v>
      </c>
      <c r="G58" s="17">
        <v>162</v>
      </c>
      <c r="H58" s="17">
        <v>0</v>
      </c>
      <c r="I58" s="17">
        <v>974</v>
      </c>
      <c r="J58" s="9">
        <v>802</v>
      </c>
      <c r="K58" s="9" t="s">
        <v>229</v>
      </c>
      <c r="L58" s="9" t="s">
        <v>230</v>
      </c>
    </row>
    <row r="59" spans="1:12" ht="15" hidden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7">
        <v>813</v>
      </c>
      <c r="G59" s="17">
        <v>163</v>
      </c>
      <c r="H59" s="17">
        <v>0</v>
      </c>
      <c r="I59" s="17">
        <v>976</v>
      </c>
      <c r="J59" s="9">
        <v>802</v>
      </c>
      <c r="K59" s="9" t="s">
        <v>229</v>
      </c>
      <c r="L59" s="9" t="s">
        <v>230</v>
      </c>
    </row>
    <row r="60" spans="1:12" ht="15" hidden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7">
        <v>805</v>
      </c>
      <c r="G60" s="17">
        <v>161</v>
      </c>
      <c r="H60" s="17">
        <v>0</v>
      </c>
      <c r="I60" s="17">
        <v>966</v>
      </c>
      <c r="J60" s="9">
        <v>802</v>
      </c>
      <c r="K60" s="9" t="s">
        <v>229</v>
      </c>
      <c r="L60" s="9" t="s">
        <v>230</v>
      </c>
    </row>
    <row r="61" spans="1:12" ht="15" hidden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7">
        <v>3221</v>
      </c>
      <c r="G61" s="17">
        <v>644</v>
      </c>
      <c r="H61" s="17">
        <v>0</v>
      </c>
      <c r="I61" s="17">
        <v>3865</v>
      </c>
      <c r="J61" s="9">
        <v>802</v>
      </c>
      <c r="K61" s="9" t="s">
        <v>229</v>
      </c>
      <c r="L61" s="9" t="s">
        <v>230</v>
      </c>
    </row>
    <row r="62" spans="1:12" ht="15" hidden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7">
        <v>3221</v>
      </c>
      <c r="G62" s="17">
        <v>644</v>
      </c>
      <c r="H62" s="17">
        <v>0</v>
      </c>
      <c r="I62" s="17">
        <v>3865</v>
      </c>
      <c r="J62" s="9">
        <v>802</v>
      </c>
      <c r="K62" s="9" t="s">
        <v>229</v>
      </c>
      <c r="L62" s="9" t="s">
        <v>230</v>
      </c>
    </row>
    <row r="63" spans="1:12" ht="15" hidden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7">
        <v>2415</v>
      </c>
      <c r="G63" s="17">
        <v>483</v>
      </c>
      <c r="H63" s="17">
        <v>0</v>
      </c>
      <c r="I63" s="17">
        <v>2898</v>
      </c>
      <c r="J63" s="9">
        <v>802</v>
      </c>
      <c r="K63" s="9" t="s">
        <v>229</v>
      </c>
      <c r="L63" s="9" t="s">
        <v>230</v>
      </c>
    </row>
    <row r="64" spans="1:12" ht="15" hidden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7">
        <v>775</v>
      </c>
      <c r="G64" s="17">
        <v>155</v>
      </c>
      <c r="H64" s="17">
        <v>0</v>
      </c>
      <c r="I64" s="17">
        <v>930</v>
      </c>
      <c r="J64" s="9">
        <v>802</v>
      </c>
      <c r="K64" s="9" t="s">
        <v>229</v>
      </c>
      <c r="L64" s="9" t="s">
        <v>230</v>
      </c>
    </row>
    <row r="65" spans="1:12" ht="15" hidden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7">
        <v>4722</v>
      </c>
      <c r="G65" s="17">
        <v>472</v>
      </c>
      <c r="H65" s="17">
        <v>0</v>
      </c>
      <c r="I65" s="17">
        <v>5194</v>
      </c>
      <c r="J65" s="9">
        <v>802</v>
      </c>
      <c r="K65" s="9" t="s">
        <v>229</v>
      </c>
      <c r="L65" s="9" t="s">
        <v>230</v>
      </c>
    </row>
    <row r="66" spans="1:12" ht="15" hidden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7">
        <v>4722</v>
      </c>
      <c r="G66" s="17">
        <v>472</v>
      </c>
      <c r="H66" s="17">
        <v>0</v>
      </c>
      <c r="I66" s="17">
        <v>5194</v>
      </c>
      <c r="J66" s="9">
        <v>802</v>
      </c>
      <c r="K66" s="9" t="s">
        <v>229</v>
      </c>
      <c r="L66" s="9" t="s">
        <v>230</v>
      </c>
    </row>
    <row r="67" spans="1:12" ht="15" hidden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7">
        <v>2361</v>
      </c>
      <c r="G67" s="17">
        <v>472</v>
      </c>
      <c r="H67" s="17">
        <v>0</v>
      </c>
      <c r="I67" s="17">
        <v>2833</v>
      </c>
      <c r="J67" s="9">
        <v>802</v>
      </c>
      <c r="K67" s="9" t="s">
        <v>229</v>
      </c>
      <c r="L67" s="9" t="s">
        <v>230</v>
      </c>
    </row>
    <row r="68" spans="1:12" ht="15" hidden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6" t="s">
        <v>265</v>
      </c>
      <c r="F68" s="17">
        <v>0</v>
      </c>
      <c r="G68" s="17">
        <v>0</v>
      </c>
      <c r="H68" s="17">
        <v>1999</v>
      </c>
      <c r="I68" s="17">
        <v>2031</v>
      </c>
      <c r="J68" s="9">
        <v>610</v>
      </c>
      <c r="K68" s="9" t="s">
        <v>266</v>
      </c>
      <c r="L68" s="9" t="s">
        <v>267</v>
      </c>
    </row>
    <row r="69" spans="1:12" ht="15" x14ac:dyDescent="0.2">
      <c r="A69" s="9">
        <v>25147505</v>
      </c>
      <c r="B69" s="9" t="s">
        <v>155</v>
      </c>
      <c r="C69" s="9" t="s">
        <v>189</v>
      </c>
      <c r="D69" s="9" t="s">
        <v>189</v>
      </c>
      <c r="E69" s="16" t="s">
        <v>265</v>
      </c>
      <c r="F69" s="17">
        <v>0</v>
      </c>
      <c r="G69" s="17">
        <v>0</v>
      </c>
      <c r="H69" s="17">
        <v>305</v>
      </c>
      <c r="I69" s="17">
        <v>307</v>
      </c>
      <c r="J69" s="9">
        <v>410</v>
      </c>
      <c r="K69" s="9" t="s">
        <v>268</v>
      </c>
      <c r="L69" s="9" t="s">
        <v>269</v>
      </c>
    </row>
    <row r="70" spans="1:12" ht="15" x14ac:dyDescent="0.2">
      <c r="A70" s="9">
        <v>25155235</v>
      </c>
      <c r="B70" s="9" t="s">
        <v>160</v>
      </c>
      <c r="C70" s="9" t="s">
        <v>186</v>
      </c>
      <c r="D70" s="9" t="s">
        <v>191</v>
      </c>
      <c r="E70" s="16" t="s">
        <v>265</v>
      </c>
      <c r="F70" s="17">
        <v>0</v>
      </c>
      <c r="G70" s="17">
        <v>0</v>
      </c>
      <c r="H70" s="17">
        <v>0</v>
      </c>
      <c r="I70" s="17">
        <v>0</v>
      </c>
      <c r="J70" s="9">
        <v>410</v>
      </c>
      <c r="K70" s="9" t="s">
        <v>268</v>
      </c>
      <c r="L70" s="9" t="s">
        <v>269</v>
      </c>
    </row>
    <row r="71" spans="1:12" ht="15" x14ac:dyDescent="0.2">
      <c r="A71" s="9">
        <v>25155235</v>
      </c>
      <c r="B71" s="9" t="s">
        <v>160</v>
      </c>
      <c r="C71" s="9" t="s">
        <v>192</v>
      </c>
      <c r="D71" s="9" t="s">
        <v>194</v>
      </c>
      <c r="E71" s="16" t="s">
        <v>265</v>
      </c>
      <c r="F71" s="17">
        <v>0</v>
      </c>
      <c r="G71" s="17">
        <v>0</v>
      </c>
      <c r="H71" s="17">
        <v>1785</v>
      </c>
      <c r="I71" s="17">
        <v>1795</v>
      </c>
      <c r="J71" s="9">
        <v>410</v>
      </c>
      <c r="K71" s="9" t="s">
        <v>268</v>
      </c>
      <c r="L71" s="9" t="s">
        <v>269</v>
      </c>
    </row>
    <row r="72" spans="1:12" ht="15" x14ac:dyDescent="0.2">
      <c r="A72" s="9">
        <v>28027738</v>
      </c>
      <c r="B72" s="9" t="s">
        <v>121</v>
      </c>
      <c r="C72" s="9" t="s">
        <v>270</v>
      </c>
      <c r="D72" s="9" t="s">
        <v>197</v>
      </c>
      <c r="E72" s="16" t="s">
        <v>265</v>
      </c>
      <c r="F72" s="17">
        <v>0</v>
      </c>
      <c r="G72" s="17">
        <v>0</v>
      </c>
      <c r="H72" s="17">
        <v>0</v>
      </c>
      <c r="I72" s="17">
        <v>0</v>
      </c>
      <c r="J72" s="9">
        <v>410</v>
      </c>
      <c r="K72" s="9" t="s">
        <v>268</v>
      </c>
      <c r="L72" s="9" t="s">
        <v>269</v>
      </c>
    </row>
    <row r="73" spans="1:12" ht="15" hidden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6" t="s">
        <v>265</v>
      </c>
      <c r="F73" s="17">
        <v>0</v>
      </c>
      <c r="G73" s="17">
        <v>0</v>
      </c>
      <c r="H73" s="17">
        <v>0</v>
      </c>
      <c r="I73" s="17">
        <v>0</v>
      </c>
      <c r="J73" s="9">
        <v>510</v>
      </c>
      <c r="K73" s="9" t="s">
        <v>273</v>
      </c>
      <c r="L73" s="9" t="s">
        <v>274</v>
      </c>
    </row>
    <row r="74" spans="1:12" ht="15" hidden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6" t="s">
        <v>265</v>
      </c>
      <c r="F74" s="17">
        <v>0</v>
      </c>
      <c r="G74" s="17">
        <v>0</v>
      </c>
      <c r="H74" s="17">
        <v>1308</v>
      </c>
      <c r="I74" s="17">
        <v>1320</v>
      </c>
      <c r="J74" s="9">
        <v>510</v>
      </c>
      <c r="K74" s="9" t="s">
        <v>273</v>
      </c>
      <c r="L74" s="9" t="s">
        <v>274</v>
      </c>
    </row>
    <row r="75" spans="1:12" ht="15" hidden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6" t="s">
        <v>265</v>
      </c>
      <c r="F75" s="17">
        <v>0</v>
      </c>
      <c r="G75" s="17">
        <v>0</v>
      </c>
      <c r="H75" s="17">
        <v>654</v>
      </c>
      <c r="I75" s="17">
        <v>660</v>
      </c>
      <c r="J75" s="9">
        <v>510</v>
      </c>
      <c r="K75" s="9" t="s">
        <v>273</v>
      </c>
      <c r="L75" s="9" t="s">
        <v>274</v>
      </c>
    </row>
    <row r="76" spans="1:12" ht="15" hidden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6" t="s">
        <v>265</v>
      </c>
      <c r="F76" s="17">
        <v>0</v>
      </c>
      <c r="G76" s="17">
        <v>0</v>
      </c>
      <c r="H76" s="17">
        <v>3269</v>
      </c>
      <c r="I76" s="17">
        <v>3298</v>
      </c>
      <c r="J76" s="9">
        <v>510</v>
      </c>
      <c r="K76" s="9" t="s">
        <v>273</v>
      </c>
      <c r="L76" s="9" t="s">
        <v>274</v>
      </c>
    </row>
    <row r="77" spans="1:12" ht="15" hidden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6" t="s">
        <v>265</v>
      </c>
      <c r="F77" s="17">
        <v>0</v>
      </c>
      <c r="G77" s="17">
        <v>0</v>
      </c>
      <c r="H77" s="17">
        <v>3269</v>
      </c>
      <c r="I77" s="17">
        <v>3282</v>
      </c>
      <c r="J77" s="9">
        <v>510</v>
      </c>
      <c r="K77" s="9" t="s">
        <v>273</v>
      </c>
      <c r="L77" s="9" t="s">
        <v>274</v>
      </c>
    </row>
    <row r="78" spans="1:12" ht="15" hidden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6" t="s">
        <v>265</v>
      </c>
      <c r="F78" s="17">
        <v>0</v>
      </c>
      <c r="G78" s="17">
        <v>0</v>
      </c>
      <c r="H78" s="17">
        <v>2615</v>
      </c>
      <c r="I78" s="17">
        <v>2626</v>
      </c>
      <c r="J78" s="9">
        <v>510</v>
      </c>
      <c r="K78" s="9" t="s">
        <v>273</v>
      </c>
      <c r="L78" s="9" t="s">
        <v>274</v>
      </c>
    </row>
    <row r="79" spans="1:12" ht="15" hidden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6" t="s">
        <v>265</v>
      </c>
      <c r="F79" s="17">
        <v>0</v>
      </c>
      <c r="G79" s="17">
        <v>0</v>
      </c>
      <c r="H79" s="17">
        <v>3269</v>
      </c>
      <c r="I79" s="17">
        <v>3282</v>
      </c>
      <c r="J79" s="9">
        <v>510</v>
      </c>
      <c r="K79" s="9" t="s">
        <v>273</v>
      </c>
      <c r="L79" s="9" t="s">
        <v>274</v>
      </c>
    </row>
    <row r="80" spans="1:12" ht="15" hidden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6" t="s">
        <v>265</v>
      </c>
      <c r="F80" s="17">
        <v>0</v>
      </c>
      <c r="G80" s="17">
        <v>0</v>
      </c>
      <c r="H80" s="17">
        <v>654</v>
      </c>
      <c r="I80" s="17">
        <v>659</v>
      </c>
      <c r="J80" s="9">
        <v>510</v>
      </c>
      <c r="K80" s="9" t="s">
        <v>273</v>
      </c>
      <c r="L80" s="9" t="s">
        <v>274</v>
      </c>
    </row>
    <row r="81" spans="1:12" ht="15" hidden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6" t="s">
        <v>265</v>
      </c>
      <c r="F81" s="17">
        <v>0</v>
      </c>
      <c r="G81" s="17">
        <v>0</v>
      </c>
      <c r="H81" s="17">
        <v>3269</v>
      </c>
      <c r="I81" s="17">
        <v>3295</v>
      </c>
      <c r="J81" s="9">
        <v>510</v>
      </c>
      <c r="K81" s="9" t="s">
        <v>273</v>
      </c>
      <c r="L81" s="9" t="s">
        <v>274</v>
      </c>
    </row>
  </sheetData>
  <autoFilter ref="A1:L81" xr:uid="{00000000-0009-0000-0000-000003000000}">
    <filterColumn colId="10">
      <filters>
        <filter val="28/04/2025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O80"/>
  <sheetViews>
    <sheetView rightToLeft="1" zoomScale="85" zoomScaleNormal="85" workbookViewId="0">
      <pane ySplit="1" topLeftCell="A2" activePane="bottomLeft" state="frozen"/>
      <selection pane="bottomLeft" activeCell="K26" sqref="K26"/>
    </sheetView>
  </sheetViews>
  <sheetFormatPr defaultRowHeight="14.25" x14ac:dyDescent="0.2"/>
  <cols>
    <col min="1" max="1" width="21" customWidth="1"/>
    <col min="2" max="2" width="8" customWidth="1"/>
    <col min="3" max="3" width="10.5" bestFit="1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287</v>
      </c>
      <c r="D1" s="20" t="s">
        <v>288</v>
      </c>
      <c r="E1" s="20" t="s">
        <v>289</v>
      </c>
      <c r="F1" s="8" t="s">
        <v>290</v>
      </c>
      <c r="G1" s="8" t="s">
        <v>291</v>
      </c>
      <c r="H1" s="8" t="s">
        <v>292</v>
      </c>
      <c r="I1" s="8" t="s">
        <v>293</v>
      </c>
      <c r="J1" s="8" t="s">
        <v>294</v>
      </c>
      <c r="K1" s="8" t="s">
        <v>295</v>
      </c>
      <c r="L1" s="8" t="s">
        <v>296</v>
      </c>
      <c r="M1" s="8" t="s">
        <v>109</v>
      </c>
      <c r="N1" s="8" t="s">
        <v>297</v>
      </c>
      <c r="O1" s="20" t="s">
        <v>297</v>
      </c>
    </row>
    <row r="2" spans="1:15" ht="15" x14ac:dyDescent="0.2">
      <c r="A2" s="9" t="s">
        <v>112</v>
      </c>
      <c r="B2" s="9"/>
      <c r="C2" s="9" t="s">
        <v>3</v>
      </c>
      <c r="D2" t="s">
        <v>215</v>
      </c>
      <c r="E2" t="s">
        <v>215</v>
      </c>
      <c r="F2" s="10">
        <v>1</v>
      </c>
      <c r="G2" s="10">
        <v>1</v>
      </c>
      <c r="H2" s="10">
        <v>1</v>
      </c>
      <c r="I2" s="9">
        <v>0</v>
      </c>
      <c r="J2" s="9">
        <v>876</v>
      </c>
      <c r="K2" s="9">
        <v>873</v>
      </c>
      <c r="L2" s="9">
        <f>K2-J2</f>
        <v>-3</v>
      </c>
      <c r="M2" s="11"/>
      <c r="N2" s="9"/>
      <c r="O2" t="s">
        <v>298</v>
      </c>
    </row>
    <row r="3" spans="1:15" ht="15" hidden="1" x14ac:dyDescent="0.2">
      <c r="A3" s="9" t="s">
        <v>117</v>
      </c>
      <c r="B3" s="9"/>
      <c r="C3" s="9" t="s">
        <v>9</v>
      </c>
      <c r="D3" t="s">
        <v>299</v>
      </c>
      <c r="E3" t="s">
        <v>300</v>
      </c>
      <c r="F3" s="10">
        <v>1</v>
      </c>
      <c r="G3" s="10">
        <v>17</v>
      </c>
      <c r="H3" s="10">
        <v>13</v>
      </c>
      <c r="I3" s="9">
        <v>4</v>
      </c>
      <c r="J3" s="9"/>
      <c r="K3" s="9">
        <v>15431</v>
      </c>
      <c r="L3" s="9"/>
      <c r="M3" s="11"/>
      <c r="N3" s="9"/>
      <c r="O3" t="s">
        <v>301</v>
      </c>
    </row>
    <row r="4" spans="1:15" ht="15" hidden="1" x14ac:dyDescent="0.2">
      <c r="A4" s="9" t="s">
        <v>117</v>
      </c>
      <c r="B4" s="9"/>
      <c r="C4" s="45">
        <v>45931</v>
      </c>
      <c r="D4" s="25">
        <v>45943</v>
      </c>
      <c r="E4" s="25">
        <v>45943</v>
      </c>
      <c r="F4" s="10"/>
      <c r="G4" s="10">
        <v>1</v>
      </c>
      <c r="H4" s="10"/>
      <c r="I4" s="9"/>
      <c r="J4" s="9"/>
      <c r="K4" s="9">
        <v>1042</v>
      </c>
      <c r="L4" s="9"/>
      <c r="M4" s="11"/>
      <c r="N4" s="9"/>
    </row>
    <row r="5" spans="1:15" ht="15" hidden="1" x14ac:dyDescent="0.2">
      <c r="A5" s="9" t="s">
        <v>121</v>
      </c>
      <c r="B5" s="9"/>
      <c r="C5" s="9" t="s">
        <v>1</v>
      </c>
      <c r="D5" t="s">
        <v>182</v>
      </c>
      <c r="E5" t="s">
        <v>197</v>
      </c>
      <c r="F5" s="10">
        <v>1</v>
      </c>
      <c r="G5" s="10">
        <v>3</v>
      </c>
      <c r="H5" s="10">
        <v>3</v>
      </c>
      <c r="I5" s="9">
        <v>0</v>
      </c>
      <c r="J5" s="10">
        <v>2403.1799999999998</v>
      </c>
      <c r="K5" s="9">
        <v>2206</v>
      </c>
      <c r="L5" s="9">
        <f>K5-J5</f>
        <v>-197.17999999999984</v>
      </c>
      <c r="M5" s="52" t="s">
        <v>571</v>
      </c>
      <c r="N5" s="9"/>
      <c r="O5" t="s">
        <v>302</v>
      </c>
    </row>
    <row r="6" spans="1:15" ht="15" hidden="1" x14ac:dyDescent="0.2">
      <c r="A6" s="9" t="s">
        <v>121</v>
      </c>
      <c r="B6" s="9"/>
      <c r="C6" s="9" t="s">
        <v>5</v>
      </c>
      <c r="D6" t="s">
        <v>257</v>
      </c>
      <c r="E6" t="s">
        <v>303</v>
      </c>
      <c r="F6" s="10">
        <v>1</v>
      </c>
      <c r="G6" s="10">
        <v>3</v>
      </c>
      <c r="H6" s="10">
        <v>3</v>
      </c>
      <c r="I6" s="9">
        <v>0</v>
      </c>
      <c r="J6" s="9">
        <f>801.06*H6</f>
        <v>2403.1799999999998</v>
      </c>
      <c r="K6" s="46">
        <v>2408</v>
      </c>
      <c r="L6" s="9">
        <f t="shared" ref="L6:L9" si="0">K6-J6</f>
        <v>4.8200000000001637</v>
      </c>
      <c r="M6" s="52" t="s">
        <v>571</v>
      </c>
      <c r="N6" s="9"/>
      <c r="O6" t="s">
        <v>304</v>
      </c>
    </row>
    <row r="7" spans="1:15" ht="15" hidden="1" x14ac:dyDescent="0.2">
      <c r="A7" s="9" t="s">
        <v>121</v>
      </c>
      <c r="B7" s="9"/>
      <c r="C7" s="9" t="s">
        <v>6</v>
      </c>
      <c r="D7" t="s">
        <v>250</v>
      </c>
      <c r="E7" t="s">
        <v>266</v>
      </c>
      <c r="F7" s="10">
        <v>1</v>
      </c>
      <c r="G7" s="10">
        <v>15</v>
      </c>
      <c r="H7" s="10">
        <v>11</v>
      </c>
      <c r="I7" s="9">
        <v>4</v>
      </c>
      <c r="J7" s="9">
        <f>801.06*H7</f>
        <v>8811.66</v>
      </c>
      <c r="K7" s="9">
        <v>12039</v>
      </c>
      <c r="L7" s="9">
        <f t="shared" si="0"/>
        <v>3227.34</v>
      </c>
      <c r="M7" s="52" t="s">
        <v>571</v>
      </c>
      <c r="N7" s="9"/>
      <c r="O7" t="s">
        <v>305</v>
      </c>
    </row>
    <row r="8" spans="1:15" ht="15" hidden="1" x14ac:dyDescent="0.2">
      <c r="A8" s="9" t="s">
        <v>121</v>
      </c>
      <c r="B8" s="9"/>
      <c r="C8" s="9" t="s">
        <v>7</v>
      </c>
      <c r="D8" t="s">
        <v>306</v>
      </c>
      <c r="E8" t="s">
        <v>241</v>
      </c>
      <c r="F8" s="10">
        <v>1</v>
      </c>
      <c r="G8" s="10">
        <v>3</v>
      </c>
      <c r="H8" s="10">
        <v>3</v>
      </c>
      <c r="I8" s="9">
        <v>0</v>
      </c>
      <c r="J8" s="9">
        <f t="shared" ref="J8" si="1">801.06*H8</f>
        <v>2403.1799999999998</v>
      </c>
      <c r="K8" s="9">
        <v>2409</v>
      </c>
      <c r="L8" s="9">
        <f t="shared" si="0"/>
        <v>5.8200000000001637</v>
      </c>
      <c r="M8" s="52" t="s">
        <v>571</v>
      </c>
      <c r="N8" s="9"/>
      <c r="O8" t="s">
        <v>307</v>
      </c>
    </row>
    <row r="9" spans="1:15" ht="15" hidden="1" x14ac:dyDescent="0.2">
      <c r="A9" s="9" t="s">
        <v>121</v>
      </c>
      <c r="B9" s="9"/>
      <c r="C9" s="9" t="s">
        <v>9</v>
      </c>
      <c r="D9" t="s">
        <v>308</v>
      </c>
      <c r="E9" t="s">
        <v>309</v>
      </c>
      <c r="F9" s="10">
        <v>1</v>
      </c>
      <c r="G9" s="10">
        <v>4</v>
      </c>
      <c r="H9" s="10">
        <v>2</v>
      </c>
      <c r="I9" s="9">
        <v>2</v>
      </c>
      <c r="J9" s="9">
        <f>801.06*H9</f>
        <v>1602.12</v>
      </c>
      <c r="K9" s="9">
        <v>1284</v>
      </c>
      <c r="L9" s="9">
        <f t="shared" si="0"/>
        <v>-318.11999999999989</v>
      </c>
      <c r="M9" s="52" t="s">
        <v>571</v>
      </c>
      <c r="N9" s="9"/>
      <c r="O9" t="s">
        <v>310</v>
      </c>
    </row>
    <row r="10" spans="1:15" ht="15" hidden="1" x14ac:dyDescent="0.2">
      <c r="A10" s="9" t="s">
        <v>125</v>
      </c>
      <c r="B10" s="9"/>
      <c r="C10" s="9" t="s">
        <v>1</v>
      </c>
      <c r="D10" t="s">
        <v>183</v>
      </c>
      <c r="E10" t="s">
        <v>311</v>
      </c>
      <c r="F10" s="10">
        <v>1</v>
      </c>
      <c r="G10" s="10">
        <v>4</v>
      </c>
      <c r="H10" s="10">
        <v>3</v>
      </c>
      <c r="I10" s="9">
        <v>1</v>
      </c>
      <c r="J10" s="9"/>
      <c r="K10" s="9">
        <v>0</v>
      </c>
      <c r="L10" s="9"/>
      <c r="M10" s="12"/>
      <c r="N10" s="9"/>
      <c r="O10" t="s">
        <v>312</v>
      </c>
    </row>
    <row r="11" spans="1:15" ht="15" x14ac:dyDescent="0.2">
      <c r="A11" s="9" t="s">
        <v>125</v>
      </c>
      <c r="B11" s="9"/>
      <c r="C11" s="9" t="s">
        <v>3</v>
      </c>
      <c r="D11" t="s">
        <v>313</v>
      </c>
      <c r="E11" t="s">
        <v>251</v>
      </c>
      <c r="F11" s="10">
        <v>1</v>
      </c>
      <c r="G11" s="10">
        <v>4</v>
      </c>
      <c r="H11" s="10">
        <v>3</v>
      </c>
      <c r="I11" s="9">
        <v>1</v>
      </c>
      <c r="J11" s="9"/>
      <c r="K11" s="9">
        <v>3739</v>
      </c>
      <c r="L11" s="9"/>
      <c r="M11" s="11"/>
      <c r="N11" s="9"/>
      <c r="O11" t="s">
        <v>314</v>
      </c>
    </row>
    <row r="12" spans="1:15" ht="15" hidden="1" x14ac:dyDescent="0.2">
      <c r="A12" s="9" t="s">
        <v>125</v>
      </c>
      <c r="B12" s="9"/>
      <c r="C12" s="9" t="s">
        <v>4</v>
      </c>
      <c r="D12" t="s">
        <v>213</v>
      </c>
      <c r="E12" t="s">
        <v>315</v>
      </c>
      <c r="F12" s="10">
        <v>2</v>
      </c>
      <c r="G12" s="10">
        <v>2</v>
      </c>
      <c r="H12" s="10">
        <v>1</v>
      </c>
      <c r="I12" s="9">
        <v>1</v>
      </c>
      <c r="J12" s="9"/>
      <c r="K12" s="9">
        <f>967+967</f>
        <v>1934</v>
      </c>
      <c r="L12" s="9"/>
      <c r="M12" s="11"/>
      <c r="N12" s="9"/>
      <c r="O12" t="s">
        <v>316</v>
      </c>
    </row>
    <row r="13" spans="1:15" ht="15" hidden="1" x14ac:dyDescent="0.2">
      <c r="A13" s="9" t="s">
        <v>125</v>
      </c>
      <c r="B13" s="9"/>
      <c r="C13" s="9" t="s">
        <v>5</v>
      </c>
      <c r="D13" t="s">
        <v>232</v>
      </c>
      <c r="E13" t="s">
        <v>235</v>
      </c>
      <c r="F13" s="10">
        <v>1</v>
      </c>
      <c r="G13" s="10">
        <v>21</v>
      </c>
      <c r="H13" s="10">
        <v>15</v>
      </c>
      <c r="I13" s="9">
        <v>6</v>
      </c>
      <c r="J13" s="9"/>
      <c r="K13" s="9">
        <v>14425</v>
      </c>
      <c r="L13" s="9"/>
      <c r="M13" s="11"/>
      <c r="N13" s="9"/>
      <c r="O13" t="s">
        <v>317</v>
      </c>
    </row>
    <row r="14" spans="1:15" ht="15" hidden="1" x14ac:dyDescent="0.2">
      <c r="A14" s="9" t="s">
        <v>125</v>
      </c>
      <c r="B14" s="9"/>
      <c r="C14" s="9" t="s">
        <v>8</v>
      </c>
      <c r="D14" t="s">
        <v>318</v>
      </c>
      <c r="E14" t="s">
        <v>319</v>
      </c>
      <c r="F14" s="10">
        <v>1</v>
      </c>
      <c r="G14" s="10">
        <v>5</v>
      </c>
      <c r="H14" s="10">
        <v>4</v>
      </c>
      <c r="I14" s="9">
        <v>1</v>
      </c>
      <c r="J14" s="9"/>
      <c r="K14" s="44">
        <v>4673</v>
      </c>
      <c r="L14" s="9"/>
      <c r="M14" s="11"/>
      <c r="N14" s="9"/>
      <c r="O14" t="s">
        <v>320</v>
      </c>
    </row>
    <row r="15" spans="1:15" ht="15" hidden="1" x14ac:dyDescent="0.2">
      <c r="A15" s="9" t="s">
        <v>128</v>
      </c>
      <c r="B15" s="9"/>
      <c r="C15" s="9" t="s">
        <v>1</v>
      </c>
      <c r="D15" t="s">
        <v>321</v>
      </c>
      <c r="E15" t="s">
        <v>322</v>
      </c>
      <c r="F15" s="10">
        <v>1</v>
      </c>
      <c r="G15" s="10">
        <v>5</v>
      </c>
      <c r="H15" s="10">
        <v>4</v>
      </c>
      <c r="I15" s="9">
        <v>1</v>
      </c>
      <c r="J15" s="9"/>
      <c r="K15" s="9">
        <v>0</v>
      </c>
      <c r="L15" s="9"/>
      <c r="M15" s="12"/>
      <c r="N15" s="9"/>
      <c r="O15" t="s">
        <v>323</v>
      </c>
    </row>
    <row r="16" spans="1:15" ht="15" hidden="1" x14ac:dyDescent="0.2">
      <c r="A16" s="9" t="s">
        <v>128</v>
      </c>
      <c r="B16" s="9"/>
      <c r="C16" s="9" t="s">
        <v>4</v>
      </c>
      <c r="D16" t="s">
        <v>324</v>
      </c>
      <c r="E16" t="s">
        <v>325</v>
      </c>
      <c r="F16" s="10">
        <v>1</v>
      </c>
      <c r="G16" s="10">
        <v>38</v>
      </c>
      <c r="H16" s="10">
        <v>28</v>
      </c>
      <c r="I16" s="9">
        <v>10</v>
      </c>
      <c r="J16" s="9"/>
      <c r="K16" s="9">
        <f>5078+16362</f>
        <v>21440</v>
      </c>
      <c r="L16" s="9"/>
      <c r="M16" s="11"/>
      <c r="N16" s="9"/>
      <c r="O16" t="s">
        <v>326</v>
      </c>
    </row>
    <row r="17" spans="1:15" ht="15" hidden="1" x14ac:dyDescent="0.2">
      <c r="A17" s="9" t="s">
        <v>128</v>
      </c>
      <c r="B17" s="9"/>
      <c r="C17" s="9" t="s">
        <v>6</v>
      </c>
      <c r="D17" t="s">
        <v>327</v>
      </c>
      <c r="E17" t="s">
        <v>239</v>
      </c>
      <c r="F17" s="10">
        <v>1</v>
      </c>
      <c r="G17" s="10">
        <v>28</v>
      </c>
      <c r="H17" s="10">
        <v>20</v>
      </c>
      <c r="I17" s="9">
        <v>8</v>
      </c>
      <c r="J17" s="9"/>
      <c r="K17" s="9">
        <v>15114</v>
      </c>
      <c r="L17" s="9"/>
      <c r="M17" s="11"/>
      <c r="N17" s="9"/>
      <c r="O17" t="s">
        <v>328</v>
      </c>
    </row>
    <row r="18" spans="1:15" ht="15" hidden="1" x14ac:dyDescent="0.2">
      <c r="A18" s="9" t="s">
        <v>128</v>
      </c>
      <c r="B18" s="9"/>
      <c r="C18" s="9" t="s">
        <v>7</v>
      </c>
      <c r="D18" t="s">
        <v>329</v>
      </c>
      <c r="E18" t="s">
        <v>330</v>
      </c>
      <c r="F18" s="10">
        <v>2</v>
      </c>
      <c r="G18" s="10">
        <v>3</v>
      </c>
      <c r="H18" s="10">
        <v>2</v>
      </c>
      <c r="I18" s="9">
        <v>1</v>
      </c>
      <c r="J18" s="9"/>
      <c r="K18" s="9">
        <f>540+1080</f>
        <v>1620</v>
      </c>
      <c r="L18" s="9"/>
      <c r="M18" s="11"/>
      <c r="N18" s="9"/>
      <c r="O18" t="s">
        <v>331</v>
      </c>
    </row>
    <row r="19" spans="1:15" ht="15" hidden="1" x14ac:dyDescent="0.2">
      <c r="A19" s="9" t="s">
        <v>128</v>
      </c>
      <c r="B19" s="9"/>
      <c r="C19" s="9" t="s">
        <v>8</v>
      </c>
      <c r="D19" t="s">
        <v>332</v>
      </c>
      <c r="E19" t="s">
        <v>333</v>
      </c>
      <c r="F19" s="10">
        <v>1</v>
      </c>
      <c r="G19" s="10">
        <v>2</v>
      </c>
      <c r="H19" s="10">
        <v>2</v>
      </c>
      <c r="I19" s="9">
        <v>0</v>
      </c>
      <c r="J19" s="9"/>
      <c r="K19" s="9">
        <v>0</v>
      </c>
      <c r="L19" s="9"/>
      <c r="M19" s="11"/>
      <c r="N19" s="9"/>
      <c r="O19" t="s">
        <v>334</v>
      </c>
    </row>
    <row r="20" spans="1:15" ht="15" hidden="1" x14ac:dyDescent="0.2">
      <c r="A20" s="9" t="s">
        <v>128</v>
      </c>
      <c r="B20" s="9"/>
      <c r="C20" s="9" t="s">
        <v>9</v>
      </c>
      <c r="D20" t="s">
        <v>335</v>
      </c>
      <c r="E20" t="s">
        <v>336</v>
      </c>
      <c r="F20" s="10">
        <v>2</v>
      </c>
      <c r="G20" s="10">
        <v>4</v>
      </c>
      <c r="H20" s="10">
        <v>4</v>
      </c>
      <c r="I20" s="9">
        <v>0</v>
      </c>
      <c r="J20" s="9"/>
      <c r="K20" s="9">
        <v>0</v>
      </c>
      <c r="L20" s="9"/>
      <c r="M20" s="11"/>
      <c r="N20" s="9"/>
      <c r="O20" t="s">
        <v>337</v>
      </c>
    </row>
    <row r="21" spans="1:15" ht="15" hidden="1" x14ac:dyDescent="0.2">
      <c r="A21" s="9" t="s">
        <v>131</v>
      </c>
      <c r="B21" s="9"/>
      <c r="C21" s="9" t="s">
        <v>6</v>
      </c>
      <c r="D21" t="s">
        <v>248</v>
      </c>
      <c r="E21" t="s">
        <v>248</v>
      </c>
      <c r="F21" s="10">
        <v>1</v>
      </c>
      <c r="G21" s="10">
        <v>1</v>
      </c>
      <c r="H21" s="10">
        <v>1</v>
      </c>
      <c r="I21" s="9">
        <v>0</v>
      </c>
      <c r="J21" s="9"/>
      <c r="K21" s="9">
        <v>1497</v>
      </c>
      <c r="L21" s="9"/>
      <c r="M21" s="11"/>
      <c r="N21" s="9"/>
      <c r="O21" t="s">
        <v>338</v>
      </c>
    </row>
    <row r="22" spans="1:15" ht="15" hidden="1" x14ac:dyDescent="0.2">
      <c r="A22" s="9" t="s">
        <v>134</v>
      </c>
      <c r="B22" s="9"/>
      <c r="C22" s="9" t="s">
        <v>2</v>
      </c>
      <c r="D22" t="s">
        <v>339</v>
      </c>
      <c r="E22" t="s">
        <v>227</v>
      </c>
      <c r="F22" s="10">
        <v>2</v>
      </c>
      <c r="G22" s="10">
        <v>2</v>
      </c>
      <c r="H22" s="10">
        <v>1</v>
      </c>
      <c r="I22" s="9">
        <v>1</v>
      </c>
      <c r="J22" s="9"/>
      <c r="K22" s="9">
        <v>0</v>
      </c>
      <c r="L22" s="9"/>
      <c r="M22" s="11"/>
      <c r="N22" s="9"/>
      <c r="O22" t="s">
        <v>340</v>
      </c>
    </row>
    <row r="23" spans="1:15" ht="15" hidden="1" x14ac:dyDescent="0.2">
      <c r="A23" s="9" t="s">
        <v>134</v>
      </c>
      <c r="B23" s="9"/>
      <c r="C23" s="9" t="s">
        <v>6</v>
      </c>
      <c r="D23" t="s">
        <v>250</v>
      </c>
      <c r="E23" t="s">
        <v>341</v>
      </c>
      <c r="F23" s="10">
        <v>1</v>
      </c>
      <c r="G23" s="10">
        <v>18</v>
      </c>
      <c r="H23" s="10">
        <v>12</v>
      </c>
      <c r="I23" s="9">
        <v>6</v>
      </c>
      <c r="J23" s="9"/>
      <c r="K23" s="9">
        <f>5458+1624</f>
        <v>7082</v>
      </c>
      <c r="L23" s="9"/>
      <c r="M23" s="11"/>
      <c r="N23" s="9"/>
      <c r="O23" t="s">
        <v>342</v>
      </c>
    </row>
    <row r="24" spans="1:15" ht="15" hidden="1" x14ac:dyDescent="0.2">
      <c r="A24" s="9" t="s">
        <v>139</v>
      </c>
      <c r="B24" s="9"/>
      <c r="C24" s="9" t="s">
        <v>1</v>
      </c>
      <c r="D24" t="s">
        <v>182</v>
      </c>
      <c r="E24" t="s">
        <v>184</v>
      </c>
      <c r="F24" s="10">
        <v>2</v>
      </c>
      <c r="G24" s="10">
        <v>6</v>
      </c>
      <c r="H24" s="10">
        <v>5</v>
      </c>
      <c r="I24" s="9">
        <v>1</v>
      </c>
      <c r="J24" s="9"/>
      <c r="K24" s="9">
        <v>5819</v>
      </c>
      <c r="L24" s="9"/>
      <c r="M24" s="11"/>
      <c r="N24" s="9"/>
      <c r="O24" t="s">
        <v>343</v>
      </c>
    </row>
    <row r="25" spans="1:15" ht="15" hidden="1" x14ac:dyDescent="0.2">
      <c r="A25" s="9" t="s">
        <v>139</v>
      </c>
      <c r="B25" s="9"/>
      <c r="C25" s="9" t="s">
        <v>2</v>
      </c>
      <c r="D25" t="s">
        <v>218</v>
      </c>
      <c r="E25" t="s">
        <v>221</v>
      </c>
      <c r="F25" s="10">
        <v>3</v>
      </c>
      <c r="G25" s="10">
        <v>4</v>
      </c>
      <c r="H25" s="10">
        <v>4</v>
      </c>
      <c r="I25" s="9">
        <v>0</v>
      </c>
      <c r="J25" s="9"/>
      <c r="K25" s="9">
        <v>4635</v>
      </c>
      <c r="L25" s="9"/>
      <c r="M25" s="11"/>
      <c r="N25" s="9"/>
      <c r="O25" t="s">
        <v>344</v>
      </c>
    </row>
    <row r="26" spans="1:15" ht="15" x14ac:dyDescent="0.2">
      <c r="A26" s="9" t="s">
        <v>139</v>
      </c>
      <c r="B26" s="9"/>
      <c r="C26" s="9" t="s">
        <v>3</v>
      </c>
      <c r="D26" t="s">
        <v>222</v>
      </c>
      <c r="E26" t="s">
        <v>243</v>
      </c>
      <c r="F26" s="10">
        <v>3</v>
      </c>
      <c r="G26" s="10">
        <v>9</v>
      </c>
      <c r="H26" s="10">
        <v>8</v>
      </c>
      <c r="I26" s="9">
        <v>1</v>
      </c>
      <c r="J26" s="9"/>
      <c r="K26" s="9">
        <v>6038</v>
      </c>
      <c r="L26" s="9"/>
      <c r="M26" s="11"/>
      <c r="N26" s="9"/>
      <c r="O26" t="s">
        <v>345</v>
      </c>
    </row>
    <row r="27" spans="1:15" ht="15" hidden="1" x14ac:dyDescent="0.2">
      <c r="A27" s="9" t="s">
        <v>139</v>
      </c>
      <c r="B27" s="9"/>
      <c r="C27" s="9" t="s">
        <v>4</v>
      </c>
      <c r="D27" t="s">
        <v>244</v>
      </c>
      <c r="E27" t="s">
        <v>245</v>
      </c>
      <c r="F27" s="10">
        <v>1</v>
      </c>
      <c r="G27" s="10">
        <v>2</v>
      </c>
      <c r="H27" s="10">
        <v>2</v>
      </c>
      <c r="I27" s="9">
        <v>0</v>
      </c>
      <c r="J27" s="9"/>
      <c r="K27" s="9">
        <v>6268</v>
      </c>
      <c r="L27" s="9"/>
      <c r="M27" s="11"/>
      <c r="N27" s="9"/>
      <c r="O27" t="s">
        <v>346</v>
      </c>
    </row>
    <row r="28" spans="1:15" ht="15" hidden="1" x14ac:dyDescent="0.2">
      <c r="A28" s="9" t="s">
        <v>139</v>
      </c>
      <c r="B28" s="9"/>
      <c r="C28" s="9" t="s">
        <v>5</v>
      </c>
      <c r="D28" t="s">
        <v>347</v>
      </c>
      <c r="E28" t="s">
        <v>247</v>
      </c>
      <c r="F28" s="10">
        <v>3</v>
      </c>
      <c r="G28" s="10">
        <v>6</v>
      </c>
      <c r="H28" s="10">
        <v>6</v>
      </c>
      <c r="I28" s="9">
        <v>0</v>
      </c>
      <c r="J28" s="9"/>
      <c r="K28" s="9">
        <v>7821</v>
      </c>
      <c r="L28" s="9"/>
      <c r="M28" s="11"/>
      <c r="N28" s="9"/>
      <c r="O28" t="s">
        <v>348</v>
      </c>
    </row>
    <row r="29" spans="1:15" ht="15" hidden="1" x14ac:dyDescent="0.2">
      <c r="A29" s="9" t="s">
        <v>139</v>
      </c>
      <c r="B29" s="9"/>
      <c r="C29" s="9" t="s">
        <v>6</v>
      </c>
      <c r="D29" t="s">
        <v>248</v>
      </c>
      <c r="E29" t="s">
        <v>250</v>
      </c>
      <c r="F29" s="10">
        <v>2</v>
      </c>
      <c r="G29" s="10">
        <v>3</v>
      </c>
      <c r="H29" s="10">
        <v>3</v>
      </c>
      <c r="I29" s="9">
        <v>0</v>
      </c>
      <c r="J29" s="9"/>
      <c r="K29" s="47">
        <v>6268</v>
      </c>
      <c r="L29" s="9"/>
      <c r="M29" s="11"/>
      <c r="N29" s="9"/>
      <c r="O29" t="s">
        <v>349</v>
      </c>
    </row>
    <row r="30" spans="1:15" ht="15" hidden="1" x14ac:dyDescent="0.2">
      <c r="A30" s="9" t="s">
        <v>139</v>
      </c>
      <c r="B30" s="9"/>
      <c r="C30" s="9" t="s">
        <v>7</v>
      </c>
      <c r="D30" t="s">
        <v>330</v>
      </c>
      <c r="E30" t="s">
        <v>241</v>
      </c>
      <c r="F30" s="10">
        <v>1</v>
      </c>
      <c r="G30" s="10">
        <v>4</v>
      </c>
      <c r="H30" s="10">
        <v>4</v>
      </c>
      <c r="I30" s="9">
        <v>0</v>
      </c>
      <c r="J30" s="9"/>
      <c r="K30" s="47">
        <v>6268</v>
      </c>
      <c r="L30" s="9"/>
      <c r="M30" s="11"/>
      <c r="N30" s="9"/>
      <c r="O30" t="s">
        <v>350</v>
      </c>
    </row>
    <row r="31" spans="1:15" ht="15" hidden="1" x14ac:dyDescent="0.2">
      <c r="A31" s="9" t="s">
        <v>139</v>
      </c>
      <c r="B31" s="9"/>
      <c r="C31" s="9" t="s">
        <v>9</v>
      </c>
      <c r="D31" t="s">
        <v>300</v>
      </c>
      <c r="E31" t="s">
        <v>300</v>
      </c>
      <c r="F31" s="10">
        <v>1</v>
      </c>
      <c r="G31" s="51">
        <v>2</v>
      </c>
      <c r="H31" s="10">
        <v>2</v>
      </c>
      <c r="I31" s="9">
        <v>0</v>
      </c>
      <c r="J31" s="9"/>
      <c r="K31" s="47">
        <v>3038</v>
      </c>
      <c r="L31" s="44" t="s">
        <v>568</v>
      </c>
      <c r="M31" s="11"/>
      <c r="N31" s="9"/>
      <c r="O31" t="s">
        <v>351</v>
      </c>
    </row>
    <row r="32" spans="1:15" ht="15" hidden="1" x14ac:dyDescent="0.2">
      <c r="A32" s="9" t="s">
        <v>139</v>
      </c>
      <c r="B32" s="9"/>
      <c r="C32" s="45">
        <v>45931</v>
      </c>
      <c r="D32" t="s">
        <v>569</v>
      </c>
      <c r="E32" s="25">
        <v>45952</v>
      </c>
      <c r="F32" s="10"/>
      <c r="G32" s="51">
        <v>2</v>
      </c>
      <c r="H32" s="10"/>
      <c r="I32" s="9"/>
      <c r="J32" s="9"/>
      <c r="K32" s="9">
        <v>899</v>
      </c>
      <c r="L32" s="9"/>
      <c r="M32" s="11"/>
      <c r="N32" s="9"/>
    </row>
    <row r="33" spans="1:15" ht="15" hidden="1" x14ac:dyDescent="0.2">
      <c r="A33" s="9" t="s">
        <v>142</v>
      </c>
      <c r="B33" s="9"/>
      <c r="C33" s="9" t="s">
        <v>7</v>
      </c>
      <c r="D33" t="s">
        <v>352</v>
      </c>
      <c r="E33" t="s">
        <v>353</v>
      </c>
      <c r="F33" s="10">
        <v>3</v>
      </c>
      <c r="G33" s="10">
        <v>6</v>
      </c>
      <c r="H33" s="10">
        <v>6</v>
      </c>
      <c r="I33" s="9">
        <v>0</v>
      </c>
      <c r="J33" s="9"/>
      <c r="K33" s="46">
        <f>450+899+1348</f>
        <v>2697</v>
      </c>
      <c r="L33" s="9"/>
      <c r="M33" s="11"/>
      <c r="N33" s="9"/>
      <c r="O33" t="s">
        <v>354</v>
      </c>
    </row>
    <row r="34" spans="1:15" ht="15" hidden="1" x14ac:dyDescent="0.2">
      <c r="A34" s="9" t="s">
        <v>142</v>
      </c>
      <c r="B34" s="9"/>
      <c r="C34" s="9" t="s">
        <v>8</v>
      </c>
      <c r="D34" t="s">
        <v>355</v>
      </c>
      <c r="E34" t="s">
        <v>356</v>
      </c>
      <c r="F34" s="10">
        <v>3</v>
      </c>
      <c r="G34" s="10">
        <v>3</v>
      </c>
      <c r="H34" s="10">
        <v>3</v>
      </c>
      <c r="I34" s="9">
        <v>0</v>
      </c>
      <c r="J34" s="9"/>
      <c r="K34" s="9">
        <v>0</v>
      </c>
      <c r="L34" s="9"/>
      <c r="M34" s="11"/>
      <c r="N34" s="9"/>
      <c r="O34" t="s">
        <v>357</v>
      </c>
    </row>
    <row r="35" spans="1:15" ht="15" hidden="1" x14ac:dyDescent="0.2">
      <c r="A35" s="9" t="s">
        <v>142</v>
      </c>
      <c r="B35" s="9"/>
      <c r="C35" s="9" t="s">
        <v>9</v>
      </c>
      <c r="D35" t="s">
        <v>286</v>
      </c>
      <c r="E35" t="s">
        <v>358</v>
      </c>
      <c r="F35" s="10">
        <v>2</v>
      </c>
      <c r="G35" s="10">
        <v>3</v>
      </c>
      <c r="H35" s="10">
        <v>2</v>
      </c>
      <c r="I35" s="9">
        <v>1</v>
      </c>
      <c r="J35" s="9"/>
      <c r="K35" s="9">
        <v>0</v>
      </c>
      <c r="L35" s="9"/>
      <c r="M35" s="11"/>
      <c r="N35" s="9"/>
      <c r="O35" t="s">
        <v>359</v>
      </c>
    </row>
    <row r="36" spans="1:15" ht="15" x14ac:dyDescent="0.2">
      <c r="A36" s="9" t="s">
        <v>145</v>
      </c>
      <c r="B36" s="9"/>
      <c r="C36" s="9" t="s">
        <v>3</v>
      </c>
      <c r="D36" t="s">
        <v>252</v>
      </c>
      <c r="E36" t="s">
        <v>252</v>
      </c>
      <c r="F36" s="10">
        <v>1</v>
      </c>
      <c r="G36" s="10">
        <v>1</v>
      </c>
      <c r="H36" s="10">
        <v>1</v>
      </c>
      <c r="I36" s="9">
        <v>0</v>
      </c>
      <c r="J36" s="9"/>
      <c r="K36" s="44">
        <v>853</v>
      </c>
      <c r="L36" s="9"/>
      <c r="M36" s="11"/>
      <c r="N36" s="9"/>
      <c r="O36" t="s">
        <v>360</v>
      </c>
    </row>
    <row r="37" spans="1:15" ht="15" hidden="1" x14ac:dyDescent="0.2">
      <c r="A37" s="9" t="s">
        <v>145</v>
      </c>
      <c r="B37" s="9"/>
      <c r="C37" s="9" t="s">
        <v>5</v>
      </c>
      <c r="D37" t="s">
        <v>236</v>
      </c>
      <c r="E37" t="s">
        <v>259</v>
      </c>
      <c r="F37" s="10">
        <v>1</v>
      </c>
      <c r="G37" s="10">
        <v>3</v>
      </c>
      <c r="H37" s="10">
        <v>2</v>
      </c>
      <c r="I37" s="9">
        <v>1</v>
      </c>
      <c r="J37" s="9"/>
      <c r="K37" s="46">
        <v>2605</v>
      </c>
      <c r="L37" s="9"/>
      <c r="M37" s="11"/>
      <c r="N37" s="9"/>
      <c r="O37" t="s">
        <v>361</v>
      </c>
    </row>
    <row r="38" spans="1:15" ht="15" hidden="1" x14ac:dyDescent="0.2">
      <c r="A38" s="9" t="s">
        <v>145</v>
      </c>
      <c r="B38" s="9"/>
      <c r="C38" s="9" t="s">
        <v>6</v>
      </c>
      <c r="D38" t="s">
        <v>362</v>
      </c>
      <c r="E38" t="s">
        <v>363</v>
      </c>
      <c r="F38" s="10">
        <v>1</v>
      </c>
      <c r="G38" s="10">
        <v>8</v>
      </c>
      <c r="H38" s="10">
        <v>6</v>
      </c>
      <c r="I38" s="9">
        <v>2</v>
      </c>
      <c r="J38" s="9"/>
      <c r="K38" s="44">
        <v>4961</v>
      </c>
      <c r="L38" s="9"/>
      <c r="M38" s="11"/>
      <c r="N38" s="9"/>
      <c r="O38" t="s">
        <v>364</v>
      </c>
    </row>
    <row r="39" spans="1:15" ht="15" hidden="1" x14ac:dyDescent="0.2">
      <c r="A39" s="9" t="s">
        <v>145</v>
      </c>
      <c r="B39" s="9"/>
      <c r="C39" s="9" t="s">
        <v>7</v>
      </c>
      <c r="D39" t="s">
        <v>365</v>
      </c>
      <c r="E39" t="s">
        <v>306</v>
      </c>
      <c r="F39" s="10">
        <v>1</v>
      </c>
      <c r="G39" s="10">
        <v>3</v>
      </c>
      <c r="H39" s="10">
        <v>2</v>
      </c>
      <c r="I39" s="9">
        <v>1</v>
      </c>
      <c r="J39" s="9"/>
      <c r="K39" s="46">
        <v>2546</v>
      </c>
      <c r="L39" s="9"/>
      <c r="M39" s="11"/>
      <c r="N39" s="9"/>
      <c r="O39" t="s">
        <v>366</v>
      </c>
    </row>
    <row r="40" spans="1:15" ht="15" hidden="1" x14ac:dyDescent="0.2">
      <c r="A40" s="9" t="s">
        <v>145</v>
      </c>
      <c r="B40" s="9"/>
      <c r="C40" s="9" t="s">
        <v>8</v>
      </c>
      <c r="D40" t="s">
        <v>318</v>
      </c>
      <c r="E40" t="s">
        <v>367</v>
      </c>
      <c r="F40" s="10">
        <v>1</v>
      </c>
      <c r="G40" s="10">
        <v>4</v>
      </c>
      <c r="H40" s="10">
        <v>3</v>
      </c>
      <c r="I40" s="9">
        <v>1</v>
      </c>
      <c r="J40" s="9"/>
      <c r="K40" s="44">
        <v>3350</v>
      </c>
      <c r="L40" s="9"/>
      <c r="M40" s="11"/>
      <c r="N40" s="9"/>
      <c r="O40" t="s">
        <v>368</v>
      </c>
    </row>
    <row r="41" spans="1:15" ht="15" hidden="1" x14ac:dyDescent="0.2">
      <c r="A41" s="9" t="s">
        <v>145</v>
      </c>
      <c r="B41" s="9"/>
      <c r="C41" s="45">
        <v>45931</v>
      </c>
      <c r="D41" s="25">
        <v>45956</v>
      </c>
      <c r="E41" s="25">
        <v>45959</v>
      </c>
      <c r="F41" s="10"/>
      <c r="G41" s="10">
        <v>4</v>
      </c>
      <c r="H41" s="10"/>
      <c r="I41" s="9"/>
      <c r="J41" s="9"/>
      <c r="K41" s="46">
        <v>3473</v>
      </c>
      <c r="L41" s="9"/>
      <c r="M41" s="11"/>
      <c r="N41" s="9"/>
    </row>
    <row r="42" spans="1:15" ht="15" hidden="1" x14ac:dyDescent="0.2">
      <c r="A42" s="9" t="s">
        <v>149</v>
      </c>
      <c r="B42" s="9"/>
      <c r="C42" s="9" t="s">
        <v>1</v>
      </c>
      <c r="D42" t="s">
        <v>311</v>
      </c>
      <c r="E42" t="s">
        <v>322</v>
      </c>
      <c r="F42" s="10">
        <v>1</v>
      </c>
      <c r="G42" s="10">
        <v>9</v>
      </c>
      <c r="H42" s="10">
        <v>7</v>
      </c>
      <c r="I42" s="9">
        <v>2</v>
      </c>
      <c r="J42" s="9"/>
      <c r="K42" s="9">
        <v>0</v>
      </c>
      <c r="L42" s="9"/>
      <c r="M42" s="12"/>
      <c r="N42" s="9"/>
      <c r="O42" t="s">
        <v>369</v>
      </c>
    </row>
    <row r="43" spans="1:15" ht="15" hidden="1" x14ac:dyDescent="0.2">
      <c r="A43" s="9" t="s">
        <v>149</v>
      </c>
      <c r="B43" s="9"/>
      <c r="C43" s="9" t="s">
        <v>4</v>
      </c>
      <c r="D43" t="s">
        <v>324</v>
      </c>
      <c r="E43" t="s">
        <v>370</v>
      </c>
      <c r="F43" s="10">
        <v>1</v>
      </c>
      <c r="G43" s="10">
        <v>3</v>
      </c>
      <c r="H43" s="10">
        <v>3</v>
      </c>
      <c r="I43" s="9">
        <v>0</v>
      </c>
      <c r="J43" s="9"/>
      <c r="K43" s="9">
        <v>2297</v>
      </c>
      <c r="L43" s="9"/>
      <c r="M43" s="11"/>
      <c r="N43" s="9"/>
      <c r="O43" t="s">
        <v>371</v>
      </c>
    </row>
    <row r="44" spans="1:15" ht="15" hidden="1" x14ac:dyDescent="0.2">
      <c r="A44" s="9" t="s">
        <v>149</v>
      </c>
      <c r="B44" s="9"/>
      <c r="C44" s="9" t="s">
        <v>5</v>
      </c>
      <c r="D44" t="s">
        <v>372</v>
      </c>
      <c r="E44" t="s">
        <v>373</v>
      </c>
      <c r="F44" s="10">
        <v>2</v>
      </c>
      <c r="G44" s="10">
        <v>8</v>
      </c>
      <c r="H44" s="10">
        <v>8</v>
      </c>
      <c r="I44" s="9">
        <v>0</v>
      </c>
      <c r="J44" s="9"/>
      <c r="K44" s="9">
        <f>2546+4243</f>
        <v>6789</v>
      </c>
      <c r="L44" s="9"/>
      <c r="M44" s="11"/>
      <c r="N44" s="9"/>
      <c r="O44" t="s">
        <v>374</v>
      </c>
    </row>
    <row r="45" spans="1:15" ht="15" hidden="1" x14ac:dyDescent="0.2">
      <c r="A45" s="9" t="s">
        <v>149</v>
      </c>
      <c r="B45" s="9"/>
      <c r="C45" s="9" t="s">
        <v>6</v>
      </c>
      <c r="D45" t="s">
        <v>375</v>
      </c>
      <c r="E45" t="s">
        <v>376</v>
      </c>
      <c r="F45" s="10">
        <v>1</v>
      </c>
      <c r="G45" s="10">
        <v>5</v>
      </c>
      <c r="H45" s="10">
        <v>3</v>
      </c>
      <c r="I45" s="9">
        <v>2</v>
      </c>
      <c r="J45" s="9"/>
      <c r="K45" s="9">
        <v>4243</v>
      </c>
      <c r="L45" s="9"/>
      <c r="M45" s="11"/>
      <c r="N45" s="9"/>
      <c r="O45" t="s">
        <v>377</v>
      </c>
    </row>
    <row r="46" spans="1:15" ht="15" hidden="1" x14ac:dyDescent="0.2">
      <c r="A46" s="9" t="s">
        <v>149</v>
      </c>
      <c r="B46" s="9"/>
      <c r="C46" s="9" t="s">
        <v>7</v>
      </c>
      <c r="D46" t="s">
        <v>378</v>
      </c>
      <c r="E46" t="s">
        <v>378</v>
      </c>
      <c r="F46" s="10">
        <v>1</v>
      </c>
      <c r="G46" s="10">
        <v>1</v>
      </c>
      <c r="H46" s="10">
        <v>1</v>
      </c>
      <c r="I46" s="9">
        <v>0</v>
      </c>
      <c r="J46" s="9"/>
      <c r="K46" s="9">
        <v>424</v>
      </c>
      <c r="L46" s="9"/>
      <c r="M46" s="11"/>
      <c r="N46" s="9"/>
      <c r="O46" t="s">
        <v>379</v>
      </c>
    </row>
    <row r="47" spans="1:15" ht="15" hidden="1" x14ac:dyDescent="0.2">
      <c r="A47" s="9" t="s">
        <v>149</v>
      </c>
      <c r="B47" s="9"/>
      <c r="C47" s="9" t="s">
        <v>8</v>
      </c>
      <c r="D47" t="s">
        <v>380</v>
      </c>
      <c r="E47" t="s">
        <v>319</v>
      </c>
      <c r="F47" s="10">
        <v>2</v>
      </c>
      <c r="G47" s="10">
        <v>6</v>
      </c>
      <c r="H47" s="10">
        <v>6</v>
      </c>
      <c r="I47" s="9">
        <v>0</v>
      </c>
      <c r="J47" s="9"/>
      <c r="K47" s="9">
        <v>0</v>
      </c>
      <c r="L47" s="9"/>
      <c r="M47" s="11"/>
      <c r="N47" s="9"/>
      <c r="O47" t="s">
        <v>381</v>
      </c>
    </row>
    <row r="48" spans="1:15" ht="15" hidden="1" x14ac:dyDescent="0.2">
      <c r="A48" s="9" t="s">
        <v>152</v>
      </c>
      <c r="B48" s="9"/>
      <c r="C48" s="9" t="s">
        <v>1</v>
      </c>
      <c r="D48" t="s">
        <v>177</v>
      </c>
      <c r="E48" t="s">
        <v>181</v>
      </c>
      <c r="F48" s="10">
        <v>2</v>
      </c>
      <c r="G48" s="10">
        <v>2</v>
      </c>
      <c r="H48" s="10">
        <v>2</v>
      </c>
      <c r="I48" s="9">
        <v>0</v>
      </c>
      <c r="J48" s="9"/>
      <c r="K48" s="9">
        <v>0</v>
      </c>
      <c r="L48" s="9"/>
      <c r="M48" s="11"/>
      <c r="N48" s="9"/>
      <c r="O48" t="s">
        <v>382</v>
      </c>
    </row>
    <row r="49" spans="1:15" ht="15" hidden="1" x14ac:dyDescent="0.2">
      <c r="A49" s="9" t="s">
        <v>152</v>
      </c>
      <c r="B49" s="9"/>
      <c r="C49" s="9" t="s">
        <v>2</v>
      </c>
      <c r="D49" t="s">
        <v>211</v>
      </c>
      <c r="E49" t="s">
        <v>212</v>
      </c>
      <c r="F49" s="10">
        <v>1</v>
      </c>
      <c r="G49" s="10">
        <v>5</v>
      </c>
      <c r="H49" s="10">
        <v>5</v>
      </c>
      <c r="I49" s="9">
        <v>0</v>
      </c>
      <c r="J49" s="9"/>
      <c r="K49" s="9">
        <v>0</v>
      </c>
      <c r="L49" s="9"/>
      <c r="M49" s="11"/>
      <c r="N49" s="9"/>
      <c r="O49" t="s">
        <v>383</v>
      </c>
    </row>
    <row r="50" spans="1:15" ht="15" x14ac:dyDescent="0.2">
      <c r="A50" s="9" t="s">
        <v>152</v>
      </c>
      <c r="B50" s="9"/>
      <c r="C50" s="9" t="s">
        <v>3</v>
      </c>
      <c r="D50" t="s">
        <v>215</v>
      </c>
      <c r="E50" t="s">
        <v>217</v>
      </c>
      <c r="F50" s="10">
        <v>2</v>
      </c>
      <c r="G50" s="10">
        <v>3</v>
      </c>
      <c r="H50" s="10">
        <v>3</v>
      </c>
      <c r="I50" s="9">
        <v>0</v>
      </c>
      <c r="J50" s="9"/>
      <c r="K50" s="9">
        <v>0</v>
      </c>
      <c r="L50" s="9"/>
      <c r="M50" s="11"/>
      <c r="N50" s="9"/>
      <c r="O50" t="s">
        <v>384</v>
      </c>
    </row>
    <row r="51" spans="1:15" ht="15" hidden="1" x14ac:dyDescent="0.2">
      <c r="A51" s="9" t="s">
        <v>152</v>
      </c>
      <c r="B51" s="9"/>
      <c r="C51" s="9" t="s">
        <v>4</v>
      </c>
      <c r="D51" t="s">
        <v>228</v>
      </c>
      <c r="E51" t="s">
        <v>231</v>
      </c>
      <c r="F51" s="10">
        <v>2</v>
      </c>
      <c r="G51" s="10">
        <v>2</v>
      </c>
      <c r="H51" s="10">
        <v>2</v>
      </c>
      <c r="I51" s="9">
        <v>0</v>
      </c>
      <c r="J51" s="9"/>
      <c r="K51" s="9">
        <v>1069</v>
      </c>
      <c r="L51" s="9"/>
      <c r="M51" s="11"/>
      <c r="N51" s="9"/>
      <c r="O51" t="s">
        <v>385</v>
      </c>
    </row>
    <row r="52" spans="1:15" ht="13.5" hidden="1" customHeight="1" x14ac:dyDescent="0.2">
      <c r="A52" s="9" t="s">
        <v>152</v>
      </c>
      <c r="B52" s="9"/>
      <c r="C52" s="9" t="s">
        <v>5</v>
      </c>
      <c r="D52" t="s">
        <v>232</v>
      </c>
      <c r="E52" t="s">
        <v>336</v>
      </c>
      <c r="F52" s="10">
        <v>4</v>
      </c>
      <c r="G52" s="10">
        <v>133</v>
      </c>
      <c r="H52" s="10">
        <v>94</v>
      </c>
      <c r="I52" s="9">
        <v>39</v>
      </c>
      <c r="J52" s="9"/>
      <c r="K52" s="47">
        <v>3555</v>
      </c>
      <c r="L52" s="9"/>
      <c r="M52" s="11"/>
      <c r="N52" s="9"/>
      <c r="O52" t="s">
        <v>386</v>
      </c>
    </row>
    <row r="53" spans="1:15" ht="13.5" hidden="1" customHeight="1" x14ac:dyDescent="0.2">
      <c r="A53" s="9" t="s">
        <v>152</v>
      </c>
      <c r="B53" s="9"/>
      <c r="C53" s="45">
        <v>45931</v>
      </c>
      <c r="D53" s="25">
        <v>45931</v>
      </c>
      <c r="E53" s="25">
        <v>45961</v>
      </c>
      <c r="F53" s="10"/>
      <c r="G53" s="10">
        <v>31</v>
      </c>
      <c r="H53" s="10"/>
      <c r="I53" s="9"/>
      <c r="J53" s="9"/>
      <c r="K53" s="46">
        <v>27607</v>
      </c>
      <c r="L53" s="9"/>
      <c r="M53" s="11"/>
      <c r="N53" s="9"/>
      <c r="O53" t="s">
        <v>386</v>
      </c>
    </row>
    <row r="54" spans="1:15" ht="15" hidden="1" x14ac:dyDescent="0.2">
      <c r="A54" s="9" t="s">
        <v>155</v>
      </c>
      <c r="B54" s="9"/>
      <c r="C54" s="9" t="s">
        <v>1</v>
      </c>
      <c r="D54" t="s">
        <v>189</v>
      </c>
      <c r="E54" t="s">
        <v>322</v>
      </c>
      <c r="F54" s="10">
        <v>2</v>
      </c>
      <c r="G54" s="10">
        <v>3</v>
      </c>
      <c r="H54" s="10">
        <v>3</v>
      </c>
      <c r="I54" s="9">
        <v>0</v>
      </c>
      <c r="J54" s="9"/>
      <c r="K54" s="9">
        <v>0</v>
      </c>
      <c r="L54" s="9"/>
      <c r="M54" s="12"/>
      <c r="N54" s="9"/>
      <c r="O54" t="s">
        <v>387</v>
      </c>
    </row>
    <row r="55" spans="1:15" ht="15" hidden="1" x14ac:dyDescent="0.2">
      <c r="A55" s="9" t="s">
        <v>155</v>
      </c>
      <c r="B55" s="9"/>
      <c r="C55" s="9" t="s">
        <v>2</v>
      </c>
      <c r="D55" t="s">
        <v>227</v>
      </c>
      <c r="E55" t="s">
        <v>221</v>
      </c>
      <c r="F55" s="10">
        <v>2</v>
      </c>
      <c r="G55" s="10">
        <v>2</v>
      </c>
      <c r="H55" s="10">
        <v>1</v>
      </c>
      <c r="I55" s="9">
        <v>1</v>
      </c>
      <c r="J55" s="9"/>
      <c r="K55" s="9">
        <v>0</v>
      </c>
      <c r="L55" s="9"/>
      <c r="M55" s="11"/>
      <c r="N55" s="9"/>
      <c r="O55" t="s">
        <v>388</v>
      </c>
    </row>
    <row r="56" spans="1:15" ht="15" x14ac:dyDescent="0.2">
      <c r="A56" s="9" t="s">
        <v>155</v>
      </c>
      <c r="B56" s="9"/>
      <c r="C56" s="9" t="s">
        <v>3</v>
      </c>
      <c r="D56" t="s">
        <v>251</v>
      </c>
      <c r="E56" t="s">
        <v>254</v>
      </c>
      <c r="F56" s="10">
        <v>3</v>
      </c>
      <c r="G56" s="10">
        <v>4</v>
      </c>
      <c r="H56" s="10">
        <v>4</v>
      </c>
      <c r="I56" s="9">
        <v>0</v>
      </c>
      <c r="J56" s="9"/>
      <c r="K56" s="9">
        <v>0</v>
      </c>
      <c r="L56" s="9"/>
      <c r="M56" s="11"/>
      <c r="N56" s="9"/>
      <c r="O56" t="s">
        <v>389</v>
      </c>
    </row>
    <row r="57" spans="1:15" ht="15" hidden="1" x14ac:dyDescent="0.2">
      <c r="A57" s="9" t="s">
        <v>155</v>
      </c>
      <c r="B57" s="9"/>
      <c r="C57" s="9" t="s">
        <v>4</v>
      </c>
      <c r="D57" t="s">
        <v>255</v>
      </c>
      <c r="E57" t="s">
        <v>315</v>
      </c>
      <c r="F57" s="10">
        <v>2</v>
      </c>
      <c r="G57" s="10">
        <v>2</v>
      </c>
      <c r="H57" s="10">
        <v>1</v>
      </c>
      <c r="I57" s="9">
        <v>1</v>
      </c>
      <c r="J57" s="9"/>
      <c r="K57" s="9">
        <v>0</v>
      </c>
      <c r="L57" s="9"/>
      <c r="M57" s="11"/>
      <c r="N57" s="9"/>
      <c r="O57" t="s">
        <v>390</v>
      </c>
    </row>
    <row r="58" spans="1:15" ht="15" hidden="1" x14ac:dyDescent="0.2">
      <c r="A58" s="9" t="s">
        <v>155</v>
      </c>
      <c r="B58" s="9"/>
      <c r="C58" s="9" t="s">
        <v>5</v>
      </c>
      <c r="D58" t="s">
        <v>232</v>
      </c>
      <c r="E58" t="s">
        <v>259</v>
      </c>
      <c r="F58" s="10">
        <v>4</v>
      </c>
      <c r="G58" s="10">
        <v>12</v>
      </c>
      <c r="H58" s="10">
        <v>10</v>
      </c>
      <c r="I58" s="9">
        <v>2</v>
      </c>
      <c r="J58" s="9"/>
      <c r="K58" s="9">
        <v>0</v>
      </c>
      <c r="L58" s="9"/>
      <c r="M58" s="11"/>
      <c r="N58" s="9"/>
      <c r="O58" t="s">
        <v>391</v>
      </c>
    </row>
    <row r="59" spans="1:15" ht="15" hidden="1" x14ac:dyDescent="0.2">
      <c r="A59" s="9" t="s">
        <v>155</v>
      </c>
      <c r="B59" s="9"/>
      <c r="C59" s="9" t="s">
        <v>7</v>
      </c>
      <c r="D59" t="s">
        <v>260</v>
      </c>
      <c r="E59" t="s">
        <v>260</v>
      </c>
      <c r="F59" s="10">
        <v>1</v>
      </c>
      <c r="G59" s="10">
        <v>1</v>
      </c>
      <c r="H59" s="10">
        <v>1</v>
      </c>
      <c r="I59" s="9">
        <v>0</v>
      </c>
      <c r="J59" s="9"/>
      <c r="K59" s="9">
        <v>0</v>
      </c>
      <c r="L59" s="9"/>
      <c r="M59" s="11"/>
      <c r="N59" s="9"/>
      <c r="O59" t="s">
        <v>392</v>
      </c>
    </row>
    <row r="60" spans="1:15" ht="15" hidden="1" x14ac:dyDescent="0.2">
      <c r="A60" s="9" t="s">
        <v>155</v>
      </c>
      <c r="B60" s="9"/>
      <c r="C60" s="9" t="s">
        <v>8</v>
      </c>
      <c r="D60" t="s">
        <v>355</v>
      </c>
      <c r="E60" t="s">
        <v>393</v>
      </c>
      <c r="F60" s="10">
        <v>3</v>
      </c>
      <c r="G60" s="10">
        <v>5</v>
      </c>
      <c r="H60" s="10">
        <v>4</v>
      </c>
      <c r="I60" s="9">
        <v>1</v>
      </c>
      <c r="J60" s="9"/>
      <c r="K60" s="9">
        <f>511+511+1532</f>
        <v>2554</v>
      </c>
      <c r="L60" s="9"/>
      <c r="M60" s="11"/>
      <c r="N60" s="9"/>
      <c r="O60" t="s">
        <v>394</v>
      </c>
    </row>
    <row r="61" spans="1:15" ht="15" hidden="1" x14ac:dyDescent="0.2">
      <c r="A61" s="9" t="s">
        <v>155</v>
      </c>
      <c r="B61" s="9"/>
      <c r="C61" s="9" t="s">
        <v>9</v>
      </c>
      <c r="D61" t="s">
        <v>335</v>
      </c>
      <c r="E61" t="s">
        <v>309</v>
      </c>
      <c r="F61" s="10">
        <v>2</v>
      </c>
      <c r="G61" s="10">
        <v>4</v>
      </c>
      <c r="H61" s="10">
        <v>3</v>
      </c>
      <c r="I61" s="9">
        <v>1</v>
      </c>
      <c r="J61" s="9"/>
      <c r="K61" s="9">
        <f>511+1532</f>
        <v>2043</v>
      </c>
      <c r="L61" s="9"/>
      <c r="M61" s="11"/>
      <c r="N61" s="9"/>
      <c r="O61" t="s">
        <v>395</v>
      </c>
    </row>
    <row r="62" spans="1:15" ht="15" x14ac:dyDescent="0.2">
      <c r="A62" s="9" t="s">
        <v>157</v>
      </c>
      <c r="B62" s="9"/>
      <c r="C62" s="9" t="s">
        <v>3</v>
      </c>
      <c r="D62" t="s">
        <v>224</v>
      </c>
      <c r="E62" t="s">
        <v>216</v>
      </c>
      <c r="F62" s="10">
        <v>1</v>
      </c>
      <c r="G62" s="10">
        <v>3</v>
      </c>
      <c r="H62" s="10">
        <v>3</v>
      </c>
      <c r="I62" s="9">
        <v>0</v>
      </c>
      <c r="J62" s="9">
        <f>(17000+1657+1168)/21.67*H62</f>
        <v>2744.5777572681122</v>
      </c>
      <c r="K62" s="46">
        <v>3731</v>
      </c>
      <c r="L62" s="54">
        <f>K62-J62</f>
        <v>986.42224273188776</v>
      </c>
      <c r="M62" s="53">
        <v>45962</v>
      </c>
      <c r="N62" s="9"/>
      <c r="O62" t="s">
        <v>396</v>
      </c>
    </row>
    <row r="63" spans="1:15" ht="15" hidden="1" x14ac:dyDescent="0.2">
      <c r="A63" s="9" t="s">
        <v>157</v>
      </c>
      <c r="B63" s="9"/>
      <c r="C63" s="9" t="s">
        <v>6</v>
      </c>
      <c r="D63" t="s">
        <v>397</v>
      </c>
      <c r="E63" t="s">
        <v>398</v>
      </c>
      <c r="F63" s="10">
        <v>1</v>
      </c>
      <c r="G63" s="10">
        <v>6</v>
      </c>
      <c r="H63" s="10">
        <v>4</v>
      </c>
      <c r="I63" s="9">
        <v>2</v>
      </c>
      <c r="J63" s="9">
        <f t="shared" ref="J63" si="2">(17000+1657+1168)/21.67*H63</f>
        <v>3659.4370096908165</v>
      </c>
      <c r="K63" s="44">
        <v>5700</v>
      </c>
      <c r="L63" s="54">
        <f>K63-J63</f>
        <v>2040.5629903091835</v>
      </c>
      <c r="M63" s="53">
        <v>45962</v>
      </c>
      <c r="N63" s="9"/>
      <c r="O63" t="s">
        <v>399</v>
      </c>
    </row>
    <row r="64" spans="1:15" ht="15" hidden="1" x14ac:dyDescent="0.2">
      <c r="A64" s="9" t="s">
        <v>160</v>
      </c>
      <c r="B64" s="9"/>
      <c r="C64" s="9" t="s">
        <v>1</v>
      </c>
      <c r="D64" t="s">
        <v>182</v>
      </c>
      <c r="E64" t="s">
        <v>321</v>
      </c>
      <c r="F64" s="10">
        <v>5</v>
      </c>
      <c r="G64" s="10">
        <v>16</v>
      </c>
      <c r="H64" s="10">
        <v>12</v>
      </c>
      <c r="I64" s="9">
        <v>4</v>
      </c>
      <c r="J64" s="9"/>
      <c r="K64" s="9">
        <v>0</v>
      </c>
      <c r="L64" s="9"/>
      <c r="M64" s="11"/>
      <c r="N64" s="9"/>
      <c r="O64" t="s">
        <v>400</v>
      </c>
    </row>
    <row r="65" spans="1:15" ht="15" hidden="1" x14ac:dyDescent="0.2">
      <c r="A65" s="9" t="s">
        <v>160</v>
      </c>
      <c r="B65" s="9"/>
      <c r="C65" s="9" t="s">
        <v>2</v>
      </c>
      <c r="D65" t="s">
        <v>218</v>
      </c>
      <c r="E65" t="s">
        <v>401</v>
      </c>
      <c r="F65" s="10">
        <v>4</v>
      </c>
      <c r="G65" s="10">
        <v>7</v>
      </c>
      <c r="H65" s="10">
        <v>7</v>
      </c>
      <c r="I65" s="9">
        <v>0</v>
      </c>
      <c r="J65" s="9"/>
      <c r="K65" s="9">
        <v>0</v>
      </c>
      <c r="L65" s="9"/>
      <c r="M65" s="11"/>
      <c r="N65" s="9"/>
      <c r="O65" t="s">
        <v>402</v>
      </c>
    </row>
    <row r="66" spans="1:15" ht="15" x14ac:dyDescent="0.2">
      <c r="A66" s="9" t="s">
        <v>160</v>
      </c>
      <c r="B66" s="9"/>
      <c r="C66" s="9" t="s">
        <v>3</v>
      </c>
      <c r="D66" t="s">
        <v>261</v>
      </c>
      <c r="E66" t="s">
        <v>243</v>
      </c>
      <c r="F66" s="10">
        <v>5</v>
      </c>
      <c r="G66" s="10">
        <v>16</v>
      </c>
      <c r="H66" s="10">
        <v>15</v>
      </c>
      <c r="I66" s="9">
        <v>1</v>
      </c>
      <c r="J66" s="9"/>
      <c r="K66" s="9">
        <v>0</v>
      </c>
      <c r="L66" s="9"/>
      <c r="M66" s="11"/>
      <c r="N66" s="9"/>
      <c r="O66" t="s">
        <v>403</v>
      </c>
    </row>
    <row r="67" spans="1:15" ht="15" hidden="1" x14ac:dyDescent="0.2">
      <c r="A67" s="9" t="s">
        <v>160</v>
      </c>
      <c r="B67" s="9"/>
      <c r="C67" s="9" t="s">
        <v>4</v>
      </c>
      <c r="D67" t="s">
        <v>404</v>
      </c>
      <c r="E67" t="s">
        <v>405</v>
      </c>
      <c r="F67" s="10">
        <v>4</v>
      </c>
      <c r="G67" s="10">
        <v>6</v>
      </c>
      <c r="H67" s="10">
        <v>5</v>
      </c>
      <c r="I67" s="9">
        <v>1</v>
      </c>
      <c r="J67" s="9"/>
      <c r="K67" s="9">
        <v>0</v>
      </c>
      <c r="L67" s="9"/>
      <c r="M67" s="11"/>
      <c r="N67" s="9"/>
      <c r="O67" t="s">
        <v>406</v>
      </c>
    </row>
    <row r="68" spans="1:15" ht="15" hidden="1" x14ac:dyDescent="0.2">
      <c r="A68" s="9" t="s">
        <v>160</v>
      </c>
      <c r="B68" s="9"/>
      <c r="C68" s="9" t="s">
        <v>5</v>
      </c>
      <c r="D68" t="s">
        <v>347</v>
      </c>
      <c r="E68" t="s">
        <v>236</v>
      </c>
      <c r="F68" s="10">
        <v>5</v>
      </c>
      <c r="G68" s="10">
        <v>6</v>
      </c>
      <c r="H68" s="10">
        <v>4</v>
      </c>
      <c r="I68" s="9">
        <v>2</v>
      </c>
      <c r="J68" s="9"/>
      <c r="K68" s="9">
        <v>0</v>
      </c>
      <c r="L68" s="9"/>
      <c r="M68" s="11"/>
      <c r="N68" s="9"/>
      <c r="O68" t="s">
        <v>407</v>
      </c>
    </row>
    <row r="69" spans="1:15" ht="15" hidden="1" x14ac:dyDescent="0.2">
      <c r="A69" s="9" t="s">
        <v>160</v>
      </c>
      <c r="B69" s="9"/>
      <c r="C69" s="9" t="s">
        <v>6</v>
      </c>
      <c r="D69" t="s">
        <v>327</v>
      </c>
      <c r="E69" t="s">
        <v>341</v>
      </c>
      <c r="F69" s="10">
        <v>3</v>
      </c>
      <c r="G69" s="10">
        <v>22</v>
      </c>
      <c r="H69" s="10">
        <v>15</v>
      </c>
      <c r="I69" s="9">
        <v>7</v>
      </c>
      <c r="J69" s="9"/>
      <c r="K69" s="9">
        <v>2677</v>
      </c>
      <c r="L69" s="9"/>
      <c r="M69" s="11"/>
      <c r="N69" s="9"/>
      <c r="O69" t="s">
        <v>408</v>
      </c>
    </row>
    <row r="70" spans="1:15" ht="15" hidden="1" x14ac:dyDescent="0.2">
      <c r="A70" s="9" t="s">
        <v>160</v>
      </c>
      <c r="B70" s="9"/>
      <c r="C70" s="9" t="s">
        <v>7</v>
      </c>
      <c r="D70" t="s">
        <v>260</v>
      </c>
      <c r="E70" t="s">
        <v>330</v>
      </c>
      <c r="F70" s="10">
        <v>3</v>
      </c>
      <c r="G70" s="10">
        <v>5</v>
      </c>
      <c r="H70" s="10">
        <v>5</v>
      </c>
      <c r="I70" s="9">
        <v>0</v>
      </c>
      <c r="J70" s="9"/>
      <c r="K70" s="9">
        <v>0</v>
      </c>
      <c r="L70" s="9"/>
      <c r="M70" s="11"/>
      <c r="N70" s="9"/>
      <c r="O70" t="s">
        <v>409</v>
      </c>
    </row>
    <row r="71" spans="1:15" ht="15" hidden="1" x14ac:dyDescent="0.2">
      <c r="A71" s="9" t="s">
        <v>160</v>
      </c>
      <c r="B71" s="9"/>
      <c r="C71" s="9" t="s">
        <v>8</v>
      </c>
      <c r="D71" t="s">
        <v>380</v>
      </c>
      <c r="E71" t="s">
        <v>410</v>
      </c>
      <c r="F71" s="10">
        <v>2</v>
      </c>
      <c r="G71" s="10">
        <v>2</v>
      </c>
      <c r="H71" s="10">
        <v>2</v>
      </c>
      <c r="I71" s="9">
        <v>0</v>
      </c>
      <c r="J71" s="9"/>
      <c r="K71" s="9">
        <v>2677</v>
      </c>
      <c r="L71" s="9"/>
      <c r="M71" s="11"/>
      <c r="N71" s="9"/>
      <c r="O71" t="s">
        <v>411</v>
      </c>
    </row>
    <row r="72" spans="1:15" ht="15" hidden="1" x14ac:dyDescent="0.2">
      <c r="A72" s="9" t="s">
        <v>160</v>
      </c>
      <c r="B72" s="9"/>
      <c r="C72" s="9" t="s">
        <v>9</v>
      </c>
      <c r="D72" t="s">
        <v>412</v>
      </c>
      <c r="E72" t="s">
        <v>309</v>
      </c>
      <c r="F72" s="10">
        <v>2</v>
      </c>
      <c r="G72" s="10">
        <v>4</v>
      </c>
      <c r="H72" s="10">
        <v>2</v>
      </c>
      <c r="I72" s="9">
        <v>2</v>
      </c>
      <c r="J72" s="9"/>
      <c r="K72" s="9">
        <v>0</v>
      </c>
      <c r="L72" s="9"/>
      <c r="M72" s="11"/>
      <c r="N72" s="9"/>
      <c r="O72" t="s">
        <v>413</v>
      </c>
    </row>
    <row r="73" spans="1:15" ht="15" x14ac:dyDescent="0.2">
      <c r="A73" s="9" t="s">
        <v>163</v>
      </c>
      <c r="B73" s="9"/>
      <c r="C73" s="9" t="s">
        <v>3</v>
      </c>
      <c r="D73" t="s">
        <v>223</v>
      </c>
      <c r="E73" t="s">
        <v>216</v>
      </c>
      <c r="F73" s="10">
        <v>1</v>
      </c>
      <c r="G73" s="10">
        <v>4</v>
      </c>
      <c r="H73" s="10">
        <v>4</v>
      </c>
      <c r="I73" s="9">
        <v>0</v>
      </c>
      <c r="J73" s="9"/>
      <c r="K73" s="44">
        <v>3976</v>
      </c>
      <c r="L73" s="9"/>
      <c r="M73" s="11"/>
      <c r="N73" s="9"/>
      <c r="O73" t="s">
        <v>414</v>
      </c>
    </row>
    <row r="74" spans="1:15" ht="15" hidden="1" x14ac:dyDescent="0.2">
      <c r="A74" s="9" t="s">
        <v>163</v>
      </c>
      <c r="B74" s="9"/>
      <c r="C74" s="9" t="s">
        <v>5</v>
      </c>
      <c r="D74" t="s">
        <v>303</v>
      </c>
      <c r="E74" t="s">
        <v>325</v>
      </c>
      <c r="F74" s="10">
        <v>2</v>
      </c>
      <c r="G74" s="10">
        <v>7</v>
      </c>
      <c r="H74" s="10">
        <v>6</v>
      </c>
      <c r="I74" s="9">
        <v>1</v>
      </c>
      <c r="J74" s="9"/>
      <c r="K74" s="46">
        <v>2122</v>
      </c>
      <c r="L74" s="9" t="s">
        <v>570</v>
      </c>
      <c r="M74" s="11"/>
      <c r="N74" s="9"/>
      <c r="O74" t="s">
        <v>415</v>
      </c>
    </row>
    <row r="75" spans="1:15" ht="15" hidden="1" x14ac:dyDescent="0.2">
      <c r="A75" s="9" t="s">
        <v>163</v>
      </c>
      <c r="B75" s="9"/>
      <c r="C75" s="9" t="s">
        <v>6</v>
      </c>
      <c r="D75" t="s">
        <v>416</v>
      </c>
      <c r="E75" t="s">
        <v>417</v>
      </c>
      <c r="F75" s="10">
        <v>2</v>
      </c>
      <c r="G75" s="10">
        <v>4</v>
      </c>
      <c r="H75" s="10">
        <v>3</v>
      </c>
      <c r="I75" s="9">
        <v>1</v>
      </c>
      <c r="J75" s="9"/>
      <c r="K75" s="9">
        <f>3183+758</f>
        <v>3941</v>
      </c>
      <c r="L75" s="9"/>
      <c r="M75" s="11"/>
      <c r="N75" s="9"/>
      <c r="O75" t="s">
        <v>418</v>
      </c>
    </row>
    <row r="76" spans="1:15" ht="15" hidden="1" x14ac:dyDescent="0.2">
      <c r="A76" s="9" t="s">
        <v>163</v>
      </c>
      <c r="B76" s="9"/>
      <c r="C76" s="9" t="s">
        <v>8</v>
      </c>
      <c r="D76" t="s">
        <v>332</v>
      </c>
      <c r="E76" t="s">
        <v>356</v>
      </c>
      <c r="F76" s="10">
        <v>2</v>
      </c>
      <c r="G76" s="10">
        <v>4</v>
      </c>
      <c r="H76" s="10">
        <v>4</v>
      </c>
      <c r="I76" s="9">
        <v>0</v>
      </c>
      <c r="J76" s="9"/>
      <c r="K76" s="9">
        <v>0</v>
      </c>
      <c r="L76" s="9"/>
      <c r="M76" s="11"/>
      <c r="N76" s="9"/>
      <c r="O76" t="s">
        <v>419</v>
      </c>
    </row>
    <row r="77" spans="1:15" ht="15" hidden="1" x14ac:dyDescent="0.2">
      <c r="A77" s="9" t="s">
        <v>163</v>
      </c>
      <c r="B77" s="9"/>
      <c r="C77" s="9" t="s">
        <v>9</v>
      </c>
      <c r="D77" t="s">
        <v>420</v>
      </c>
      <c r="E77" t="s">
        <v>335</v>
      </c>
      <c r="F77" s="10">
        <v>1</v>
      </c>
      <c r="G77" s="10">
        <v>3</v>
      </c>
      <c r="H77" s="10">
        <v>2</v>
      </c>
      <c r="I77" s="9">
        <v>1</v>
      </c>
      <c r="J77" s="9"/>
      <c r="K77" s="9">
        <v>0</v>
      </c>
      <c r="L77" s="9"/>
      <c r="M77" s="11"/>
      <c r="N77" s="9"/>
      <c r="O77" t="s">
        <v>421</v>
      </c>
    </row>
    <row r="78" spans="1:15" ht="15" hidden="1" x14ac:dyDescent="0.2">
      <c r="A78" s="9" t="s">
        <v>165</v>
      </c>
      <c r="B78" s="9"/>
      <c r="C78" s="9" t="s">
        <v>5</v>
      </c>
      <c r="D78" t="s">
        <v>259</v>
      </c>
      <c r="E78" t="s">
        <v>247</v>
      </c>
      <c r="F78" s="10">
        <v>1</v>
      </c>
      <c r="G78" s="10">
        <v>2</v>
      </c>
      <c r="H78" s="10">
        <v>2</v>
      </c>
      <c r="I78" s="9">
        <v>0</v>
      </c>
      <c r="J78" s="9"/>
      <c r="K78" s="44">
        <v>1409</v>
      </c>
      <c r="L78" s="9"/>
      <c r="M78" s="11"/>
      <c r="N78" s="9"/>
      <c r="O78" t="s">
        <v>422</v>
      </c>
    </row>
    <row r="79" spans="1:15" ht="15" hidden="1" x14ac:dyDescent="0.2">
      <c r="A79" s="9" t="s">
        <v>165</v>
      </c>
      <c r="B79" s="9"/>
      <c r="C79" s="9" t="s">
        <v>6</v>
      </c>
      <c r="D79" t="s">
        <v>327</v>
      </c>
      <c r="E79" t="s">
        <v>423</v>
      </c>
      <c r="F79" s="10">
        <v>3</v>
      </c>
      <c r="G79" s="10">
        <v>21</v>
      </c>
      <c r="H79" s="10">
        <v>16</v>
      </c>
      <c r="I79" s="9">
        <v>5</v>
      </c>
      <c r="J79" s="9"/>
      <c r="K79" s="9">
        <f>1498+1498+11275+749</f>
        <v>15020</v>
      </c>
      <c r="L79" s="9"/>
      <c r="M79" s="11"/>
      <c r="N79" s="9"/>
      <c r="O79" t="s">
        <v>424</v>
      </c>
    </row>
    <row r="80" spans="1:15" ht="15" hidden="1" x14ac:dyDescent="0.2">
      <c r="A80" s="47" t="s">
        <v>567</v>
      </c>
      <c r="B80" s="48"/>
      <c r="C80" s="49">
        <v>45931</v>
      </c>
      <c r="D80" s="50">
        <v>45956</v>
      </c>
      <c r="E80" s="50">
        <v>45959</v>
      </c>
      <c r="F80" s="48"/>
      <c r="G80" s="51">
        <v>4</v>
      </c>
      <c r="H80" s="48"/>
      <c r="I80" s="48"/>
      <c r="J80" s="48"/>
      <c r="K80" s="47">
        <v>2250</v>
      </c>
    </row>
  </sheetData>
  <autoFilter ref="A1:L80" xr:uid="{00000000-0009-0000-0000-000005000000}">
    <filterColumn colId="2">
      <filters>
        <filter val="03/2025"/>
      </filters>
    </filterColumn>
    <sortState xmlns:xlrd2="http://schemas.microsoft.com/office/spreadsheetml/2017/richdata2" ref="A2:L79">
      <sortCondition ref="A1:A79"/>
    </sortState>
  </autoFilter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rightToLeft="1" topLeftCell="B1" workbookViewId="0">
      <selection activeCell="F2" sqref="F2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3" t="s">
        <v>425</v>
      </c>
      <c r="B1" s="13" t="s">
        <v>175</v>
      </c>
      <c r="C1" s="13" t="s">
        <v>170</v>
      </c>
      <c r="D1" s="13" t="s">
        <v>171</v>
      </c>
      <c r="E1" s="13" t="s">
        <v>172</v>
      </c>
      <c r="F1" s="13" t="s">
        <v>426</v>
      </c>
      <c r="G1" s="39" t="s">
        <v>562</v>
      </c>
    </row>
    <row r="2" spans="1:7" ht="15" x14ac:dyDescent="0.2">
      <c r="A2">
        <v>203</v>
      </c>
      <c r="B2" t="s">
        <v>179</v>
      </c>
      <c r="C2" s="18">
        <v>48622</v>
      </c>
      <c r="D2" s="18">
        <v>8587</v>
      </c>
      <c r="E2" s="18">
        <v>0</v>
      </c>
      <c r="F2" s="18">
        <v>57209</v>
      </c>
    </row>
    <row r="3" spans="1:7" ht="15" x14ac:dyDescent="0.2">
      <c r="A3">
        <v>204</v>
      </c>
      <c r="B3" t="s">
        <v>179</v>
      </c>
      <c r="C3" s="18">
        <v>581</v>
      </c>
      <c r="D3" s="18">
        <v>0</v>
      </c>
      <c r="E3" s="18">
        <v>0</v>
      </c>
      <c r="F3" s="18">
        <v>581</v>
      </c>
    </row>
    <row r="4" spans="1:7" ht="15" x14ac:dyDescent="0.2">
      <c r="A4">
        <v>408</v>
      </c>
      <c r="B4" t="s">
        <v>213</v>
      </c>
      <c r="C4" s="18">
        <v>25634</v>
      </c>
      <c r="D4" s="18">
        <v>4516</v>
      </c>
      <c r="E4" s="18">
        <v>0</v>
      </c>
      <c r="F4" s="18">
        <v>30150</v>
      </c>
    </row>
    <row r="5" spans="1:7" ht="17.25" customHeight="1" x14ac:dyDescent="0.2">
      <c r="A5">
        <v>410</v>
      </c>
      <c r="B5" t="s">
        <v>268</v>
      </c>
      <c r="C5" s="18">
        <v>0</v>
      </c>
      <c r="D5" s="18">
        <v>0</v>
      </c>
      <c r="E5" s="18">
        <v>6209</v>
      </c>
      <c r="F5" s="18">
        <f>SUM(C5:E5)</f>
        <v>6209</v>
      </c>
      <c r="G5" s="29" t="s">
        <v>561</v>
      </c>
    </row>
    <row r="6" spans="1:7" ht="17.25" customHeight="1" x14ac:dyDescent="0.2">
      <c r="B6" s="41">
        <v>45777</v>
      </c>
      <c r="C6" s="42">
        <v>103440</v>
      </c>
      <c r="D6" s="42">
        <f>15441+257</f>
        <v>15698</v>
      </c>
      <c r="E6" s="42"/>
      <c r="F6" s="42">
        <f t="shared" ref="F6:F9" si="0">SUM(C6:E6)</f>
        <v>119138</v>
      </c>
      <c r="G6" s="29"/>
    </row>
    <row r="7" spans="1:7" ht="15" x14ac:dyDescent="0.2">
      <c r="A7">
        <v>510</v>
      </c>
      <c r="B7" t="s">
        <v>273</v>
      </c>
      <c r="C7" s="18">
        <v>0</v>
      </c>
      <c r="D7" s="18">
        <v>0</v>
      </c>
      <c r="E7" s="18">
        <v>19639</v>
      </c>
      <c r="F7" s="18">
        <f t="shared" si="0"/>
        <v>19639</v>
      </c>
    </row>
    <row r="8" spans="1:7" ht="15" x14ac:dyDescent="0.2">
      <c r="A8">
        <v>610</v>
      </c>
      <c r="B8" t="s">
        <v>266</v>
      </c>
      <c r="C8" s="18">
        <v>0</v>
      </c>
      <c r="D8" s="18">
        <v>0</v>
      </c>
      <c r="E8" s="18">
        <v>4389</v>
      </c>
      <c r="F8" s="18">
        <f t="shared" si="0"/>
        <v>4389</v>
      </c>
      <c r="G8" s="29" t="s">
        <v>561</v>
      </c>
    </row>
    <row r="9" spans="1:7" ht="15" x14ac:dyDescent="0.2">
      <c r="A9">
        <v>802</v>
      </c>
      <c r="B9" t="s">
        <v>229</v>
      </c>
      <c r="C9" s="18">
        <v>112299</v>
      </c>
      <c r="D9" s="18">
        <v>21358</v>
      </c>
      <c r="E9" s="18">
        <v>0</v>
      </c>
      <c r="F9" s="18">
        <f t="shared" si="0"/>
        <v>133657</v>
      </c>
      <c r="G9" s="29" t="s">
        <v>561</v>
      </c>
    </row>
    <row r="11" spans="1:7" ht="18" x14ac:dyDescent="0.25">
      <c r="A11" s="19" t="s">
        <v>427</v>
      </c>
      <c r="C11" s="15">
        <f>SUM(C2:C10)</f>
        <v>290576</v>
      </c>
      <c r="D11" s="15">
        <f>SUM(D2:D10)</f>
        <v>50159</v>
      </c>
      <c r="E11" s="15">
        <f>SUM(E2:E10)</f>
        <v>30237</v>
      </c>
      <c r="F11" s="15">
        <f>SUM(F2:F10)</f>
        <v>370972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52"/>
  <sheetViews>
    <sheetView rightToLeft="1" topLeftCell="B1" workbookViewId="0">
      <pane ySplit="1" topLeftCell="A2" activePane="bottomLeft" state="frozen"/>
      <selection pane="bottomLeft" activeCell="B3" sqref="B3:O3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18" customWidth="1"/>
  </cols>
  <sheetData>
    <row r="1" spans="1:20" ht="24.95" customHeight="1" x14ac:dyDescent="0.2">
      <c r="A1" s="1" t="s">
        <v>448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287</v>
      </c>
      <c r="G1" s="1" t="s">
        <v>291</v>
      </c>
      <c r="H1" s="1" t="s">
        <v>292</v>
      </c>
      <c r="I1" s="1" t="s">
        <v>449</v>
      </c>
      <c r="J1" s="1" t="s">
        <v>450</v>
      </c>
      <c r="K1" s="1" t="s">
        <v>451</v>
      </c>
      <c r="L1" s="1" t="s">
        <v>106</v>
      </c>
      <c r="M1" s="1" t="s">
        <v>452</v>
      </c>
      <c r="N1" s="1" t="s">
        <v>453</v>
      </c>
      <c r="O1" s="40" t="s">
        <v>265</v>
      </c>
      <c r="P1" s="21" t="s">
        <v>454</v>
      </c>
      <c r="Q1" s="20" t="s">
        <v>455</v>
      </c>
      <c r="R1" s="20" t="s">
        <v>560</v>
      </c>
      <c r="S1" s="20" t="s">
        <v>456</v>
      </c>
      <c r="T1" s="43" t="s">
        <v>563</v>
      </c>
    </row>
    <row r="2" spans="1:20" ht="15" x14ac:dyDescent="0.2">
      <c r="A2" s="2" t="s">
        <v>298</v>
      </c>
      <c r="B2" s="2" t="s">
        <v>112</v>
      </c>
      <c r="C2" s="2" t="s">
        <v>113</v>
      </c>
      <c r="D2" s="28">
        <v>45735</v>
      </c>
      <c r="E2" s="28">
        <v>45735</v>
      </c>
      <c r="F2" s="2" t="s">
        <v>3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4">
        <v>863.72865712967234</v>
      </c>
      <c r="M2" s="24">
        <f t="shared" ref="M2:M27" si="0">L2*H2</f>
        <v>863.72865712967234</v>
      </c>
      <c r="N2" s="24">
        <v>172.74573142593451</v>
      </c>
      <c r="O2" s="24"/>
      <c r="P2" s="3"/>
    </row>
    <row r="3" spans="1:20" ht="15" x14ac:dyDescent="0.2">
      <c r="A3" s="2" t="s">
        <v>301</v>
      </c>
      <c r="B3" s="2" t="s">
        <v>117</v>
      </c>
      <c r="C3" s="2" t="s">
        <v>118</v>
      </c>
      <c r="D3" s="28">
        <v>45901</v>
      </c>
      <c r="E3" s="28">
        <v>45917</v>
      </c>
      <c r="F3" s="2" t="s">
        <v>9</v>
      </c>
      <c r="G3" s="2">
        <v>17</v>
      </c>
      <c r="H3" s="2">
        <v>13</v>
      </c>
      <c r="I3" s="2">
        <v>2</v>
      </c>
      <c r="J3" s="2">
        <v>2</v>
      </c>
      <c r="K3" s="2">
        <v>0</v>
      </c>
      <c r="L3" s="24">
        <v>1108.7217351176739</v>
      </c>
      <c r="M3" s="24">
        <f t="shared" si="0"/>
        <v>14413.382556529761</v>
      </c>
      <c r="N3" s="24">
        <v>2882.6765113059519</v>
      </c>
      <c r="O3" s="24"/>
      <c r="P3" s="3"/>
    </row>
    <row r="4" spans="1:20" ht="15" x14ac:dyDescent="0.2">
      <c r="A4" s="2" t="s">
        <v>302</v>
      </c>
      <c r="B4" s="2" t="s">
        <v>121</v>
      </c>
      <c r="C4" s="2" t="s">
        <v>113</v>
      </c>
      <c r="D4" s="28">
        <v>45658</v>
      </c>
      <c r="E4" s="28">
        <v>45660</v>
      </c>
      <c r="F4" s="2" t="s">
        <v>1</v>
      </c>
      <c r="G4" s="2">
        <v>3</v>
      </c>
      <c r="H4" s="2">
        <v>3</v>
      </c>
      <c r="I4" s="2">
        <v>0</v>
      </c>
      <c r="J4" s="2">
        <v>0</v>
      </c>
      <c r="K4" s="2">
        <v>0</v>
      </c>
      <c r="L4" s="24">
        <v>806.01</v>
      </c>
      <c r="M4" s="24">
        <f t="shared" si="0"/>
        <v>2418.0299999999997</v>
      </c>
      <c r="N4" s="24">
        <v>556</v>
      </c>
      <c r="O4" s="24"/>
      <c r="P4" s="3">
        <v>2206</v>
      </c>
      <c r="Q4" s="112">
        <v>45697</v>
      </c>
    </row>
    <row r="5" spans="1:20" ht="15" x14ac:dyDescent="0.2">
      <c r="A5" s="2" t="s">
        <v>304</v>
      </c>
      <c r="B5" s="2" t="s">
        <v>121</v>
      </c>
      <c r="C5" s="2" t="s">
        <v>113</v>
      </c>
      <c r="D5" s="28">
        <v>45796</v>
      </c>
      <c r="E5" s="28">
        <v>45798</v>
      </c>
      <c r="F5" s="2" t="s">
        <v>5</v>
      </c>
      <c r="G5" s="2">
        <v>3</v>
      </c>
      <c r="H5" s="2">
        <v>3</v>
      </c>
      <c r="I5" s="2">
        <v>0</v>
      </c>
      <c r="J5" s="2">
        <v>0</v>
      </c>
      <c r="K5" s="2">
        <v>0</v>
      </c>
      <c r="L5" s="24">
        <v>806.01</v>
      </c>
      <c r="M5" s="24">
        <f t="shared" si="0"/>
        <v>2418.0299999999997</v>
      </c>
      <c r="N5" s="24"/>
      <c r="O5" s="24"/>
      <c r="P5" s="3"/>
    </row>
    <row r="6" spans="1:20" ht="15" x14ac:dyDescent="0.2">
      <c r="A6" s="2" t="s">
        <v>305</v>
      </c>
      <c r="B6" s="2" t="s">
        <v>121</v>
      </c>
      <c r="C6" s="2" t="s">
        <v>113</v>
      </c>
      <c r="D6" s="28">
        <v>45820</v>
      </c>
      <c r="E6" s="28">
        <v>45834</v>
      </c>
      <c r="F6" s="2" t="s">
        <v>6</v>
      </c>
      <c r="G6" s="2">
        <v>15</v>
      </c>
      <c r="H6" s="2">
        <v>11</v>
      </c>
      <c r="I6" s="2">
        <v>2</v>
      </c>
      <c r="J6" s="2">
        <v>2</v>
      </c>
      <c r="K6" s="2">
        <v>0</v>
      </c>
      <c r="L6" s="24">
        <v>806.01</v>
      </c>
      <c r="M6" s="24">
        <f t="shared" si="0"/>
        <v>8866.11</v>
      </c>
      <c r="N6" s="24"/>
      <c r="O6" s="24"/>
      <c r="P6" s="3"/>
    </row>
    <row r="7" spans="1:20" ht="15" x14ac:dyDescent="0.2">
      <c r="A7" s="2" t="s">
        <v>307</v>
      </c>
      <c r="B7" s="2" t="s">
        <v>121</v>
      </c>
      <c r="C7" s="2" t="s">
        <v>113</v>
      </c>
      <c r="D7" s="28">
        <v>45867</v>
      </c>
      <c r="E7" s="28">
        <v>45869</v>
      </c>
      <c r="F7" s="2" t="s">
        <v>7</v>
      </c>
      <c r="G7" s="2">
        <v>3</v>
      </c>
      <c r="H7" s="2">
        <v>3</v>
      </c>
      <c r="I7" s="2">
        <v>0</v>
      </c>
      <c r="J7" s="2">
        <v>0</v>
      </c>
      <c r="K7" s="2">
        <v>0</v>
      </c>
      <c r="L7" s="24">
        <v>806.01</v>
      </c>
      <c r="M7" s="24">
        <f t="shared" si="0"/>
        <v>2418.0299999999997</v>
      </c>
      <c r="N7" s="24"/>
      <c r="O7" s="24"/>
      <c r="P7" s="3"/>
    </row>
    <row r="8" spans="1:20" ht="15" x14ac:dyDescent="0.2">
      <c r="A8" s="2" t="s">
        <v>310</v>
      </c>
      <c r="B8" s="2" t="s">
        <v>121</v>
      </c>
      <c r="C8" s="2" t="s">
        <v>113</v>
      </c>
      <c r="D8" s="28">
        <v>45911</v>
      </c>
      <c r="E8" s="28">
        <v>45914</v>
      </c>
      <c r="F8" s="2" t="s">
        <v>9</v>
      </c>
      <c r="G8" s="2">
        <v>4</v>
      </c>
      <c r="H8" s="2">
        <v>2</v>
      </c>
      <c r="I8" s="2">
        <v>1</v>
      </c>
      <c r="J8" s="2">
        <v>1</v>
      </c>
      <c r="K8" s="2">
        <v>0</v>
      </c>
      <c r="L8" s="24">
        <f>'📈 היסטוריית שכר'!C6</f>
        <v>1108.7217351176741</v>
      </c>
      <c r="M8" s="24">
        <f t="shared" si="0"/>
        <v>2217.4434702353483</v>
      </c>
      <c r="N8" s="24"/>
      <c r="O8" s="24"/>
      <c r="P8" s="3"/>
    </row>
    <row r="9" spans="1:20" ht="15" x14ac:dyDescent="0.2">
      <c r="A9" s="2" t="s">
        <v>312</v>
      </c>
      <c r="B9" s="2" t="s">
        <v>125</v>
      </c>
      <c r="C9" s="2" t="s">
        <v>118</v>
      </c>
      <c r="D9" s="28">
        <v>45676</v>
      </c>
      <c r="E9" s="28">
        <v>45679</v>
      </c>
      <c r="F9" s="2" t="s">
        <v>1</v>
      </c>
      <c r="G9" s="2">
        <v>4</v>
      </c>
      <c r="H9" s="2">
        <v>3</v>
      </c>
      <c r="I9" s="2">
        <v>0</v>
      </c>
      <c r="J9" s="2">
        <v>1</v>
      </c>
      <c r="K9" s="2">
        <v>0</v>
      </c>
      <c r="L9" s="24">
        <v>868.85094600830632</v>
      </c>
      <c r="M9" s="24">
        <f t="shared" si="0"/>
        <v>2606.5528380249189</v>
      </c>
      <c r="N9" s="24">
        <v>506</v>
      </c>
      <c r="O9" s="24"/>
      <c r="P9" s="3">
        <v>3710</v>
      </c>
      <c r="Q9" s="112">
        <v>45700</v>
      </c>
    </row>
    <row r="10" spans="1:20" ht="15" x14ac:dyDescent="0.2">
      <c r="A10" s="2" t="s">
        <v>314</v>
      </c>
      <c r="B10" s="2" t="s">
        <v>125</v>
      </c>
      <c r="C10" s="2" t="s">
        <v>118</v>
      </c>
      <c r="D10" s="28">
        <v>45718</v>
      </c>
      <c r="E10" s="28">
        <v>45721</v>
      </c>
      <c r="F10" s="2" t="s">
        <v>3</v>
      </c>
      <c r="G10" s="2">
        <v>4</v>
      </c>
      <c r="H10" s="2">
        <v>3</v>
      </c>
      <c r="I10" s="2">
        <v>0</v>
      </c>
      <c r="J10" s="2">
        <v>1</v>
      </c>
      <c r="K10" s="2">
        <v>0</v>
      </c>
      <c r="L10" s="24">
        <v>868.85094600830632</v>
      </c>
      <c r="M10" s="24">
        <f t="shared" si="0"/>
        <v>2606.5528380249189</v>
      </c>
      <c r="N10" s="24">
        <v>518</v>
      </c>
      <c r="O10" s="24"/>
      <c r="P10" s="3">
        <v>3739</v>
      </c>
      <c r="Q10" s="112">
        <v>45988</v>
      </c>
    </row>
    <row r="11" spans="1:20" ht="15" x14ac:dyDescent="0.2">
      <c r="A11" s="2" t="s">
        <v>457</v>
      </c>
      <c r="B11" s="2" t="s">
        <v>125</v>
      </c>
      <c r="C11" s="2" t="s">
        <v>118</v>
      </c>
      <c r="D11" s="28">
        <v>45770</v>
      </c>
      <c r="E11" s="28">
        <v>45770</v>
      </c>
      <c r="F11" s="2" t="s">
        <v>4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4">
        <v>868.85094600830632</v>
      </c>
      <c r="M11" s="24">
        <f t="shared" si="0"/>
        <v>868.85094600830632</v>
      </c>
      <c r="N11" s="24">
        <v>138</v>
      </c>
      <c r="O11" s="24"/>
      <c r="P11" s="3">
        <v>967</v>
      </c>
      <c r="Q11" s="112">
        <v>45988</v>
      </c>
      <c r="R11" s="34">
        <f>O11</f>
        <v>0</v>
      </c>
      <c r="S11" s="26">
        <v>45809</v>
      </c>
    </row>
    <row r="12" spans="1:20" ht="15" x14ac:dyDescent="0.2">
      <c r="A12" s="2" t="s">
        <v>458</v>
      </c>
      <c r="B12" s="2" t="s">
        <v>125</v>
      </c>
      <c r="C12" s="2" t="s">
        <v>118</v>
      </c>
      <c r="D12" s="28">
        <v>45774</v>
      </c>
      <c r="E12" s="28">
        <v>45774</v>
      </c>
      <c r="F12" s="2" t="s">
        <v>4</v>
      </c>
      <c r="G12" s="2">
        <v>1</v>
      </c>
      <c r="H12" s="2">
        <v>0</v>
      </c>
      <c r="I12" s="2">
        <v>0</v>
      </c>
      <c r="J12" s="2">
        <v>1</v>
      </c>
      <c r="K12" s="2">
        <v>0</v>
      </c>
      <c r="L12" s="24">
        <v>868.85094600830632</v>
      </c>
      <c r="M12" s="24">
        <f t="shared" si="0"/>
        <v>0</v>
      </c>
      <c r="N12" s="24">
        <v>138</v>
      </c>
      <c r="O12" s="24"/>
      <c r="P12" s="3">
        <v>967</v>
      </c>
      <c r="Q12" s="112">
        <v>45988</v>
      </c>
    </row>
    <row r="13" spans="1:20" ht="15" x14ac:dyDescent="0.2">
      <c r="A13" s="2" t="s">
        <v>317</v>
      </c>
      <c r="B13" s="2" t="s">
        <v>125</v>
      </c>
      <c r="C13" s="2" t="s">
        <v>118</v>
      </c>
      <c r="D13" s="28">
        <v>45781</v>
      </c>
      <c r="E13" s="28">
        <v>45801</v>
      </c>
      <c r="F13" s="2" t="s">
        <v>5</v>
      </c>
      <c r="G13" s="2">
        <v>21</v>
      </c>
      <c r="H13" s="2">
        <v>15</v>
      </c>
      <c r="I13" s="2">
        <v>3</v>
      </c>
      <c r="J13" s="2">
        <v>3</v>
      </c>
      <c r="K13" s="2">
        <v>0</v>
      </c>
      <c r="L13" s="24">
        <v>868.85094600830632</v>
      </c>
      <c r="M13" s="24">
        <f t="shared" si="0"/>
        <v>13032.764190124595</v>
      </c>
      <c r="N13" s="24">
        <v>2885</v>
      </c>
      <c r="O13" s="24"/>
      <c r="P13" s="3">
        <v>14425</v>
      </c>
      <c r="Q13" s="112">
        <v>45988</v>
      </c>
      <c r="R13" s="34">
        <f>O13</f>
        <v>0</v>
      </c>
      <c r="S13" s="26">
        <v>45809</v>
      </c>
    </row>
    <row r="14" spans="1:20" ht="15" x14ac:dyDescent="0.2">
      <c r="A14" s="2" t="s">
        <v>320</v>
      </c>
      <c r="B14" s="2" t="s">
        <v>125</v>
      </c>
      <c r="C14" s="2" t="s">
        <v>118</v>
      </c>
      <c r="D14" s="28">
        <v>45886</v>
      </c>
      <c r="E14" s="28">
        <v>45890</v>
      </c>
      <c r="F14" s="2" t="s">
        <v>8</v>
      </c>
      <c r="G14" s="2">
        <v>5</v>
      </c>
      <c r="H14" s="2">
        <v>4</v>
      </c>
      <c r="I14" s="2">
        <v>0</v>
      </c>
      <c r="J14" s="2">
        <v>1</v>
      </c>
      <c r="K14" s="2">
        <v>0</v>
      </c>
      <c r="L14" s="24">
        <v>868.85094600830632</v>
      </c>
      <c r="M14" s="24">
        <f t="shared" si="0"/>
        <v>3475.4037840332253</v>
      </c>
      <c r="N14" s="24">
        <v>657</v>
      </c>
      <c r="O14" s="24"/>
      <c r="P14" s="3">
        <v>4673</v>
      </c>
      <c r="Q14" s="112">
        <v>45988</v>
      </c>
    </row>
    <row r="15" spans="1:20" ht="15" x14ac:dyDescent="0.2">
      <c r="A15" s="2" t="s">
        <v>323</v>
      </c>
      <c r="B15" s="2" t="s">
        <v>128</v>
      </c>
      <c r="C15" s="2" t="s">
        <v>118</v>
      </c>
      <c r="D15" s="28">
        <v>45683</v>
      </c>
      <c r="E15" s="28">
        <v>45687</v>
      </c>
      <c r="F15" s="2" t="s">
        <v>1</v>
      </c>
      <c r="G15" s="2">
        <v>5</v>
      </c>
      <c r="H15" s="2">
        <v>4</v>
      </c>
      <c r="I15" s="2">
        <v>0</v>
      </c>
      <c r="J15" s="2">
        <v>1</v>
      </c>
      <c r="K15" s="2">
        <v>0</v>
      </c>
      <c r="L15" s="24">
        <v>670.60452238117205</v>
      </c>
      <c r="M15" s="24">
        <f t="shared" si="0"/>
        <v>2682.4180895246882</v>
      </c>
      <c r="N15" s="24">
        <v>510</v>
      </c>
      <c r="O15" s="24"/>
      <c r="P15" s="3">
        <v>3981</v>
      </c>
      <c r="Q15" s="112">
        <v>45700</v>
      </c>
    </row>
    <row r="16" spans="1:20" ht="15" x14ac:dyDescent="0.2">
      <c r="A16" s="2" t="s">
        <v>326</v>
      </c>
      <c r="B16" s="2" t="s">
        <v>128</v>
      </c>
      <c r="C16" s="2" t="s">
        <v>118</v>
      </c>
      <c r="D16" s="28">
        <v>45769</v>
      </c>
      <c r="E16" s="28">
        <v>45806</v>
      </c>
      <c r="F16" s="2" t="s">
        <v>4</v>
      </c>
      <c r="G16" s="2">
        <v>38</v>
      </c>
      <c r="H16" s="2">
        <v>28</v>
      </c>
      <c r="I16" s="2">
        <v>5</v>
      </c>
      <c r="J16" s="2">
        <v>5</v>
      </c>
      <c r="K16" s="2">
        <v>0</v>
      </c>
      <c r="L16" s="24">
        <v>670.60452238117205</v>
      </c>
      <c r="M16" s="24">
        <f t="shared" si="0"/>
        <v>18776.926626672815</v>
      </c>
      <c r="N16" s="24">
        <v>3755.3853253345628</v>
      </c>
      <c r="O16" s="24"/>
      <c r="P16" s="3"/>
    </row>
    <row r="17" spans="1:17" ht="15" x14ac:dyDescent="0.2">
      <c r="A17" s="2" t="s">
        <v>328</v>
      </c>
      <c r="B17" s="2" t="s">
        <v>128</v>
      </c>
      <c r="C17" s="2" t="s">
        <v>118</v>
      </c>
      <c r="D17" s="28">
        <v>45811</v>
      </c>
      <c r="E17" s="28">
        <v>45838</v>
      </c>
      <c r="F17" s="2" t="s">
        <v>6</v>
      </c>
      <c r="G17" s="2">
        <v>28</v>
      </c>
      <c r="H17" s="2">
        <v>20</v>
      </c>
      <c r="I17" s="2">
        <v>4</v>
      </c>
      <c r="J17" s="2">
        <v>4</v>
      </c>
      <c r="K17" s="2">
        <v>0</v>
      </c>
      <c r="L17" s="24">
        <v>670.60452238117205</v>
      </c>
      <c r="M17" s="24">
        <f t="shared" si="0"/>
        <v>13412.090447623441</v>
      </c>
      <c r="N17" s="24">
        <v>2682.4180895246882</v>
      </c>
      <c r="O17" s="24"/>
      <c r="P17" s="3"/>
    </row>
    <row r="18" spans="1:17" ht="15" x14ac:dyDescent="0.2">
      <c r="A18" s="2" t="s">
        <v>459</v>
      </c>
      <c r="B18" s="2" t="s">
        <v>128</v>
      </c>
      <c r="C18" s="2" t="s">
        <v>118</v>
      </c>
      <c r="D18" s="28">
        <v>45845</v>
      </c>
      <c r="E18" s="28">
        <v>45845</v>
      </c>
      <c r="F18" s="2" t="s">
        <v>7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4">
        <v>670.60452238117205</v>
      </c>
      <c r="M18" s="24">
        <f t="shared" si="0"/>
        <v>670.60452238117205</v>
      </c>
      <c r="N18" s="24">
        <v>134.12090447623439</v>
      </c>
      <c r="O18" s="24"/>
      <c r="P18" s="3"/>
    </row>
    <row r="19" spans="1:17" ht="15" x14ac:dyDescent="0.2">
      <c r="A19" s="2" t="s">
        <v>460</v>
      </c>
      <c r="B19" s="2" t="s">
        <v>128</v>
      </c>
      <c r="C19" s="2" t="s">
        <v>118</v>
      </c>
      <c r="D19" s="28">
        <v>45865</v>
      </c>
      <c r="E19" s="28">
        <v>45866</v>
      </c>
      <c r="F19" s="2" t="s">
        <v>7</v>
      </c>
      <c r="G19" s="2">
        <v>2</v>
      </c>
      <c r="H19" s="2">
        <v>1</v>
      </c>
      <c r="I19" s="2">
        <v>0</v>
      </c>
      <c r="J19" s="2">
        <v>1</v>
      </c>
      <c r="K19" s="2">
        <v>0</v>
      </c>
      <c r="L19" s="24">
        <v>670.60452238117205</v>
      </c>
      <c r="M19" s="24">
        <f t="shared" si="0"/>
        <v>670.60452238117205</v>
      </c>
      <c r="N19" s="24">
        <v>134.12090447623439</v>
      </c>
      <c r="O19" s="24"/>
      <c r="P19" s="3"/>
    </row>
    <row r="20" spans="1:17" ht="15" x14ac:dyDescent="0.2">
      <c r="A20" s="2" t="s">
        <v>334</v>
      </c>
      <c r="B20" s="2" t="s">
        <v>128</v>
      </c>
      <c r="C20" s="2" t="s">
        <v>118</v>
      </c>
      <c r="D20" s="28">
        <v>45875</v>
      </c>
      <c r="E20" s="28">
        <v>45876</v>
      </c>
      <c r="F20" s="2" t="s">
        <v>8</v>
      </c>
      <c r="G20" s="2">
        <v>2</v>
      </c>
      <c r="H20" s="2">
        <v>2</v>
      </c>
      <c r="I20" s="2">
        <v>0</v>
      </c>
      <c r="J20" s="2">
        <v>0</v>
      </c>
      <c r="K20" s="2">
        <v>0</v>
      </c>
      <c r="L20" s="24">
        <v>670.60452238117205</v>
      </c>
      <c r="M20" s="24">
        <f t="shared" si="0"/>
        <v>1341.2090447623441</v>
      </c>
      <c r="N20" s="24">
        <v>268.24180895246877</v>
      </c>
      <c r="O20" s="24"/>
      <c r="P20" s="3"/>
    </row>
    <row r="21" spans="1:17" ht="15" x14ac:dyDescent="0.2">
      <c r="A21" s="2" t="s">
        <v>461</v>
      </c>
      <c r="B21" s="2" t="s">
        <v>128</v>
      </c>
      <c r="C21" s="2" t="s">
        <v>118</v>
      </c>
      <c r="D21" s="28">
        <v>45909</v>
      </c>
      <c r="E21" s="28">
        <v>45911</v>
      </c>
      <c r="F21" s="2" t="s">
        <v>9</v>
      </c>
      <c r="G21" s="2">
        <v>3</v>
      </c>
      <c r="H21" s="2">
        <v>3</v>
      </c>
      <c r="I21" s="2">
        <v>0</v>
      </c>
      <c r="J21" s="2">
        <v>0</v>
      </c>
      <c r="K21" s="2">
        <v>0</v>
      </c>
      <c r="L21" s="54">
        <v>670.60452238117205</v>
      </c>
      <c r="M21" s="24">
        <f t="shared" si="0"/>
        <v>2011.8135671435161</v>
      </c>
      <c r="N21" s="24">
        <v>402.36271342870327</v>
      </c>
      <c r="O21" s="24"/>
      <c r="P21" s="3"/>
    </row>
    <row r="22" spans="1:17" ht="15" x14ac:dyDescent="0.2">
      <c r="A22" s="2" t="s">
        <v>462</v>
      </c>
      <c r="B22" s="2" t="s">
        <v>128</v>
      </c>
      <c r="C22" s="2" t="s">
        <v>118</v>
      </c>
      <c r="D22" s="28">
        <v>45930</v>
      </c>
      <c r="E22" s="28">
        <v>45930</v>
      </c>
      <c r="F22" s="2" t="s">
        <v>9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4">
        <v>670.60452238117205</v>
      </c>
      <c r="M22" s="24">
        <f t="shared" si="0"/>
        <v>670.60452238117205</v>
      </c>
      <c r="N22" s="24">
        <v>134.12090447623439</v>
      </c>
      <c r="O22" s="24"/>
      <c r="P22" s="3"/>
    </row>
    <row r="23" spans="1:17" ht="15" x14ac:dyDescent="0.2">
      <c r="A23" s="2" t="s">
        <v>338</v>
      </c>
      <c r="B23" s="2" t="s">
        <v>131</v>
      </c>
      <c r="C23" s="2" t="s">
        <v>118</v>
      </c>
      <c r="D23" s="28">
        <v>45813</v>
      </c>
      <c r="E23" s="28">
        <v>45813</v>
      </c>
      <c r="F23" s="2" t="s">
        <v>6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4">
        <v>950.00461467466528</v>
      </c>
      <c r="M23" s="24">
        <f t="shared" si="0"/>
        <v>950.00461467466528</v>
      </c>
      <c r="N23" s="24">
        <v>190.0009229349331</v>
      </c>
      <c r="O23" s="24"/>
      <c r="P23" s="3"/>
    </row>
    <row r="24" spans="1:17" ht="15" x14ac:dyDescent="0.2">
      <c r="A24" s="2" t="s">
        <v>463</v>
      </c>
      <c r="B24" s="2" t="s">
        <v>134</v>
      </c>
      <c r="C24" s="2" t="s">
        <v>135</v>
      </c>
      <c r="D24" s="28">
        <v>45708</v>
      </c>
      <c r="E24" s="28">
        <v>45708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4">
        <v>1282.464236271343</v>
      </c>
      <c r="M24" s="24">
        <f t="shared" si="0"/>
        <v>1282.464236271343</v>
      </c>
      <c r="N24" s="24">
        <v>256.49284725426861</v>
      </c>
      <c r="O24" s="24"/>
      <c r="P24" s="3"/>
    </row>
    <row r="25" spans="1:17" ht="15" x14ac:dyDescent="0.2">
      <c r="A25" s="2" t="s">
        <v>464</v>
      </c>
      <c r="B25" s="2" t="s">
        <v>134</v>
      </c>
      <c r="C25" s="2" t="s">
        <v>135</v>
      </c>
      <c r="D25" s="28">
        <v>45711</v>
      </c>
      <c r="E25" s="28">
        <v>45711</v>
      </c>
      <c r="F25" s="2" t="s">
        <v>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4">
        <v>1282.464236271343</v>
      </c>
      <c r="M25" s="24">
        <f t="shared" si="0"/>
        <v>0</v>
      </c>
      <c r="N25" s="24">
        <v>0</v>
      </c>
      <c r="O25" s="24"/>
      <c r="P25" s="3"/>
    </row>
    <row r="26" spans="1:17" ht="15" x14ac:dyDescent="0.2">
      <c r="A26" s="2" t="s">
        <v>342</v>
      </c>
      <c r="B26" s="2" t="s">
        <v>134</v>
      </c>
      <c r="C26" s="2" t="s">
        <v>135</v>
      </c>
      <c r="D26" s="28">
        <v>45820</v>
      </c>
      <c r="E26" s="28">
        <v>45837</v>
      </c>
      <c r="F26" s="2" t="s">
        <v>6</v>
      </c>
      <c r="G26" s="2">
        <v>18</v>
      </c>
      <c r="H26" s="2">
        <v>12</v>
      </c>
      <c r="I26" s="2">
        <v>3</v>
      </c>
      <c r="J26" s="2">
        <v>3</v>
      </c>
      <c r="K26" s="2">
        <v>0</v>
      </c>
      <c r="L26" s="24">
        <v>1282.464236271343</v>
      </c>
      <c r="M26" s="24">
        <f t="shared" si="0"/>
        <v>15389.570835256116</v>
      </c>
      <c r="N26" s="24">
        <v>3077.914167051224</v>
      </c>
      <c r="O26" s="24"/>
      <c r="P26" s="3"/>
    </row>
    <row r="27" spans="1:17" ht="15" x14ac:dyDescent="0.2">
      <c r="A27" s="2" t="s">
        <v>465</v>
      </c>
      <c r="B27" s="2" t="s">
        <v>139</v>
      </c>
      <c r="C27" s="2" t="s">
        <v>135</v>
      </c>
      <c r="D27" s="28">
        <v>45658</v>
      </c>
      <c r="E27" s="28">
        <v>45658</v>
      </c>
      <c r="F27" s="2" t="s">
        <v>1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4">
        <v>1096.169820027688</v>
      </c>
      <c r="M27" s="24">
        <f t="shared" si="0"/>
        <v>1096.169820027688</v>
      </c>
      <c r="N27" s="24">
        <v>210</v>
      </c>
      <c r="O27" s="24"/>
      <c r="P27" s="3">
        <f>1051+615</f>
        <v>1666</v>
      </c>
      <c r="Q27" s="112">
        <v>45697</v>
      </c>
    </row>
    <row r="28" spans="1:17" ht="15" x14ac:dyDescent="0.2">
      <c r="A28" s="2"/>
      <c r="B28" s="2" t="s">
        <v>139</v>
      </c>
      <c r="C28" s="2" t="s">
        <v>135</v>
      </c>
      <c r="D28" s="28">
        <v>45658</v>
      </c>
      <c r="E28" s="28">
        <v>45658</v>
      </c>
      <c r="F28" s="2" t="s">
        <v>1</v>
      </c>
      <c r="G28" s="2">
        <v>1</v>
      </c>
      <c r="H28" s="2">
        <v>1</v>
      </c>
      <c r="I28" s="2">
        <v>0</v>
      </c>
      <c r="J28" s="2">
        <v>0</v>
      </c>
      <c r="K28" s="2">
        <v>0</v>
      </c>
      <c r="L28" s="24"/>
      <c r="M28" s="24"/>
      <c r="N28" s="24"/>
      <c r="O28" s="24">
        <v>420</v>
      </c>
      <c r="P28" s="3"/>
      <c r="Q28" s="112">
        <v>45775</v>
      </c>
    </row>
    <row r="29" spans="1:17" ht="15" x14ac:dyDescent="0.2">
      <c r="A29" s="2" t="s">
        <v>466</v>
      </c>
      <c r="B29" s="2" t="s">
        <v>139</v>
      </c>
      <c r="C29" s="2" t="s">
        <v>135</v>
      </c>
      <c r="D29" s="28">
        <v>45676</v>
      </c>
      <c r="E29" s="28">
        <v>45680</v>
      </c>
      <c r="F29" s="2" t="s">
        <v>1</v>
      </c>
      <c r="G29" s="2">
        <v>5</v>
      </c>
      <c r="H29" s="2">
        <v>4</v>
      </c>
      <c r="I29" s="2">
        <v>0</v>
      </c>
      <c r="J29" s="2">
        <v>1</v>
      </c>
      <c r="K29" s="2">
        <v>0</v>
      </c>
      <c r="L29" s="24">
        <v>1096.169820027688</v>
      </c>
      <c r="M29" s="24">
        <f>L29*H29</f>
        <v>4384.6792801107522</v>
      </c>
      <c r="N29" s="24">
        <v>1051</v>
      </c>
      <c r="O29" s="24"/>
      <c r="P29" s="3">
        <f>5257+3073</f>
        <v>8330</v>
      </c>
      <c r="Q29" s="112">
        <v>45697</v>
      </c>
    </row>
    <row r="30" spans="1:17" ht="15" x14ac:dyDescent="0.2">
      <c r="A30" s="2"/>
      <c r="B30" s="2" t="s">
        <v>139</v>
      </c>
      <c r="C30" s="2" t="s">
        <v>135</v>
      </c>
      <c r="D30" s="28">
        <v>45676</v>
      </c>
      <c r="E30" s="28">
        <v>45680</v>
      </c>
      <c r="F30" s="2" t="s">
        <v>1</v>
      </c>
      <c r="G30" s="2">
        <v>5</v>
      </c>
      <c r="H30" s="2">
        <v>4</v>
      </c>
      <c r="I30" s="2">
        <v>0</v>
      </c>
      <c r="J30" s="2">
        <v>1</v>
      </c>
      <c r="K30" s="2">
        <v>0</v>
      </c>
      <c r="L30" s="24"/>
      <c r="M30" s="24"/>
      <c r="N30" s="24"/>
      <c r="O30" s="24">
        <v>2103</v>
      </c>
      <c r="P30" s="3"/>
      <c r="Q30" s="112">
        <v>45775</v>
      </c>
    </row>
    <row r="31" spans="1:17" ht="15" x14ac:dyDescent="0.2">
      <c r="A31" s="2" t="s">
        <v>467</v>
      </c>
      <c r="B31" s="2" t="s">
        <v>139</v>
      </c>
      <c r="C31" s="2" t="s">
        <v>135</v>
      </c>
      <c r="D31" s="28">
        <v>45698</v>
      </c>
      <c r="E31" s="28">
        <v>45698</v>
      </c>
      <c r="F31" s="2" t="s">
        <v>2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4">
        <v>1096.169820027688</v>
      </c>
      <c r="M31" s="24">
        <f>L31*H31</f>
        <v>1096.169820027688</v>
      </c>
      <c r="N31" s="24"/>
      <c r="O31" s="24"/>
      <c r="P31" s="3">
        <f>492+1174</f>
        <v>1666</v>
      </c>
      <c r="Q31" s="25">
        <v>45777</v>
      </c>
    </row>
    <row r="32" spans="1:17" ht="15" x14ac:dyDescent="0.2">
      <c r="A32" s="2"/>
      <c r="B32" s="2" t="s">
        <v>139</v>
      </c>
      <c r="C32" s="2" t="s">
        <v>135</v>
      </c>
      <c r="D32" s="28">
        <v>45698</v>
      </c>
      <c r="E32" s="28">
        <v>45698</v>
      </c>
      <c r="F32" s="2" t="s">
        <v>2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4"/>
      <c r="M32" s="24"/>
      <c r="N32" s="24"/>
      <c r="O32" s="24">
        <v>666</v>
      </c>
      <c r="P32" s="3"/>
      <c r="Q32" s="25">
        <v>45800</v>
      </c>
    </row>
    <row r="33" spans="1:17" ht="15" x14ac:dyDescent="0.2">
      <c r="A33" s="2" t="s">
        <v>468</v>
      </c>
      <c r="B33" s="2" t="s">
        <v>139</v>
      </c>
      <c r="C33" s="2" t="s">
        <v>135</v>
      </c>
      <c r="D33" s="28">
        <v>45706</v>
      </c>
      <c r="E33" s="28">
        <v>45707</v>
      </c>
      <c r="F33" s="2" t="s">
        <v>2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4">
        <v>1096.169820027688</v>
      </c>
      <c r="M33" s="24">
        <f>L33*H33</f>
        <v>2192.3396400553761</v>
      </c>
      <c r="N33" s="24">
        <v>470</v>
      </c>
      <c r="O33" s="24"/>
      <c r="P33" s="3">
        <f>1378+3287</f>
        <v>4665</v>
      </c>
      <c r="Q33" s="25">
        <v>45777</v>
      </c>
    </row>
    <row r="34" spans="1:17" ht="15" x14ac:dyDescent="0.2">
      <c r="A34" s="2" t="s">
        <v>469</v>
      </c>
      <c r="B34" s="2" t="s">
        <v>139</v>
      </c>
      <c r="C34" s="2" t="s">
        <v>135</v>
      </c>
      <c r="D34" s="28">
        <v>45714</v>
      </c>
      <c r="E34" s="28">
        <v>45714</v>
      </c>
      <c r="F34" s="2" t="s">
        <v>2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4">
        <v>1096.169820027688</v>
      </c>
      <c r="M34" s="24">
        <f>L34*H34</f>
        <v>1096.169820027688</v>
      </c>
      <c r="N34" s="24">
        <v>247</v>
      </c>
      <c r="O34" s="24"/>
      <c r="P34" s="3">
        <f>492+1174</f>
        <v>1666</v>
      </c>
      <c r="Q34" s="25">
        <v>45777</v>
      </c>
    </row>
    <row r="35" spans="1:17" ht="15" x14ac:dyDescent="0.2">
      <c r="A35" s="2"/>
      <c r="B35" s="2" t="s">
        <v>139</v>
      </c>
      <c r="C35" s="2" t="s">
        <v>135</v>
      </c>
      <c r="D35" s="28">
        <v>45714</v>
      </c>
      <c r="E35" s="28">
        <v>45714</v>
      </c>
      <c r="F35" s="2" t="s">
        <v>2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4"/>
      <c r="M35" s="24"/>
      <c r="N35" s="24"/>
      <c r="O35" s="24">
        <v>666</v>
      </c>
      <c r="P35" s="3"/>
      <c r="Q35" s="25">
        <v>45800</v>
      </c>
    </row>
    <row r="36" spans="1:17" ht="15" x14ac:dyDescent="0.2">
      <c r="A36" s="2" t="s">
        <v>470</v>
      </c>
      <c r="B36" s="2" t="s">
        <v>139</v>
      </c>
      <c r="C36" s="2" t="s">
        <v>135</v>
      </c>
      <c r="D36" s="28">
        <v>45720</v>
      </c>
      <c r="E36" s="28">
        <v>45720</v>
      </c>
      <c r="F36" s="2" t="s">
        <v>3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4">
        <v>1096.169820027688</v>
      </c>
      <c r="M36" s="24">
        <f>L36*H36</f>
        <v>1096.169820027688</v>
      </c>
      <c r="N36" s="24">
        <v>247</v>
      </c>
      <c r="O36" s="24"/>
      <c r="P36" s="3">
        <f>433+1233</f>
        <v>1666</v>
      </c>
      <c r="Q36" s="112">
        <v>45777</v>
      </c>
    </row>
    <row r="37" spans="1:17" ht="15" x14ac:dyDescent="0.2">
      <c r="A37" s="2"/>
      <c r="B37" s="2" t="s">
        <v>139</v>
      </c>
      <c r="C37" s="2" t="s">
        <v>135</v>
      </c>
      <c r="D37" s="28">
        <v>45720</v>
      </c>
      <c r="E37" s="28">
        <v>45720</v>
      </c>
      <c r="F37" s="2" t="s">
        <v>3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4"/>
      <c r="M37" s="24"/>
      <c r="N37" s="24"/>
      <c r="O37" s="24">
        <v>666</v>
      </c>
      <c r="P37" s="3"/>
      <c r="Q37" s="112">
        <v>45834</v>
      </c>
    </row>
    <row r="38" spans="1:17" ht="15" x14ac:dyDescent="0.2">
      <c r="A38" s="2" t="s">
        <v>471</v>
      </c>
      <c r="B38" s="2" t="s">
        <v>139</v>
      </c>
      <c r="C38" s="2" t="s">
        <v>135</v>
      </c>
      <c r="D38" s="28">
        <v>45733</v>
      </c>
      <c r="E38" s="28">
        <v>45735</v>
      </c>
      <c r="F38" s="2" t="s">
        <v>3</v>
      </c>
      <c r="G38" s="2">
        <v>3</v>
      </c>
      <c r="H38" s="2">
        <v>3</v>
      </c>
      <c r="I38" s="2">
        <v>0</v>
      </c>
      <c r="J38" s="2">
        <v>0</v>
      </c>
      <c r="K38" s="2">
        <v>0</v>
      </c>
      <c r="L38" s="24">
        <v>1096.169820027688</v>
      </c>
      <c r="M38" s="24">
        <f>L38*H38</f>
        <v>3288.5094600830644</v>
      </c>
      <c r="N38" s="24">
        <f>493+247</f>
        <v>740</v>
      </c>
      <c r="O38" s="24"/>
      <c r="P38" s="3">
        <f>866+433+1233+2466</f>
        <v>4998</v>
      </c>
      <c r="Q38" s="112">
        <v>45834</v>
      </c>
    </row>
    <row r="39" spans="1:17" ht="15" x14ac:dyDescent="0.2">
      <c r="A39" s="2"/>
      <c r="B39" s="2" t="s">
        <v>139</v>
      </c>
      <c r="C39" s="2" t="s">
        <v>135</v>
      </c>
      <c r="D39" s="28">
        <v>45733</v>
      </c>
      <c r="E39" s="28">
        <v>45735</v>
      </c>
      <c r="F39" s="2" t="s">
        <v>3</v>
      </c>
      <c r="G39" s="2">
        <v>3</v>
      </c>
      <c r="H39" s="2">
        <v>3</v>
      </c>
      <c r="I39" s="2">
        <v>0</v>
      </c>
      <c r="J39" s="2">
        <v>0</v>
      </c>
      <c r="K39" s="2">
        <v>0</v>
      </c>
      <c r="L39" s="24"/>
      <c r="M39" s="24"/>
      <c r="N39" s="24"/>
      <c r="O39" s="24">
        <v>1999</v>
      </c>
      <c r="P39" s="3"/>
      <c r="Q39" s="112">
        <v>45834</v>
      </c>
    </row>
    <row r="40" spans="1:17" ht="15" x14ac:dyDescent="0.2">
      <c r="A40" s="2" t="s">
        <v>472</v>
      </c>
      <c r="B40" s="2" t="s">
        <v>139</v>
      </c>
      <c r="C40" s="2" t="s">
        <v>135</v>
      </c>
      <c r="D40" s="28">
        <v>45746</v>
      </c>
      <c r="E40" s="28">
        <v>45747</v>
      </c>
      <c r="F40" s="2" t="s">
        <v>3</v>
      </c>
      <c r="G40" s="2">
        <v>2</v>
      </c>
      <c r="H40" s="2">
        <v>4</v>
      </c>
      <c r="I40" s="2">
        <v>0</v>
      </c>
      <c r="J40" s="2">
        <v>1</v>
      </c>
      <c r="K40" s="2">
        <v>0</v>
      </c>
      <c r="L40" s="24">
        <v>1096.169820027688</v>
      </c>
      <c r="M40" s="24">
        <f t="shared" ref="M40:M71" si="1">L40*H40</f>
        <v>4384.6792801107522</v>
      </c>
      <c r="N40" s="24">
        <v>493</v>
      </c>
      <c r="O40" s="24"/>
      <c r="P40" s="3">
        <f>866+2466</f>
        <v>3332</v>
      </c>
      <c r="Q40" s="25">
        <v>45777</v>
      </c>
    </row>
    <row r="41" spans="1:17" ht="15" x14ac:dyDescent="0.2">
      <c r="A41" s="2" t="s">
        <v>346</v>
      </c>
      <c r="B41" s="2" t="s">
        <v>139</v>
      </c>
      <c r="C41" s="2" t="s">
        <v>135</v>
      </c>
      <c r="D41" s="30">
        <v>45748</v>
      </c>
      <c r="E41" s="30">
        <v>45750</v>
      </c>
      <c r="F41" s="31" t="s">
        <v>4</v>
      </c>
      <c r="G41" s="2">
        <v>3</v>
      </c>
      <c r="H41" s="2">
        <v>3</v>
      </c>
      <c r="I41" s="2">
        <v>0</v>
      </c>
      <c r="J41" s="2">
        <v>0</v>
      </c>
      <c r="K41" s="2">
        <v>0</v>
      </c>
      <c r="L41" s="24">
        <v>1096.17</v>
      </c>
      <c r="M41" s="24">
        <f t="shared" si="1"/>
        <v>3288.51</v>
      </c>
      <c r="N41" s="2">
        <v>760</v>
      </c>
      <c r="O41" s="2"/>
      <c r="P41" s="3">
        <v>4998</v>
      </c>
      <c r="Q41" s="25">
        <v>45877</v>
      </c>
    </row>
    <row r="42" spans="1:17" ht="15" x14ac:dyDescent="0.2">
      <c r="A42" s="2" t="s">
        <v>346</v>
      </c>
      <c r="B42" s="2" t="s">
        <v>139</v>
      </c>
      <c r="C42" s="2" t="s">
        <v>135</v>
      </c>
      <c r="D42" s="28">
        <v>45756</v>
      </c>
      <c r="E42" s="28">
        <v>45757</v>
      </c>
      <c r="F42" s="2" t="s">
        <v>4</v>
      </c>
      <c r="G42" s="2">
        <v>2</v>
      </c>
      <c r="H42" s="2">
        <v>2</v>
      </c>
      <c r="I42" s="2">
        <v>0</v>
      </c>
      <c r="J42" s="2">
        <v>0</v>
      </c>
      <c r="K42" s="2">
        <v>0</v>
      </c>
      <c r="L42" s="24">
        <v>1096.169820027688</v>
      </c>
      <c r="M42" s="24">
        <f t="shared" si="1"/>
        <v>2192.3396400553761</v>
      </c>
      <c r="N42" s="24">
        <v>506</v>
      </c>
      <c r="O42" s="24"/>
      <c r="P42" s="3">
        <v>3332</v>
      </c>
      <c r="Q42" s="25">
        <v>45877</v>
      </c>
    </row>
    <row r="43" spans="1:17" ht="15" x14ac:dyDescent="0.2">
      <c r="A43" s="2" t="s">
        <v>473</v>
      </c>
      <c r="B43" s="2" t="s">
        <v>139</v>
      </c>
      <c r="C43" s="2" t="s">
        <v>135</v>
      </c>
      <c r="D43" s="28">
        <v>45781</v>
      </c>
      <c r="E43" s="28">
        <v>45785</v>
      </c>
      <c r="F43" s="2" t="s">
        <v>5</v>
      </c>
      <c r="G43" s="2">
        <v>5</v>
      </c>
      <c r="H43" s="2">
        <v>5</v>
      </c>
      <c r="I43" s="2">
        <v>0</v>
      </c>
      <c r="J43" s="2">
        <v>0</v>
      </c>
      <c r="K43" s="2">
        <v>0</v>
      </c>
      <c r="L43" s="24">
        <v>1096.169820027688</v>
      </c>
      <c r="M43" s="24">
        <f t="shared" si="1"/>
        <v>5480.84910013844</v>
      </c>
      <c r="N43" s="24">
        <v>1254</v>
      </c>
      <c r="O43" s="24"/>
      <c r="P43" s="3">
        <v>8775</v>
      </c>
      <c r="Q43" s="25">
        <v>45877</v>
      </c>
    </row>
    <row r="44" spans="1:17" ht="15" x14ac:dyDescent="0.2">
      <c r="A44" s="2" t="s">
        <v>474</v>
      </c>
      <c r="B44" s="2" t="s">
        <v>139</v>
      </c>
      <c r="C44" s="2" t="s">
        <v>135</v>
      </c>
      <c r="D44" s="28">
        <v>45789</v>
      </c>
      <c r="E44" s="28">
        <v>45789</v>
      </c>
      <c r="F44" s="2" t="s">
        <v>5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  <c r="L44" s="24">
        <v>1096.169820027688</v>
      </c>
      <c r="M44" s="24">
        <f t="shared" si="1"/>
        <v>1096.169820027688</v>
      </c>
      <c r="N44" s="24">
        <v>251</v>
      </c>
      <c r="O44" s="24"/>
      <c r="P44" s="3">
        <v>1254</v>
      </c>
      <c r="Q44" s="25">
        <v>45877</v>
      </c>
    </row>
    <row r="45" spans="1:17" ht="15" x14ac:dyDescent="0.2">
      <c r="A45" s="2" t="s">
        <v>475</v>
      </c>
      <c r="B45" s="2" t="s">
        <v>139</v>
      </c>
      <c r="C45" s="2" t="s">
        <v>135</v>
      </c>
      <c r="D45" s="28">
        <v>45805</v>
      </c>
      <c r="E45" s="28">
        <v>45805</v>
      </c>
      <c r="F45" s="2" t="s">
        <v>5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4">
        <v>1096.169820027688</v>
      </c>
      <c r="M45" s="24">
        <f t="shared" si="1"/>
        <v>1096.169820027688</v>
      </c>
      <c r="N45" s="24">
        <v>251</v>
      </c>
      <c r="O45" s="24"/>
      <c r="P45" s="3">
        <v>1254</v>
      </c>
      <c r="Q45" s="25">
        <v>45877</v>
      </c>
    </row>
    <row r="46" spans="1:17" ht="15" x14ac:dyDescent="0.2">
      <c r="A46" s="2" t="s">
        <v>476</v>
      </c>
      <c r="B46" s="2" t="s">
        <v>139</v>
      </c>
      <c r="C46" s="2" t="s">
        <v>135</v>
      </c>
      <c r="D46" s="28">
        <v>45813</v>
      </c>
      <c r="E46" s="28">
        <v>45813</v>
      </c>
      <c r="F46" s="2" t="s">
        <v>6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4">
        <v>1096.169820027688</v>
      </c>
      <c r="M46" s="24">
        <f t="shared" si="1"/>
        <v>1096.169820027688</v>
      </c>
      <c r="N46" s="54">
        <v>259</v>
      </c>
      <c r="O46" s="24"/>
      <c r="P46" s="3">
        <v>1811</v>
      </c>
      <c r="Q46" s="25">
        <v>45877</v>
      </c>
    </row>
    <row r="47" spans="1:17" ht="15" x14ac:dyDescent="0.2">
      <c r="A47" s="2" t="s">
        <v>477</v>
      </c>
      <c r="B47" s="2" t="s">
        <v>139</v>
      </c>
      <c r="C47" s="2" t="s">
        <v>135</v>
      </c>
      <c r="D47" s="28">
        <v>45819</v>
      </c>
      <c r="E47" s="28">
        <v>45820</v>
      </c>
      <c r="F47" s="2" t="s">
        <v>6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4">
        <v>1096.169820027688</v>
      </c>
      <c r="M47" s="24">
        <f t="shared" si="1"/>
        <v>2192.3396400553761</v>
      </c>
      <c r="N47" s="24">
        <v>517</v>
      </c>
      <c r="O47" s="24"/>
      <c r="P47" s="3">
        <v>2587</v>
      </c>
      <c r="Q47" s="25">
        <v>45877</v>
      </c>
    </row>
    <row r="48" spans="1:17" ht="15" x14ac:dyDescent="0.2">
      <c r="A48" s="2" t="s">
        <v>350</v>
      </c>
      <c r="B48" s="2" t="s">
        <v>139</v>
      </c>
      <c r="C48" s="2" t="s">
        <v>135</v>
      </c>
      <c r="D48" s="28">
        <v>45866</v>
      </c>
      <c r="E48" s="28">
        <v>45869</v>
      </c>
      <c r="F48" s="2" t="s">
        <v>7</v>
      </c>
      <c r="G48" s="2">
        <v>4</v>
      </c>
      <c r="H48" s="2">
        <v>4</v>
      </c>
      <c r="I48" s="2">
        <v>0</v>
      </c>
      <c r="J48" s="2">
        <v>0</v>
      </c>
      <c r="K48" s="2">
        <v>0</v>
      </c>
      <c r="L48" s="24">
        <v>1096.169820027688</v>
      </c>
      <c r="M48" s="24">
        <f t="shared" si="1"/>
        <v>4384.6792801107522</v>
      </c>
      <c r="N48" s="24"/>
      <c r="O48" s="24"/>
      <c r="P48" s="3"/>
    </row>
    <row r="49" spans="1:20" ht="15" x14ac:dyDescent="0.2">
      <c r="A49" s="2" t="s">
        <v>351</v>
      </c>
      <c r="B49" s="2" t="s">
        <v>139</v>
      </c>
      <c r="C49" s="2" t="s">
        <v>135</v>
      </c>
      <c r="D49" s="28">
        <v>45917</v>
      </c>
      <c r="E49" s="28">
        <v>45917</v>
      </c>
      <c r="F49" s="2" t="s">
        <v>9</v>
      </c>
      <c r="G49" s="2">
        <v>2</v>
      </c>
      <c r="H49" s="2">
        <v>2</v>
      </c>
      <c r="I49" s="2">
        <v>0</v>
      </c>
      <c r="J49" s="2">
        <v>0</v>
      </c>
      <c r="K49" s="2">
        <v>0</v>
      </c>
      <c r="L49" s="24">
        <v>1096.169820027688</v>
      </c>
      <c r="M49" s="24">
        <f t="shared" si="1"/>
        <v>2192.3396400553761</v>
      </c>
      <c r="N49" s="24"/>
      <c r="O49" s="24"/>
      <c r="P49" s="3"/>
      <c r="R49" s="34">
        <f>P49-M49</f>
        <v>-2192.3396400553761</v>
      </c>
      <c r="T49" t="s">
        <v>566</v>
      </c>
    </row>
    <row r="50" spans="1:20" ht="15" x14ac:dyDescent="0.2">
      <c r="A50" s="2" t="s">
        <v>478</v>
      </c>
      <c r="B50" s="2" t="s">
        <v>142</v>
      </c>
      <c r="C50" s="2" t="s">
        <v>113</v>
      </c>
      <c r="D50" s="28">
        <v>45859</v>
      </c>
      <c r="E50" s="28">
        <v>45859</v>
      </c>
      <c r="F50" s="2" t="s">
        <v>7</v>
      </c>
      <c r="G50" s="2">
        <v>1</v>
      </c>
      <c r="H50" s="2">
        <v>1</v>
      </c>
      <c r="I50" s="2">
        <v>0</v>
      </c>
      <c r="J50" s="2">
        <v>0</v>
      </c>
      <c r="K50" s="2">
        <v>0</v>
      </c>
      <c r="L50" s="24">
        <v>834.19473927088131</v>
      </c>
      <c r="M50" s="24">
        <f t="shared" si="1"/>
        <v>834.19473927088131</v>
      </c>
      <c r="N50" s="24">
        <v>166.8389478541763</v>
      </c>
      <c r="O50" s="24"/>
      <c r="P50" s="3"/>
      <c r="R50" s="34">
        <f>P50-M50</f>
        <v>-834.19473927088131</v>
      </c>
      <c r="T50" t="s">
        <v>566</v>
      </c>
    </row>
    <row r="51" spans="1:20" ht="15" x14ac:dyDescent="0.2">
      <c r="A51" s="2" t="s">
        <v>479</v>
      </c>
      <c r="B51" s="2" t="s">
        <v>142</v>
      </c>
      <c r="C51" s="2" t="s">
        <v>113</v>
      </c>
      <c r="D51" s="28">
        <v>45861</v>
      </c>
      <c r="E51" s="28">
        <v>45862</v>
      </c>
      <c r="F51" s="2" t="s">
        <v>7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4">
        <v>834.19473927088131</v>
      </c>
      <c r="M51" s="24">
        <f t="shared" si="1"/>
        <v>1668.3894785417626</v>
      </c>
      <c r="N51" s="24">
        <v>333.67789570835248</v>
      </c>
      <c r="O51" s="24"/>
      <c r="P51" s="3"/>
      <c r="R51" s="34">
        <f>P51-M51</f>
        <v>-1668.3894785417626</v>
      </c>
      <c r="T51" t="s">
        <v>566</v>
      </c>
    </row>
    <row r="52" spans="1:20" ht="15" x14ac:dyDescent="0.2">
      <c r="A52" s="2" t="s">
        <v>480</v>
      </c>
      <c r="B52" s="2" t="s">
        <v>142</v>
      </c>
      <c r="C52" s="2" t="s">
        <v>113</v>
      </c>
      <c r="D52" s="28">
        <v>45866</v>
      </c>
      <c r="E52" s="28">
        <v>45868</v>
      </c>
      <c r="F52" s="2" t="s">
        <v>7</v>
      </c>
      <c r="G52" s="2">
        <v>3</v>
      </c>
      <c r="H52" s="2">
        <v>3</v>
      </c>
      <c r="I52" s="2">
        <v>0</v>
      </c>
      <c r="J52" s="2">
        <v>0</v>
      </c>
      <c r="K52" s="2">
        <v>0</v>
      </c>
      <c r="L52" s="24">
        <v>834.19473927088131</v>
      </c>
      <c r="M52" s="24">
        <f t="shared" si="1"/>
        <v>2502.5842178126441</v>
      </c>
      <c r="N52" s="24">
        <v>500.51684356252878</v>
      </c>
      <c r="O52" s="24"/>
      <c r="P52" s="3"/>
      <c r="R52" s="34"/>
    </row>
    <row r="53" spans="1:20" ht="15" x14ac:dyDescent="0.2">
      <c r="A53" s="2" t="s">
        <v>481</v>
      </c>
      <c r="B53" s="2" t="s">
        <v>142</v>
      </c>
      <c r="C53" s="2" t="s">
        <v>113</v>
      </c>
      <c r="D53" s="28">
        <v>45873</v>
      </c>
      <c r="E53" s="28">
        <v>45873</v>
      </c>
      <c r="F53" s="2" t="s">
        <v>8</v>
      </c>
      <c r="G53" s="2">
        <v>1</v>
      </c>
      <c r="H53" s="2">
        <v>1</v>
      </c>
      <c r="I53" s="2">
        <v>0</v>
      </c>
      <c r="J53" s="2">
        <v>0</v>
      </c>
      <c r="K53" s="2">
        <v>0</v>
      </c>
      <c r="L53" s="24">
        <v>834.19473927088131</v>
      </c>
      <c r="M53" s="24">
        <f t="shared" si="1"/>
        <v>834.19473927088131</v>
      </c>
      <c r="N53" s="24">
        <v>166.8389478541763</v>
      </c>
      <c r="O53" s="24"/>
      <c r="P53" s="3"/>
    </row>
    <row r="54" spans="1:20" ht="15" x14ac:dyDescent="0.2">
      <c r="A54" s="2" t="s">
        <v>482</v>
      </c>
      <c r="B54" s="2" t="s">
        <v>142</v>
      </c>
      <c r="C54" s="2" t="s">
        <v>113</v>
      </c>
      <c r="D54" s="28">
        <v>45876</v>
      </c>
      <c r="E54" s="28">
        <v>45876</v>
      </c>
      <c r="F54" s="2" t="s">
        <v>8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4">
        <v>834.19473927088131</v>
      </c>
      <c r="M54" s="24">
        <f t="shared" si="1"/>
        <v>834.19473927088131</v>
      </c>
      <c r="N54" s="24">
        <v>166.8389478541763</v>
      </c>
      <c r="O54" s="24"/>
      <c r="P54" s="3"/>
      <c r="R54" s="34">
        <f>P54-M54</f>
        <v>-834.19473927088131</v>
      </c>
      <c r="T54" t="s">
        <v>566</v>
      </c>
    </row>
    <row r="55" spans="1:20" ht="15" x14ac:dyDescent="0.2">
      <c r="A55" s="2" t="s">
        <v>483</v>
      </c>
      <c r="B55" s="2" t="s">
        <v>142</v>
      </c>
      <c r="C55" s="2" t="s">
        <v>113</v>
      </c>
      <c r="D55" s="28">
        <v>45881</v>
      </c>
      <c r="E55" s="28">
        <v>45881</v>
      </c>
      <c r="F55" s="2" t="s">
        <v>8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4">
        <v>834.19473927088131</v>
      </c>
      <c r="M55" s="24">
        <f t="shared" si="1"/>
        <v>834.19473927088131</v>
      </c>
      <c r="N55" s="24">
        <v>166.8389478541763</v>
      </c>
      <c r="O55" s="24"/>
      <c r="P55" s="3"/>
      <c r="R55" s="34">
        <f>P55-M55</f>
        <v>-834.19473927088131</v>
      </c>
      <c r="T55" t="s">
        <v>566</v>
      </c>
    </row>
    <row r="56" spans="1:20" ht="15" x14ac:dyDescent="0.2">
      <c r="A56" s="2" t="s">
        <v>484</v>
      </c>
      <c r="B56" s="2" t="s">
        <v>142</v>
      </c>
      <c r="C56" s="2" t="s">
        <v>113</v>
      </c>
      <c r="D56" s="28">
        <v>45915</v>
      </c>
      <c r="E56" s="28">
        <v>45916</v>
      </c>
      <c r="F56" s="2" t="s">
        <v>9</v>
      </c>
      <c r="G56" s="2">
        <v>2</v>
      </c>
      <c r="H56" s="2">
        <v>2</v>
      </c>
      <c r="I56" s="2">
        <v>0</v>
      </c>
      <c r="J56" s="2">
        <v>0</v>
      </c>
      <c r="K56" s="2">
        <v>0</v>
      </c>
      <c r="L56" s="24">
        <v>834.19473927088131</v>
      </c>
      <c r="M56" s="24">
        <f t="shared" si="1"/>
        <v>1668.3894785417626</v>
      </c>
      <c r="N56" s="24">
        <v>333.67789570835248</v>
      </c>
      <c r="O56" s="24"/>
      <c r="P56" s="3"/>
    </row>
    <row r="57" spans="1:20" ht="15" x14ac:dyDescent="0.2">
      <c r="A57" s="2" t="s">
        <v>485</v>
      </c>
      <c r="B57" s="2" t="s">
        <v>142</v>
      </c>
      <c r="C57" s="2" t="s">
        <v>113</v>
      </c>
      <c r="D57" s="28">
        <v>45921</v>
      </c>
      <c r="E57" s="28">
        <v>45921</v>
      </c>
      <c r="F57" s="2" t="s">
        <v>9</v>
      </c>
      <c r="G57" s="2">
        <v>1</v>
      </c>
      <c r="H57" s="2">
        <v>0</v>
      </c>
      <c r="I57" s="2">
        <v>0</v>
      </c>
      <c r="J57" s="2">
        <v>1</v>
      </c>
      <c r="K57" s="2">
        <v>0</v>
      </c>
      <c r="L57" s="24">
        <v>834.19473927088131</v>
      </c>
      <c r="M57" s="24">
        <f t="shared" si="1"/>
        <v>0</v>
      </c>
      <c r="N57" s="24">
        <v>0</v>
      </c>
      <c r="O57" s="24"/>
      <c r="P57" s="3"/>
    </row>
    <row r="58" spans="1:20" ht="15" x14ac:dyDescent="0.2">
      <c r="A58" s="2" t="s">
        <v>360</v>
      </c>
      <c r="B58" s="2" t="s">
        <v>145</v>
      </c>
      <c r="C58" s="2" t="s">
        <v>135</v>
      </c>
      <c r="D58" s="28">
        <v>45740</v>
      </c>
      <c r="E58" s="28">
        <v>45740</v>
      </c>
      <c r="F58" s="2" t="s">
        <v>3</v>
      </c>
      <c r="G58" s="2">
        <v>1</v>
      </c>
      <c r="H58" s="2">
        <v>1</v>
      </c>
      <c r="I58" s="2">
        <v>0</v>
      </c>
      <c r="J58" s="2">
        <v>0</v>
      </c>
      <c r="K58" s="2">
        <v>0</v>
      </c>
      <c r="L58" s="24">
        <v>730.27226580526064</v>
      </c>
      <c r="M58" s="24">
        <f t="shared" si="1"/>
        <v>730.27226580526064</v>
      </c>
      <c r="N58" s="24">
        <v>146.05445316105209</v>
      </c>
      <c r="O58" s="24"/>
      <c r="P58" s="3"/>
    </row>
    <row r="59" spans="1:20" ht="15" x14ac:dyDescent="0.2">
      <c r="A59" s="2" t="s">
        <v>361</v>
      </c>
      <c r="B59" s="2" t="s">
        <v>145</v>
      </c>
      <c r="C59" s="2" t="s">
        <v>135</v>
      </c>
      <c r="D59" s="28">
        <v>45802</v>
      </c>
      <c r="E59" s="28">
        <v>45804</v>
      </c>
      <c r="F59" s="2" t="s">
        <v>5</v>
      </c>
      <c r="G59" s="2">
        <v>3</v>
      </c>
      <c r="H59" s="2">
        <v>2</v>
      </c>
      <c r="I59" s="2">
        <v>0</v>
      </c>
      <c r="J59" s="2">
        <v>1</v>
      </c>
      <c r="K59" s="2">
        <v>0</v>
      </c>
      <c r="L59" s="24">
        <v>730.27226580526064</v>
      </c>
      <c r="M59" s="24">
        <f t="shared" si="1"/>
        <v>1460.5445316105213</v>
      </c>
      <c r="N59" s="24">
        <v>292.10890632210419</v>
      </c>
      <c r="O59" s="24"/>
      <c r="P59" s="3"/>
    </row>
    <row r="60" spans="1:20" ht="15" x14ac:dyDescent="0.2">
      <c r="A60" s="2" t="s">
        <v>364</v>
      </c>
      <c r="B60" s="2" t="s">
        <v>145</v>
      </c>
      <c r="C60" s="2" t="s">
        <v>135</v>
      </c>
      <c r="D60" s="28">
        <v>45824</v>
      </c>
      <c r="E60" s="28">
        <v>45831</v>
      </c>
      <c r="F60" s="2" t="s">
        <v>6</v>
      </c>
      <c r="G60" s="2">
        <v>8</v>
      </c>
      <c r="H60" s="2">
        <v>6</v>
      </c>
      <c r="I60" s="2">
        <v>1</v>
      </c>
      <c r="J60" s="2">
        <v>1</v>
      </c>
      <c r="K60" s="2">
        <v>0</v>
      </c>
      <c r="L60" s="24">
        <v>730.27226580526064</v>
      </c>
      <c r="M60" s="24">
        <f t="shared" si="1"/>
        <v>4381.6335948315636</v>
      </c>
      <c r="N60" s="24">
        <v>876.3267189663128</v>
      </c>
      <c r="O60" s="24"/>
      <c r="P60" s="3"/>
    </row>
    <row r="61" spans="1:20" ht="15" x14ac:dyDescent="0.2">
      <c r="A61" s="2" t="s">
        <v>366</v>
      </c>
      <c r="B61" s="2" t="s">
        <v>145</v>
      </c>
      <c r="C61" s="2" t="s">
        <v>135</v>
      </c>
      <c r="D61" s="28">
        <v>45865</v>
      </c>
      <c r="E61" s="28">
        <v>45867</v>
      </c>
      <c r="F61" s="2" t="s">
        <v>7</v>
      </c>
      <c r="G61" s="2">
        <v>3</v>
      </c>
      <c r="H61" s="2">
        <v>2</v>
      </c>
      <c r="I61" s="2">
        <v>0</v>
      </c>
      <c r="J61" s="2">
        <v>1</v>
      </c>
      <c r="K61" s="2">
        <v>0</v>
      </c>
      <c r="L61" s="24">
        <v>730.27226580526064</v>
      </c>
      <c r="M61" s="24">
        <f t="shared" si="1"/>
        <v>1460.5445316105213</v>
      </c>
      <c r="N61" s="24">
        <v>292.10890632210419</v>
      </c>
      <c r="O61" s="24"/>
      <c r="P61" s="3"/>
    </row>
    <row r="62" spans="1:20" ht="15" x14ac:dyDescent="0.2">
      <c r="A62" s="2" t="s">
        <v>368</v>
      </c>
      <c r="B62" s="2" t="s">
        <v>145</v>
      </c>
      <c r="C62" s="2" t="s">
        <v>135</v>
      </c>
      <c r="D62" s="28">
        <v>45886</v>
      </c>
      <c r="E62" s="28">
        <v>45889</v>
      </c>
      <c r="F62" s="2" t="s">
        <v>8</v>
      </c>
      <c r="G62" s="2">
        <v>4</v>
      </c>
      <c r="H62" s="2">
        <v>3</v>
      </c>
      <c r="I62" s="2">
        <v>0</v>
      </c>
      <c r="J62" s="2">
        <v>1</v>
      </c>
      <c r="K62" s="2">
        <v>0</v>
      </c>
      <c r="L62" s="24">
        <v>730.27226580526064</v>
      </c>
      <c r="M62" s="24">
        <f t="shared" si="1"/>
        <v>2190.8167974157818</v>
      </c>
      <c r="N62" s="24">
        <v>438.1633594831564</v>
      </c>
      <c r="O62" s="24"/>
      <c r="P62" s="3"/>
    </row>
    <row r="63" spans="1:20" ht="15" x14ac:dyDescent="0.2">
      <c r="A63" s="2" t="s">
        <v>369</v>
      </c>
      <c r="B63" s="2" t="s">
        <v>149</v>
      </c>
      <c r="C63" s="2" t="s">
        <v>113</v>
      </c>
      <c r="D63" s="28">
        <v>45679</v>
      </c>
      <c r="E63" s="28">
        <v>45687</v>
      </c>
      <c r="F63" s="2" t="s">
        <v>1</v>
      </c>
      <c r="G63" s="2">
        <v>9</v>
      </c>
      <c r="H63" s="2">
        <v>7</v>
      </c>
      <c r="I63" s="2">
        <v>1</v>
      </c>
      <c r="J63" s="2">
        <v>1</v>
      </c>
      <c r="K63" s="2">
        <v>0</v>
      </c>
      <c r="L63" s="24">
        <v>826.99584679280099</v>
      </c>
      <c r="M63" s="24">
        <f t="shared" si="1"/>
        <v>5788.970927549607</v>
      </c>
      <c r="N63" s="24">
        <v>1193</v>
      </c>
      <c r="O63" s="24"/>
      <c r="P63" s="3">
        <v>6692</v>
      </c>
      <c r="Q63" s="112">
        <v>45700</v>
      </c>
      <c r="R63" s="34">
        <f>P63-M63</f>
        <v>903.02907245039296</v>
      </c>
      <c r="T63" t="s">
        <v>566</v>
      </c>
    </row>
    <row r="64" spans="1:20" ht="15" x14ac:dyDescent="0.2">
      <c r="A64" s="2" t="s">
        <v>371</v>
      </c>
      <c r="B64" s="2" t="s">
        <v>149</v>
      </c>
      <c r="C64" s="2" t="s">
        <v>113</v>
      </c>
      <c r="D64" s="28">
        <v>45769</v>
      </c>
      <c r="E64" s="28">
        <v>45771</v>
      </c>
      <c r="F64" s="2" t="s">
        <v>4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4">
        <v>826.99584679280099</v>
      </c>
      <c r="M64" s="24">
        <f t="shared" si="1"/>
        <v>2480.9875403784031</v>
      </c>
      <c r="N64" s="24">
        <v>496.19750807568062</v>
      </c>
      <c r="O64" s="24"/>
      <c r="P64" s="3"/>
    </row>
    <row r="65" spans="1:20" ht="15" x14ac:dyDescent="0.2">
      <c r="A65" s="2" t="s">
        <v>486</v>
      </c>
      <c r="B65" s="2" t="s">
        <v>149</v>
      </c>
      <c r="C65" s="2" t="s">
        <v>113</v>
      </c>
      <c r="D65" s="28">
        <v>45797</v>
      </c>
      <c r="E65" s="28">
        <v>45799</v>
      </c>
      <c r="F65" s="2" t="s">
        <v>5</v>
      </c>
      <c r="G65" s="2">
        <v>3</v>
      </c>
      <c r="H65" s="2">
        <v>3</v>
      </c>
      <c r="I65" s="2">
        <v>0</v>
      </c>
      <c r="J65" s="2">
        <v>0</v>
      </c>
      <c r="K65" s="2">
        <v>0</v>
      </c>
      <c r="L65" s="24">
        <v>826.99584679280099</v>
      </c>
      <c r="M65" s="24">
        <f t="shared" si="1"/>
        <v>2480.9875403784031</v>
      </c>
      <c r="N65" s="24">
        <v>496.19750807568062</v>
      </c>
      <c r="O65" s="24"/>
      <c r="P65" s="3"/>
      <c r="R65" s="34">
        <f>P65-M65</f>
        <v>-2480.9875403784031</v>
      </c>
      <c r="T65" t="s">
        <v>566</v>
      </c>
    </row>
    <row r="66" spans="1:20" ht="15" x14ac:dyDescent="0.2">
      <c r="A66" s="2" t="s">
        <v>487</v>
      </c>
      <c r="B66" s="2" t="s">
        <v>149</v>
      </c>
      <c r="C66" s="2" t="s">
        <v>113</v>
      </c>
      <c r="D66" s="28">
        <v>45803</v>
      </c>
      <c r="E66" s="28">
        <v>45807</v>
      </c>
      <c r="F66" s="2" t="s">
        <v>5</v>
      </c>
      <c r="G66" s="2">
        <v>5</v>
      </c>
      <c r="H66" s="2">
        <v>5</v>
      </c>
      <c r="I66" s="2">
        <v>0</v>
      </c>
      <c r="J66" s="2">
        <v>0</v>
      </c>
      <c r="K66" s="2">
        <v>0</v>
      </c>
      <c r="L66" s="24">
        <v>826.99584679280099</v>
      </c>
      <c r="M66" s="24">
        <f t="shared" si="1"/>
        <v>4134.9792339640053</v>
      </c>
      <c r="N66" s="24">
        <v>826.9958467928011</v>
      </c>
      <c r="O66" s="24"/>
      <c r="P66" s="3"/>
      <c r="R66" s="34">
        <f>P66-M66</f>
        <v>-4134.9792339640053</v>
      </c>
      <c r="S66" s="26">
        <v>45931</v>
      </c>
    </row>
    <row r="67" spans="1:20" ht="15" x14ac:dyDescent="0.2">
      <c r="A67" s="2" t="s">
        <v>377</v>
      </c>
      <c r="B67" s="2" t="s">
        <v>149</v>
      </c>
      <c r="C67" s="2" t="s">
        <v>113</v>
      </c>
      <c r="D67" s="28">
        <v>45826</v>
      </c>
      <c r="E67" s="28">
        <v>45830</v>
      </c>
      <c r="F67" s="2" t="s">
        <v>6</v>
      </c>
      <c r="G67" s="2">
        <v>5</v>
      </c>
      <c r="H67" s="2">
        <v>3</v>
      </c>
      <c r="I67" s="2">
        <v>1</v>
      </c>
      <c r="J67" s="2">
        <v>1</v>
      </c>
      <c r="K67" s="2">
        <v>0</v>
      </c>
      <c r="L67" s="24">
        <v>826.99584679280099</v>
      </c>
      <c r="M67" s="24">
        <f t="shared" si="1"/>
        <v>2480.9875403784031</v>
      </c>
      <c r="N67" s="24">
        <v>496.19750807568062</v>
      </c>
      <c r="O67" s="24"/>
      <c r="P67" s="3"/>
      <c r="R67" s="34">
        <f>P67-M67</f>
        <v>-2480.9875403784031</v>
      </c>
      <c r="S67" s="26">
        <v>45931</v>
      </c>
    </row>
    <row r="68" spans="1:20" ht="15" x14ac:dyDescent="0.2">
      <c r="A68" s="2" t="s">
        <v>379</v>
      </c>
      <c r="B68" s="2" t="s">
        <v>149</v>
      </c>
      <c r="C68" s="2" t="s">
        <v>113</v>
      </c>
      <c r="D68" s="28">
        <v>45860</v>
      </c>
      <c r="E68" s="28">
        <v>45860</v>
      </c>
      <c r="F68" s="2" t="s">
        <v>7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4">
        <v>826.99584679280099</v>
      </c>
      <c r="M68" s="24">
        <f t="shared" si="1"/>
        <v>826.99584679280099</v>
      </c>
      <c r="N68" s="24">
        <v>165.39916935856019</v>
      </c>
      <c r="O68" s="24"/>
      <c r="P68" s="3"/>
      <c r="R68" s="34"/>
    </row>
    <row r="69" spans="1:20" ht="15" x14ac:dyDescent="0.2">
      <c r="A69" s="2" t="s">
        <v>488</v>
      </c>
      <c r="B69" s="2" t="s">
        <v>149</v>
      </c>
      <c r="C69" s="2" t="s">
        <v>113</v>
      </c>
      <c r="D69" s="28">
        <v>45874</v>
      </c>
      <c r="E69" s="28">
        <v>45876</v>
      </c>
      <c r="F69" s="2" t="s">
        <v>8</v>
      </c>
      <c r="G69" s="2">
        <v>3</v>
      </c>
      <c r="H69" s="2">
        <v>3</v>
      </c>
      <c r="I69" s="2">
        <v>0</v>
      </c>
      <c r="J69" s="2">
        <v>0</v>
      </c>
      <c r="K69" s="2">
        <v>0</v>
      </c>
      <c r="L69" s="24">
        <v>826.99584679280099</v>
      </c>
      <c r="M69" s="24">
        <f t="shared" si="1"/>
        <v>2480.9875403784031</v>
      </c>
      <c r="N69" s="24">
        <v>496.19750807568062</v>
      </c>
      <c r="O69" s="24"/>
      <c r="P69" s="3"/>
    </row>
    <row r="70" spans="1:20" ht="15" x14ac:dyDescent="0.2">
      <c r="A70" s="2" t="s">
        <v>489</v>
      </c>
      <c r="B70" s="2" t="s">
        <v>149</v>
      </c>
      <c r="C70" s="2" t="s">
        <v>113</v>
      </c>
      <c r="D70" s="28">
        <v>45888</v>
      </c>
      <c r="E70" s="28">
        <v>45890</v>
      </c>
      <c r="F70" s="2" t="s">
        <v>8</v>
      </c>
      <c r="G70" s="2">
        <v>3</v>
      </c>
      <c r="H70" s="2">
        <v>3</v>
      </c>
      <c r="I70" s="2">
        <v>0</v>
      </c>
      <c r="J70" s="2">
        <v>0</v>
      </c>
      <c r="K70" s="2">
        <v>0</v>
      </c>
      <c r="L70" s="24">
        <v>826.99584679280099</v>
      </c>
      <c r="M70" s="24">
        <f t="shared" si="1"/>
        <v>2480.9875403784031</v>
      </c>
      <c r="N70" s="24">
        <v>496.19750807568062</v>
      </c>
      <c r="O70" s="24"/>
      <c r="P70" s="3"/>
    </row>
    <row r="71" spans="1:20" ht="15" x14ac:dyDescent="0.2">
      <c r="A71" s="2" t="s">
        <v>490</v>
      </c>
      <c r="B71" s="2" t="s">
        <v>152</v>
      </c>
      <c r="C71" s="2" t="s">
        <v>113</v>
      </c>
      <c r="D71" s="28">
        <v>45664</v>
      </c>
      <c r="E71" s="28">
        <v>45664</v>
      </c>
      <c r="F71" s="2" t="s">
        <v>1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4">
        <v>868.57406552838017</v>
      </c>
      <c r="M71" s="24">
        <f t="shared" si="1"/>
        <v>868.57406552838017</v>
      </c>
      <c r="N71" s="24">
        <v>164</v>
      </c>
      <c r="O71" s="24"/>
      <c r="P71" s="3">
        <v>1437</v>
      </c>
      <c r="Q71" s="112">
        <v>45697</v>
      </c>
    </row>
    <row r="72" spans="1:20" ht="15" x14ac:dyDescent="0.2">
      <c r="A72" s="2" t="s">
        <v>490</v>
      </c>
      <c r="B72" s="2" t="s">
        <v>152</v>
      </c>
      <c r="C72" s="2" t="s">
        <v>113</v>
      </c>
      <c r="D72" s="28">
        <v>45664</v>
      </c>
      <c r="E72" s="28">
        <v>45664</v>
      </c>
      <c r="F72" s="2" t="s">
        <v>1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4"/>
      <c r="M72" s="24"/>
      <c r="N72" s="24"/>
      <c r="O72" s="24">
        <v>575</v>
      </c>
      <c r="P72" s="3"/>
      <c r="Q72" s="112">
        <v>45775</v>
      </c>
    </row>
    <row r="73" spans="1:20" ht="15" x14ac:dyDescent="0.2">
      <c r="A73" s="2" t="s">
        <v>491</v>
      </c>
      <c r="B73" s="2" t="s">
        <v>152</v>
      </c>
      <c r="C73" s="2" t="s">
        <v>113</v>
      </c>
      <c r="D73" s="28">
        <v>45673</v>
      </c>
      <c r="E73" s="28">
        <v>45673</v>
      </c>
      <c r="F73" s="2" t="s">
        <v>1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4">
        <v>868.57406552838017</v>
      </c>
      <c r="M73" s="24">
        <f>L73*H73</f>
        <v>868.57406552838017</v>
      </c>
      <c r="N73" s="24">
        <v>164</v>
      </c>
      <c r="O73" s="24"/>
      <c r="P73" s="3">
        <v>1437</v>
      </c>
      <c r="Q73" s="112">
        <v>45697</v>
      </c>
    </row>
    <row r="74" spans="1:20" ht="15" x14ac:dyDescent="0.2">
      <c r="A74" s="2" t="s">
        <v>491</v>
      </c>
      <c r="B74" s="2" t="s">
        <v>152</v>
      </c>
      <c r="C74" s="2" t="s">
        <v>113</v>
      </c>
      <c r="D74" s="28">
        <v>45673</v>
      </c>
      <c r="E74" s="28">
        <v>45673</v>
      </c>
      <c r="F74" s="2" t="s">
        <v>1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L74" s="24"/>
      <c r="M74" s="24"/>
      <c r="N74" s="24"/>
      <c r="O74" s="24">
        <v>575</v>
      </c>
      <c r="P74" s="3"/>
      <c r="Q74" s="112">
        <v>45775</v>
      </c>
    </row>
    <row r="75" spans="1:20" ht="15" x14ac:dyDescent="0.2">
      <c r="A75" s="2" t="s">
        <v>383</v>
      </c>
      <c r="B75" s="2" t="s">
        <v>152</v>
      </c>
      <c r="C75" s="2" t="s">
        <v>113</v>
      </c>
      <c r="D75" s="28">
        <v>45712</v>
      </c>
      <c r="E75" s="28">
        <v>45716</v>
      </c>
      <c r="F75" s="2" t="s">
        <v>2</v>
      </c>
      <c r="G75" s="2">
        <v>5</v>
      </c>
      <c r="H75" s="2">
        <v>5</v>
      </c>
      <c r="I75" s="2">
        <v>0</v>
      </c>
      <c r="J75" s="2">
        <v>0</v>
      </c>
      <c r="K75" s="2">
        <v>0</v>
      </c>
      <c r="L75" s="24">
        <v>868.57406552838017</v>
      </c>
      <c r="M75" s="24">
        <f>L75*H75</f>
        <v>4342.870327641901</v>
      </c>
      <c r="N75" s="24">
        <v>1217</v>
      </c>
      <c r="O75" s="24"/>
      <c r="P75" s="3">
        <v>7184</v>
      </c>
      <c r="Q75" s="112">
        <v>45770</v>
      </c>
      <c r="R75" s="34">
        <f>P75-M75</f>
        <v>2841.129672358099</v>
      </c>
      <c r="S75" s="26">
        <v>45931</v>
      </c>
    </row>
    <row r="76" spans="1:20" ht="15" x14ac:dyDescent="0.2">
      <c r="A76" s="2" t="s">
        <v>492</v>
      </c>
      <c r="B76" s="2" t="s">
        <v>152</v>
      </c>
      <c r="C76" s="2" t="s">
        <v>113</v>
      </c>
      <c r="D76" s="28">
        <v>45735</v>
      </c>
      <c r="E76" s="28">
        <v>45736</v>
      </c>
      <c r="F76" s="2" t="s">
        <v>3</v>
      </c>
      <c r="G76" s="2">
        <v>2</v>
      </c>
      <c r="H76" s="2">
        <v>2</v>
      </c>
      <c r="I76" s="2">
        <v>0</v>
      </c>
      <c r="J76" s="2">
        <v>0</v>
      </c>
      <c r="K76" s="2">
        <v>0</v>
      </c>
      <c r="L76" s="24">
        <v>868.57406552838017</v>
      </c>
      <c r="M76" s="24">
        <f>L76*H76</f>
        <v>1737.1481310567603</v>
      </c>
      <c r="N76" s="56"/>
      <c r="O76" s="24">
        <v>1149</v>
      </c>
      <c r="P76" s="3"/>
      <c r="Q76" s="112">
        <v>45834</v>
      </c>
      <c r="R76" s="34">
        <f>P76-M76</f>
        <v>-1737.1481310567603</v>
      </c>
      <c r="S76" s="26">
        <v>45931</v>
      </c>
    </row>
    <row r="77" spans="1:20" ht="15" x14ac:dyDescent="0.2">
      <c r="A77" s="2"/>
      <c r="B77" s="2" t="s">
        <v>152</v>
      </c>
      <c r="C77" s="2" t="s">
        <v>113</v>
      </c>
      <c r="D77" s="28">
        <v>45735</v>
      </c>
      <c r="E77" s="28">
        <v>45736</v>
      </c>
      <c r="F77" s="2" t="s">
        <v>3</v>
      </c>
      <c r="G77" s="2">
        <v>2</v>
      </c>
      <c r="H77" s="2">
        <v>2</v>
      </c>
      <c r="I77" s="2">
        <v>0</v>
      </c>
      <c r="J77" s="2">
        <v>0</v>
      </c>
      <c r="K77" s="2">
        <v>0</v>
      </c>
      <c r="L77" s="24"/>
      <c r="M77" s="24"/>
      <c r="N77" s="24">
        <v>481</v>
      </c>
      <c r="O77" s="24">
        <v>1149</v>
      </c>
      <c r="P77" s="3">
        <v>2873</v>
      </c>
      <c r="Q77" s="112">
        <v>45770</v>
      </c>
      <c r="R77" s="34">
        <f>P77-M77</f>
        <v>2873</v>
      </c>
      <c r="S77" s="26">
        <v>45931</v>
      </c>
    </row>
    <row r="78" spans="1:20" ht="15" x14ac:dyDescent="0.2">
      <c r="A78" s="2" t="s">
        <v>493</v>
      </c>
      <c r="B78" s="2" t="s">
        <v>152</v>
      </c>
      <c r="C78" s="2" t="s">
        <v>113</v>
      </c>
      <c r="D78" s="28">
        <v>45742</v>
      </c>
      <c r="E78" s="28">
        <v>45742</v>
      </c>
      <c r="F78" s="2" t="s">
        <v>3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4">
        <v>868.57406552838017</v>
      </c>
      <c r="M78" s="24">
        <f>L78*H78</f>
        <v>868.57406552838017</v>
      </c>
      <c r="N78" s="24"/>
      <c r="O78" s="24">
        <v>575</v>
      </c>
      <c r="P78" s="3"/>
      <c r="Q78" s="112">
        <v>45834</v>
      </c>
    </row>
    <row r="79" spans="1:20" ht="15" x14ac:dyDescent="0.2">
      <c r="A79" s="2"/>
      <c r="B79" s="2" t="s">
        <v>152</v>
      </c>
      <c r="C79" s="2" t="s">
        <v>113</v>
      </c>
      <c r="D79" s="28">
        <v>45742</v>
      </c>
      <c r="E79" s="28">
        <v>45742</v>
      </c>
      <c r="F79" s="2" t="s">
        <v>3</v>
      </c>
      <c r="G79" s="2">
        <v>1</v>
      </c>
      <c r="H79" s="2">
        <v>1</v>
      </c>
      <c r="I79" s="2">
        <v>0</v>
      </c>
      <c r="J79" s="2">
        <v>0</v>
      </c>
      <c r="K79" s="2">
        <v>0</v>
      </c>
      <c r="L79" s="24"/>
      <c r="M79" s="24"/>
      <c r="N79" s="24">
        <v>240</v>
      </c>
      <c r="O79" s="24">
        <v>575</v>
      </c>
      <c r="P79" s="3">
        <v>1437</v>
      </c>
      <c r="Q79" s="112">
        <v>45770</v>
      </c>
    </row>
    <row r="80" spans="1:20" ht="15" x14ac:dyDescent="0.2">
      <c r="A80" s="2" t="s">
        <v>494</v>
      </c>
      <c r="B80" s="2" t="s">
        <v>152</v>
      </c>
      <c r="C80" s="2" t="s">
        <v>113</v>
      </c>
      <c r="D80" s="28">
        <v>45749</v>
      </c>
      <c r="E80" s="28">
        <v>45749</v>
      </c>
      <c r="F80" s="2" t="s">
        <v>4</v>
      </c>
      <c r="G80" s="2">
        <v>1</v>
      </c>
      <c r="H80" s="2">
        <v>1</v>
      </c>
      <c r="I80" s="2">
        <v>0</v>
      </c>
      <c r="J80" s="2">
        <v>0</v>
      </c>
      <c r="K80" s="2">
        <v>0</v>
      </c>
      <c r="L80" s="24">
        <v>868.57406552838017</v>
      </c>
      <c r="M80" s="24">
        <f t="shared" ref="M80:M86" si="2">L80*H80</f>
        <v>868.57406552838017</v>
      </c>
      <c r="N80" s="24">
        <v>250</v>
      </c>
      <c r="O80" s="24"/>
      <c r="P80" s="3">
        <v>1437</v>
      </c>
      <c r="Q80" s="25">
        <v>45877</v>
      </c>
    </row>
    <row r="81" spans="1:20" ht="15" x14ac:dyDescent="0.2">
      <c r="A81" s="2" t="s">
        <v>495</v>
      </c>
      <c r="B81" s="2" t="s">
        <v>152</v>
      </c>
      <c r="C81" s="2" t="s">
        <v>113</v>
      </c>
      <c r="D81" s="28">
        <v>45755</v>
      </c>
      <c r="E81" s="28">
        <v>45755</v>
      </c>
      <c r="F81" s="2" t="s">
        <v>4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4">
        <v>868.57406552838017</v>
      </c>
      <c r="M81" s="24">
        <f t="shared" si="2"/>
        <v>868.57406552838017</v>
      </c>
      <c r="N81" s="24">
        <v>250</v>
      </c>
      <c r="O81" s="24"/>
      <c r="P81" s="3">
        <v>1437</v>
      </c>
      <c r="Q81" s="25">
        <v>45877</v>
      </c>
      <c r="R81" s="34">
        <f t="shared" ref="R81:R88" si="3">P81-M81</f>
        <v>568.42593447161983</v>
      </c>
      <c r="S81" s="26">
        <v>45931</v>
      </c>
    </row>
    <row r="82" spans="1:20" ht="15" x14ac:dyDescent="0.2">
      <c r="A82" s="2" t="s">
        <v>496</v>
      </c>
      <c r="B82" s="2" t="s">
        <v>152</v>
      </c>
      <c r="C82" s="2" t="s">
        <v>113</v>
      </c>
      <c r="D82" s="28">
        <v>45781</v>
      </c>
      <c r="E82" s="28">
        <v>45781</v>
      </c>
      <c r="F82" s="2" t="s">
        <v>5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4">
        <v>868.57406552838017</v>
      </c>
      <c r="M82" s="24">
        <f t="shared" si="2"/>
        <v>868.57406552838017</v>
      </c>
      <c r="N82" s="24">
        <v>178</v>
      </c>
      <c r="O82" s="24"/>
      <c r="P82" s="3">
        <v>891</v>
      </c>
      <c r="Q82" s="25">
        <v>45877</v>
      </c>
      <c r="R82" s="34">
        <f t="shared" si="3"/>
        <v>22.425934471619826</v>
      </c>
      <c r="S82" s="26">
        <v>45931</v>
      </c>
    </row>
    <row r="83" spans="1:20" ht="15" x14ac:dyDescent="0.2">
      <c r="A83" s="2" t="s">
        <v>497</v>
      </c>
      <c r="B83" s="2" t="s">
        <v>152</v>
      </c>
      <c r="C83" s="2" t="s">
        <v>113</v>
      </c>
      <c r="D83" s="28">
        <v>45784</v>
      </c>
      <c r="E83" s="28">
        <v>45784</v>
      </c>
      <c r="F83" s="2" t="s">
        <v>5</v>
      </c>
      <c r="G83" s="2">
        <v>1</v>
      </c>
      <c r="H83" s="2">
        <v>1</v>
      </c>
      <c r="I83" s="2">
        <v>0</v>
      </c>
      <c r="J83" s="2">
        <v>0</v>
      </c>
      <c r="K83" s="2">
        <v>0</v>
      </c>
      <c r="L83" s="24">
        <v>868.57406552838017</v>
      </c>
      <c r="M83" s="24">
        <f t="shared" si="2"/>
        <v>868.57406552838017</v>
      </c>
      <c r="N83" s="24">
        <v>178</v>
      </c>
      <c r="O83" s="24"/>
      <c r="P83" s="3">
        <v>891</v>
      </c>
      <c r="Q83" s="25">
        <v>45877</v>
      </c>
      <c r="R83" s="34">
        <f t="shared" si="3"/>
        <v>22.425934471619826</v>
      </c>
      <c r="S83" s="26">
        <v>45931</v>
      </c>
    </row>
    <row r="84" spans="1:20" ht="15" x14ac:dyDescent="0.2">
      <c r="A84" s="2" t="s">
        <v>498</v>
      </c>
      <c r="B84" s="2" t="s">
        <v>152</v>
      </c>
      <c r="C84" s="2" t="s">
        <v>113</v>
      </c>
      <c r="D84" s="28">
        <v>45789</v>
      </c>
      <c r="E84" s="28">
        <v>45789</v>
      </c>
      <c r="F84" s="2" t="s">
        <v>5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4">
        <v>868.57406552838017</v>
      </c>
      <c r="M84" s="24">
        <f t="shared" si="2"/>
        <v>868.57406552838017</v>
      </c>
      <c r="N84" s="24">
        <v>178</v>
      </c>
      <c r="O84" s="24"/>
      <c r="P84" s="3">
        <v>891</v>
      </c>
      <c r="Q84" s="25">
        <v>45877</v>
      </c>
      <c r="R84" s="34">
        <f t="shared" si="3"/>
        <v>22.425934471619826</v>
      </c>
      <c r="S84" s="26">
        <v>45931</v>
      </c>
    </row>
    <row r="85" spans="1:20" ht="15" x14ac:dyDescent="0.2">
      <c r="A85" s="2" t="s">
        <v>499</v>
      </c>
      <c r="B85" s="2" t="s">
        <v>152</v>
      </c>
      <c r="C85" s="2" t="s">
        <v>113</v>
      </c>
      <c r="D85" s="28">
        <v>45801</v>
      </c>
      <c r="E85" s="28">
        <v>45801</v>
      </c>
      <c r="F85" s="2" t="s">
        <v>5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4">
        <v>868.57406552838017</v>
      </c>
      <c r="M85" s="24">
        <f t="shared" si="2"/>
        <v>868.57406552838017</v>
      </c>
      <c r="N85" s="24">
        <v>178</v>
      </c>
      <c r="O85" s="24"/>
      <c r="P85" s="3">
        <v>891</v>
      </c>
      <c r="Q85" s="25">
        <v>45877</v>
      </c>
      <c r="R85" s="34">
        <f t="shared" si="3"/>
        <v>22.425934471619826</v>
      </c>
      <c r="T85" t="s">
        <v>565</v>
      </c>
    </row>
    <row r="86" spans="1:20" ht="15" x14ac:dyDescent="0.2">
      <c r="A86" s="2" t="s">
        <v>499</v>
      </c>
      <c r="B86" s="2" t="s">
        <v>152</v>
      </c>
      <c r="C86" s="2" t="s">
        <v>113</v>
      </c>
      <c r="D86" s="30">
        <v>45802</v>
      </c>
      <c r="E86" s="30">
        <v>45808</v>
      </c>
      <c r="F86" s="2" t="s">
        <v>5</v>
      </c>
      <c r="G86" s="2">
        <v>7</v>
      </c>
      <c r="H86" s="2">
        <v>5</v>
      </c>
      <c r="I86" s="2">
        <v>2</v>
      </c>
      <c r="J86" s="2">
        <v>0</v>
      </c>
      <c r="K86" s="2">
        <v>0</v>
      </c>
      <c r="L86" s="24">
        <v>868.57406552838017</v>
      </c>
      <c r="M86" s="24">
        <f t="shared" si="2"/>
        <v>4342.870327641901</v>
      </c>
      <c r="N86" s="24">
        <v>1247</v>
      </c>
      <c r="O86" s="24"/>
      <c r="P86" s="37">
        <v>6234</v>
      </c>
      <c r="Q86" s="25">
        <v>45877</v>
      </c>
      <c r="R86" s="34">
        <f t="shared" si="3"/>
        <v>1891.129672358099</v>
      </c>
      <c r="T86" t="s">
        <v>565</v>
      </c>
    </row>
    <row r="87" spans="1:20" ht="15" x14ac:dyDescent="0.2">
      <c r="A87" s="2" t="s">
        <v>499</v>
      </c>
      <c r="B87" s="2" t="s">
        <v>152</v>
      </c>
      <c r="C87" s="2" t="s">
        <v>113</v>
      </c>
      <c r="D87" s="30">
        <v>45809</v>
      </c>
      <c r="E87" s="30">
        <v>45838</v>
      </c>
      <c r="F87" s="27" t="s">
        <v>6</v>
      </c>
      <c r="G87" s="2">
        <v>30</v>
      </c>
      <c r="H87" s="2">
        <v>22</v>
      </c>
      <c r="I87" s="2">
        <v>4</v>
      </c>
      <c r="J87" s="2">
        <v>4</v>
      </c>
      <c r="K87" s="2">
        <v>0</v>
      </c>
      <c r="L87" s="24">
        <v>868.57406552838017</v>
      </c>
      <c r="M87" s="24">
        <f>'1️⃣ רשימת עובדים'!F14</f>
        <v>18822</v>
      </c>
      <c r="N87" s="24">
        <v>5333</v>
      </c>
      <c r="O87" s="24"/>
      <c r="P87" s="37">
        <v>26717</v>
      </c>
      <c r="Q87" s="25">
        <v>45877</v>
      </c>
      <c r="R87" s="34">
        <f t="shared" si="3"/>
        <v>7895</v>
      </c>
      <c r="T87" t="s">
        <v>565</v>
      </c>
    </row>
    <row r="88" spans="1:20" ht="15" x14ac:dyDescent="0.2">
      <c r="A88" s="2" t="s">
        <v>499</v>
      </c>
      <c r="B88" s="2" t="s">
        <v>152</v>
      </c>
      <c r="C88" s="2" t="s">
        <v>113</v>
      </c>
      <c r="D88" s="30">
        <v>45839</v>
      </c>
      <c r="E88" s="30">
        <v>45869</v>
      </c>
      <c r="F88" s="27" t="s">
        <v>7</v>
      </c>
      <c r="G88" s="2">
        <v>31</v>
      </c>
      <c r="H88" s="2">
        <v>23</v>
      </c>
      <c r="I88" s="2">
        <v>4</v>
      </c>
      <c r="J88" s="2">
        <v>4</v>
      </c>
      <c r="K88" s="2">
        <v>0</v>
      </c>
      <c r="L88" s="24">
        <v>868.57406552838017</v>
      </c>
      <c r="M88" s="24">
        <f>'1️⃣ רשימת עובדים'!F6</f>
        <v>18828</v>
      </c>
      <c r="N88" s="24">
        <v>5448</v>
      </c>
      <c r="O88" s="24"/>
      <c r="P88" s="37">
        <v>27607</v>
      </c>
      <c r="Q88" s="25">
        <v>45877</v>
      </c>
      <c r="R88" s="34">
        <f t="shared" si="3"/>
        <v>8779</v>
      </c>
      <c r="T88" t="s">
        <v>565</v>
      </c>
    </row>
    <row r="89" spans="1:20" ht="15" x14ac:dyDescent="0.2">
      <c r="A89" s="2" t="s">
        <v>500</v>
      </c>
      <c r="B89" s="2" t="s">
        <v>155</v>
      </c>
      <c r="C89" s="2" t="s">
        <v>113</v>
      </c>
      <c r="D89" s="28">
        <v>45666</v>
      </c>
      <c r="E89" s="28">
        <v>45666</v>
      </c>
      <c r="F89" s="2" t="s">
        <v>1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4">
        <v>929.85694508537142</v>
      </c>
      <c r="M89" s="24">
        <f>L89*H89</f>
        <v>929.85694508537142</v>
      </c>
      <c r="N89" s="24"/>
      <c r="O89" s="24"/>
      <c r="P89" s="3">
        <v>763</v>
      </c>
      <c r="Q89" s="112">
        <v>45708</v>
      </c>
    </row>
    <row r="90" spans="1:20" ht="15" x14ac:dyDescent="0.2">
      <c r="A90" s="2"/>
      <c r="B90" s="2" t="s">
        <v>155</v>
      </c>
      <c r="C90" s="2" t="s">
        <v>113</v>
      </c>
      <c r="D90" s="28">
        <v>45666</v>
      </c>
      <c r="E90" s="28">
        <v>45666</v>
      </c>
      <c r="F90" s="2" t="s">
        <v>1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4"/>
      <c r="M90" s="24"/>
      <c r="N90" s="24"/>
      <c r="O90" s="24">
        <v>305</v>
      </c>
      <c r="P90" s="3"/>
      <c r="Q90" s="112">
        <v>45775</v>
      </c>
    </row>
    <row r="91" spans="1:20" ht="15" x14ac:dyDescent="0.2">
      <c r="A91" s="2" t="s">
        <v>501</v>
      </c>
      <c r="B91" s="2" t="s">
        <v>155</v>
      </c>
      <c r="C91" s="2" t="s">
        <v>113</v>
      </c>
      <c r="D91" s="28">
        <v>45686</v>
      </c>
      <c r="E91" s="28">
        <v>45687</v>
      </c>
      <c r="F91" s="2" t="s">
        <v>1</v>
      </c>
      <c r="G91" s="2">
        <v>2</v>
      </c>
      <c r="H91" s="2">
        <v>2</v>
      </c>
      <c r="I91" s="2">
        <v>0</v>
      </c>
      <c r="J91" s="2">
        <v>0</v>
      </c>
      <c r="K91" s="2">
        <v>0</v>
      </c>
      <c r="L91" s="24">
        <v>929.85694508537142</v>
      </c>
      <c r="M91" s="24">
        <f t="shared" ref="M91:M113" si="4">L91*H91</f>
        <v>1859.7138901707428</v>
      </c>
      <c r="N91" s="24">
        <v>301</v>
      </c>
      <c r="O91" s="24"/>
      <c r="P91" s="3">
        <v>2137</v>
      </c>
      <c r="Q91" s="112">
        <v>45700</v>
      </c>
    </row>
    <row r="92" spans="1:20" ht="15" x14ac:dyDescent="0.2">
      <c r="A92" s="2" t="s">
        <v>502</v>
      </c>
      <c r="B92" s="2" t="s">
        <v>155</v>
      </c>
      <c r="C92" s="2" t="s">
        <v>113</v>
      </c>
      <c r="D92" s="28">
        <v>45711</v>
      </c>
      <c r="E92" s="28">
        <v>45711</v>
      </c>
      <c r="F92" s="2" t="s">
        <v>2</v>
      </c>
      <c r="G92" s="2">
        <v>1</v>
      </c>
      <c r="H92" s="2">
        <v>0</v>
      </c>
      <c r="I92" s="2">
        <v>0</v>
      </c>
      <c r="J92" s="2">
        <v>1</v>
      </c>
      <c r="K92" s="2">
        <v>0</v>
      </c>
      <c r="L92" s="24">
        <v>929.85694508537142</v>
      </c>
      <c r="M92" s="24">
        <f t="shared" si="4"/>
        <v>0</v>
      </c>
      <c r="N92" s="24">
        <v>158</v>
      </c>
      <c r="O92" s="24"/>
      <c r="P92" s="3">
        <v>1107</v>
      </c>
      <c r="Q92" s="25">
        <v>45770</v>
      </c>
    </row>
    <row r="93" spans="1:20" ht="15" x14ac:dyDescent="0.2">
      <c r="A93" s="2" t="s">
        <v>503</v>
      </c>
      <c r="B93" s="2" t="s">
        <v>155</v>
      </c>
      <c r="C93" s="2" t="s">
        <v>113</v>
      </c>
      <c r="D93" s="28">
        <v>45714</v>
      </c>
      <c r="E93" s="28">
        <v>45714</v>
      </c>
      <c r="F93" s="2" t="s">
        <v>2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4">
        <v>929.85694508537142</v>
      </c>
      <c r="M93" s="24">
        <f t="shared" si="4"/>
        <v>929.85694508537142</v>
      </c>
      <c r="N93" s="24"/>
      <c r="O93" s="24"/>
      <c r="P93" s="3"/>
    </row>
    <row r="94" spans="1:20" ht="15" x14ac:dyDescent="0.2">
      <c r="A94" s="35" t="s">
        <v>508</v>
      </c>
      <c r="B94" s="35" t="s">
        <v>155</v>
      </c>
      <c r="C94" s="35" t="s">
        <v>113</v>
      </c>
      <c r="D94" s="55">
        <v>45774</v>
      </c>
      <c r="E94" s="55">
        <v>45774</v>
      </c>
      <c r="F94" s="35" t="s">
        <v>4</v>
      </c>
      <c r="G94" s="35">
        <v>1</v>
      </c>
      <c r="H94" s="35">
        <v>1</v>
      </c>
      <c r="I94" s="35">
        <v>0</v>
      </c>
      <c r="J94" s="35">
        <v>1</v>
      </c>
      <c r="K94" s="35">
        <v>0</v>
      </c>
      <c r="L94" s="36">
        <v>929.85694508537142</v>
      </c>
      <c r="M94" s="36">
        <f t="shared" si="4"/>
        <v>929.85694508537142</v>
      </c>
      <c r="N94" s="24"/>
      <c r="O94" s="24"/>
      <c r="P94" s="3"/>
      <c r="Q94" s="25"/>
    </row>
    <row r="95" spans="1:20" ht="15" x14ac:dyDescent="0.2">
      <c r="A95" s="2" t="s">
        <v>504</v>
      </c>
      <c r="B95" s="2" t="s">
        <v>155</v>
      </c>
      <c r="C95" s="2" t="s">
        <v>113</v>
      </c>
      <c r="D95" s="28">
        <v>45721</v>
      </c>
      <c r="E95" s="28">
        <v>45721</v>
      </c>
      <c r="F95" s="2" t="s">
        <v>3</v>
      </c>
      <c r="G95" s="2">
        <v>1</v>
      </c>
      <c r="H95" s="2">
        <v>1</v>
      </c>
      <c r="I95" s="2">
        <v>0</v>
      </c>
      <c r="J95" s="2">
        <v>0</v>
      </c>
      <c r="K95" s="2">
        <v>0</v>
      </c>
      <c r="L95" s="24">
        <v>929.85694508537142</v>
      </c>
      <c r="M95" s="24">
        <f t="shared" si="4"/>
        <v>929.85694508537142</v>
      </c>
      <c r="N95" s="24">
        <v>162</v>
      </c>
      <c r="O95" s="24"/>
      <c r="P95" s="3">
        <v>1136</v>
      </c>
      <c r="Q95" s="25">
        <v>45877</v>
      </c>
    </row>
    <row r="96" spans="1:20" ht="15" x14ac:dyDescent="0.2">
      <c r="A96" s="2" t="s">
        <v>505</v>
      </c>
      <c r="B96" s="2" t="s">
        <v>155</v>
      </c>
      <c r="C96" s="2" t="s">
        <v>113</v>
      </c>
      <c r="D96" s="28">
        <v>45740</v>
      </c>
      <c r="E96" s="28">
        <v>45741</v>
      </c>
      <c r="F96" s="2" t="s">
        <v>3</v>
      </c>
      <c r="G96" s="2">
        <v>2</v>
      </c>
      <c r="H96" s="2">
        <v>2</v>
      </c>
      <c r="I96" s="2">
        <v>0</v>
      </c>
      <c r="J96" s="2">
        <v>0</v>
      </c>
      <c r="K96" s="2">
        <v>0</v>
      </c>
      <c r="L96" s="24">
        <v>929.85694508537142</v>
      </c>
      <c r="M96" s="24">
        <f t="shared" si="4"/>
        <v>1859.7138901707428</v>
      </c>
      <c r="N96" s="24">
        <v>325</v>
      </c>
      <c r="O96" s="24"/>
      <c r="P96" s="3">
        <v>2273</v>
      </c>
      <c r="Q96" s="25">
        <v>45877</v>
      </c>
    </row>
    <row r="97" spans="1:20" ht="15" x14ac:dyDescent="0.2">
      <c r="A97" s="2" t="s">
        <v>506</v>
      </c>
      <c r="B97" s="2" t="s">
        <v>155</v>
      </c>
      <c r="C97" s="2" t="s">
        <v>113</v>
      </c>
      <c r="D97" s="28">
        <v>45743</v>
      </c>
      <c r="E97" s="28">
        <v>45743</v>
      </c>
      <c r="F97" s="2" t="s">
        <v>3</v>
      </c>
      <c r="G97" s="2">
        <v>1</v>
      </c>
      <c r="H97" s="2">
        <v>1</v>
      </c>
      <c r="I97" s="2">
        <v>0</v>
      </c>
      <c r="J97" s="2">
        <v>0</v>
      </c>
      <c r="K97" s="2">
        <v>0</v>
      </c>
      <c r="L97" s="24">
        <v>929.85694508537142</v>
      </c>
      <c r="M97" s="24">
        <f t="shared" si="4"/>
        <v>929.85694508537142</v>
      </c>
      <c r="N97" s="24">
        <v>162</v>
      </c>
      <c r="O97" s="24"/>
      <c r="P97" s="3">
        <v>1136</v>
      </c>
      <c r="Q97" s="25">
        <v>45877</v>
      </c>
    </row>
    <row r="98" spans="1:20" ht="15" x14ac:dyDescent="0.2">
      <c r="A98" s="2" t="s">
        <v>507</v>
      </c>
      <c r="B98" s="2" t="s">
        <v>155</v>
      </c>
      <c r="C98" s="2" t="s">
        <v>113</v>
      </c>
      <c r="D98" s="28">
        <v>45768</v>
      </c>
      <c r="E98" s="28">
        <v>45768</v>
      </c>
      <c r="F98" s="2" t="s">
        <v>4</v>
      </c>
      <c r="G98" s="2">
        <v>1</v>
      </c>
      <c r="H98" s="2">
        <v>1</v>
      </c>
      <c r="I98" s="2">
        <v>0</v>
      </c>
      <c r="J98" s="2">
        <v>0</v>
      </c>
      <c r="K98" s="2">
        <v>0</v>
      </c>
      <c r="L98" s="24">
        <v>929.85694508537142</v>
      </c>
      <c r="M98" s="24">
        <f t="shared" si="4"/>
        <v>929.85694508537142</v>
      </c>
      <c r="N98" s="24">
        <v>163</v>
      </c>
      <c r="O98" s="24"/>
      <c r="P98" s="3">
        <v>1138</v>
      </c>
      <c r="Q98" s="25">
        <v>45877</v>
      </c>
    </row>
    <row r="99" spans="1:20" ht="15" x14ac:dyDescent="0.2">
      <c r="A99" s="2" t="s">
        <v>509</v>
      </c>
      <c r="B99" s="2" t="s">
        <v>155</v>
      </c>
      <c r="C99" s="2" t="s">
        <v>113</v>
      </c>
      <c r="D99" s="28">
        <v>45781</v>
      </c>
      <c r="E99" s="28">
        <v>45781</v>
      </c>
      <c r="F99" s="2" t="s">
        <v>5</v>
      </c>
      <c r="G99" s="2">
        <v>1</v>
      </c>
      <c r="H99" s="2">
        <v>1</v>
      </c>
      <c r="I99" s="2">
        <v>0</v>
      </c>
      <c r="J99" s="2">
        <v>1</v>
      </c>
      <c r="K99" s="2">
        <v>0</v>
      </c>
      <c r="L99" s="24">
        <v>929.85694508537142</v>
      </c>
      <c r="M99" s="24">
        <f t="shared" si="4"/>
        <v>929.85694508537142</v>
      </c>
      <c r="N99" s="24">
        <v>161</v>
      </c>
      <c r="O99" s="24"/>
      <c r="P99" s="3">
        <v>511</v>
      </c>
      <c r="Q99" s="25">
        <v>45877</v>
      </c>
    </row>
    <row r="100" spans="1:20" ht="15" x14ac:dyDescent="0.2">
      <c r="A100" s="2" t="s">
        <v>510</v>
      </c>
      <c r="B100" s="2" t="s">
        <v>155</v>
      </c>
      <c r="C100" s="2" t="s">
        <v>113</v>
      </c>
      <c r="D100" s="28">
        <v>45789</v>
      </c>
      <c r="E100" s="28">
        <v>45792</v>
      </c>
      <c r="F100" s="2" t="s">
        <v>5</v>
      </c>
      <c r="G100" s="2">
        <v>4</v>
      </c>
      <c r="H100" s="2">
        <v>4</v>
      </c>
      <c r="I100" s="2">
        <v>0</v>
      </c>
      <c r="J100" s="2">
        <v>0</v>
      </c>
      <c r="K100" s="2">
        <v>0</v>
      </c>
      <c r="L100" s="24">
        <v>929.85694508537142</v>
      </c>
      <c r="M100" s="24">
        <f t="shared" si="4"/>
        <v>3719.4277803414857</v>
      </c>
      <c r="N100" s="24">
        <v>644</v>
      </c>
      <c r="O100" s="24"/>
      <c r="P100" s="3">
        <v>2042</v>
      </c>
      <c r="Q100" s="25">
        <v>45877</v>
      </c>
    </row>
    <row r="101" spans="1:20" ht="15" x14ac:dyDescent="0.2">
      <c r="A101" s="2" t="s">
        <v>511</v>
      </c>
      <c r="B101" s="2" t="s">
        <v>155</v>
      </c>
      <c r="C101" s="2" t="s">
        <v>113</v>
      </c>
      <c r="D101" s="28">
        <v>45796</v>
      </c>
      <c r="E101" s="28">
        <v>45799</v>
      </c>
      <c r="F101" s="2" t="s">
        <v>5</v>
      </c>
      <c r="G101" s="2">
        <v>4</v>
      </c>
      <c r="H101" s="2">
        <v>4</v>
      </c>
      <c r="I101" s="2">
        <v>0</v>
      </c>
      <c r="J101" s="2">
        <v>0</v>
      </c>
      <c r="K101" s="2">
        <v>0</v>
      </c>
      <c r="L101" s="24">
        <v>929.85694508537142</v>
      </c>
      <c r="M101" s="24">
        <f t="shared" si="4"/>
        <v>3719.4277803414857</v>
      </c>
      <c r="N101" s="24">
        <v>644</v>
      </c>
      <c r="O101" s="24"/>
      <c r="P101" s="3">
        <v>2042</v>
      </c>
      <c r="Q101" s="25">
        <v>45877</v>
      </c>
      <c r="R101" s="34">
        <f>P101-M101</f>
        <v>-1677.4277803414857</v>
      </c>
      <c r="T101" t="s">
        <v>565</v>
      </c>
    </row>
    <row r="102" spans="1:20" ht="15" x14ac:dyDescent="0.2">
      <c r="A102" s="2" t="s">
        <v>392</v>
      </c>
      <c r="B102" s="2" t="s">
        <v>155</v>
      </c>
      <c r="C102" s="2" t="s">
        <v>113</v>
      </c>
      <c r="D102" s="28">
        <v>45853</v>
      </c>
      <c r="E102" s="28">
        <v>45853</v>
      </c>
      <c r="F102" s="2" t="s">
        <v>7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4">
        <v>929.85694508537142</v>
      </c>
      <c r="M102" s="24">
        <f t="shared" si="4"/>
        <v>929.85694508537142</v>
      </c>
      <c r="N102" s="24">
        <v>161</v>
      </c>
      <c r="O102" s="24"/>
      <c r="P102" s="3">
        <v>511</v>
      </c>
      <c r="Q102" s="25">
        <v>45877</v>
      </c>
      <c r="R102" s="34">
        <f>P102-M102</f>
        <v>-418.85694508537142</v>
      </c>
      <c r="T102" t="s">
        <v>565</v>
      </c>
    </row>
    <row r="103" spans="1:20" ht="15" x14ac:dyDescent="0.2">
      <c r="A103" s="2" t="s">
        <v>513</v>
      </c>
      <c r="B103" s="2" t="s">
        <v>155</v>
      </c>
      <c r="C103" s="2" t="s">
        <v>113</v>
      </c>
      <c r="D103" s="28">
        <v>45873</v>
      </c>
      <c r="E103" s="28">
        <v>45873</v>
      </c>
      <c r="F103" s="2" t="s">
        <v>8</v>
      </c>
      <c r="G103" s="2">
        <v>1</v>
      </c>
      <c r="H103" s="2">
        <v>1</v>
      </c>
      <c r="I103" s="2">
        <v>0</v>
      </c>
      <c r="J103" s="2">
        <v>0</v>
      </c>
      <c r="K103" s="2">
        <v>0</v>
      </c>
      <c r="L103" s="24">
        <v>929.85694508537142</v>
      </c>
      <c r="M103" s="24">
        <f t="shared" si="4"/>
        <v>929.85694508537142</v>
      </c>
      <c r="N103" s="24"/>
      <c r="O103" s="24"/>
      <c r="P103" s="3"/>
    </row>
    <row r="104" spans="1:20" ht="15" x14ac:dyDescent="0.2">
      <c r="A104" s="2" t="s">
        <v>514</v>
      </c>
      <c r="B104" s="2" t="s">
        <v>155</v>
      </c>
      <c r="C104" s="2" t="s">
        <v>113</v>
      </c>
      <c r="D104" s="28">
        <v>45882</v>
      </c>
      <c r="E104" s="28">
        <v>45882</v>
      </c>
      <c r="F104" s="2" t="s">
        <v>8</v>
      </c>
      <c r="G104" s="2">
        <v>1</v>
      </c>
      <c r="H104" s="2">
        <v>1</v>
      </c>
      <c r="I104" s="2">
        <v>0</v>
      </c>
      <c r="J104" s="2">
        <v>0</v>
      </c>
      <c r="K104" s="2">
        <v>0</v>
      </c>
      <c r="L104" s="24">
        <v>929.85694508537142</v>
      </c>
      <c r="M104" s="24">
        <f t="shared" si="4"/>
        <v>929.85694508537142</v>
      </c>
      <c r="N104" s="24"/>
      <c r="O104" s="24"/>
      <c r="P104" s="3"/>
    </row>
    <row r="105" spans="1:20" ht="15" x14ac:dyDescent="0.2">
      <c r="A105" s="2" t="s">
        <v>515</v>
      </c>
      <c r="B105" s="2" t="s">
        <v>155</v>
      </c>
      <c r="C105" s="2" t="s">
        <v>113</v>
      </c>
      <c r="D105" s="28">
        <v>45886</v>
      </c>
      <c r="E105" s="28">
        <v>45888</v>
      </c>
      <c r="F105" s="2" t="s">
        <v>8</v>
      </c>
      <c r="G105" s="2">
        <v>3</v>
      </c>
      <c r="H105" s="2">
        <v>2</v>
      </c>
      <c r="I105" s="2">
        <v>0</v>
      </c>
      <c r="J105" s="2">
        <v>1</v>
      </c>
      <c r="K105" s="2">
        <v>0</v>
      </c>
      <c r="L105" s="24">
        <v>929.85694508537142</v>
      </c>
      <c r="M105" s="24">
        <f t="shared" si="4"/>
        <v>1859.7138901707428</v>
      </c>
      <c r="N105" s="24"/>
      <c r="O105" s="24"/>
      <c r="P105" s="3"/>
    </row>
    <row r="106" spans="1:20" ht="15" x14ac:dyDescent="0.2">
      <c r="A106" s="2" t="s">
        <v>516</v>
      </c>
      <c r="B106" s="2" t="s">
        <v>155</v>
      </c>
      <c r="C106" s="2" t="s">
        <v>113</v>
      </c>
      <c r="D106" s="28">
        <v>45909</v>
      </c>
      <c r="E106" s="28">
        <v>45911</v>
      </c>
      <c r="F106" s="2" t="s">
        <v>9</v>
      </c>
      <c r="G106" s="2">
        <v>3</v>
      </c>
      <c r="H106" s="2">
        <v>3</v>
      </c>
      <c r="I106" s="2">
        <v>0</v>
      </c>
      <c r="J106" s="2">
        <v>0</v>
      </c>
      <c r="K106" s="2">
        <v>0</v>
      </c>
      <c r="L106" s="24">
        <v>929.85694508537142</v>
      </c>
      <c r="M106" s="24">
        <f t="shared" si="4"/>
        <v>2789.5708352561142</v>
      </c>
      <c r="N106" s="24"/>
      <c r="O106" s="24"/>
      <c r="P106" s="3"/>
    </row>
    <row r="107" spans="1:20" ht="15" x14ac:dyDescent="0.2">
      <c r="A107" s="2" t="s">
        <v>517</v>
      </c>
      <c r="B107" s="2" t="s">
        <v>155</v>
      </c>
      <c r="C107" s="2" t="s">
        <v>113</v>
      </c>
      <c r="D107" s="28">
        <v>45914</v>
      </c>
      <c r="E107" s="28">
        <v>45914</v>
      </c>
      <c r="F107" s="2" t="s">
        <v>9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4">
        <v>929.85694508537142</v>
      </c>
      <c r="M107" s="24">
        <f t="shared" si="4"/>
        <v>0</v>
      </c>
      <c r="N107" s="24"/>
      <c r="O107" s="24"/>
      <c r="P107" s="3"/>
    </row>
    <row r="108" spans="1:20" ht="15" x14ac:dyDescent="0.2">
      <c r="A108" s="2" t="s">
        <v>512</v>
      </c>
      <c r="B108" s="2" t="s">
        <v>155</v>
      </c>
      <c r="C108" s="2" t="s">
        <v>113</v>
      </c>
      <c r="D108" s="28">
        <v>45802</v>
      </c>
      <c r="E108" s="28">
        <v>45804</v>
      </c>
      <c r="F108" s="2" t="s">
        <v>5</v>
      </c>
      <c r="G108" s="2">
        <v>3</v>
      </c>
      <c r="H108" s="2">
        <v>2</v>
      </c>
      <c r="I108" s="2">
        <v>0</v>
      </c>
      <c r="J108" s="2">
        <v>1</v>
      </c>
      <c r="K108" s="2">
        <v>0</v>
      </c>
      <c r="L108" s="24">
        <v>929.85694508537142</v>
      </c>
      <c r="M108" s="24">
        <f t="shared" si="4"/>
        <v>1859.7138901707428</v>
      </c>
      <c r="N108" s="24">
        <v>483</v>
      </c>
      <c r="O108" s="24"/>
      <c r="P108" s="3">
        <v>1532</v>
      </c>
      <c r="Q108" s="25">
        <v>45877</v>
      </c>
    </row>
    <row r="109" spans="1:20" ht="15" x14ac:dyDescent="0.2">
      <c r="A109" s="2" t="s">
        <v>396</v>
      </c>
      <c r="B109" s="2" t="s">
        <v>157</v>
      </c>
      <c r="C109" s="2" t="s">
        <v>135</v>
      </c>
      <c r="D109" s="28">
        <v>45734</v>
      </c>
      <c r="E109" s="28">
        <v>45736</v>
      </c>
      <c r="F109" s="2" t="s">
        <v>3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4">
        <v>914.90539916935847</v>
      </c>
      <c r="M109" s="24">
        <f t="shared" si="4"/>
        <v>2744.7161975080753</v>
      </c>
      <c r="N109" s="24">
        <v>548.94323950161504</v>
      </c>
      <c r="O109" s="24"/>
      <c r="P109" s="3"/>
    </row>
    <row r="110" spans="1:20" ht="15" x14ac:dyDescent="0.2">
      <c r="A110" s="2" t="s">
        <v>399</v>
      </c>
      <c r="B110" s="2" t="s">
        <v>157</v>
      </c>
      <c r="C110" s="2" t="s">
        <v>135</v>
      </c>
      <c r="D110" s="28">
        <v>45827</v>
      </c>
      <c r="E110" s="28">
        <v>45832</v>
      </c>
      <c r="F110" s="2" t="s">
        <v>6</v>
      </c>
      <c r="G110" s="2">
        <v>6</v>
      </c>
      <c r="H110" s="2">
        <v>4</v>
      </c>
      <c r="I110" s="2">
        <v>1</v>
      </c>
      <c r="J110" s="2">
        <v>1</v>
      </c>
      <c r="K110" s="2">
        <v>0</v>
      </c>
      <c r="L110" s="24">
        <v>914.90539916935847</v>
      </c>
      <c r="M110" s="24">
        <f t="shared" si="4"/>
        <v>3659.6215966774339</v>
      </c>
      <c r="N110" s="24">
        <v>731.92431933548687</v>
      </c>
      <c r="O110" s="24"/>
      <c r="P110" s="3"/>
    </row>
    <row r="111" spans="1:20" ht="15" x14ac:dyDescent="0.2">
      <c r="A111" s="2" t="s">
        <v>518</v>
      </c>
      <c r="B111" s="2" t="s">
        <v>160</v>
      </c>
      <c r="C111" s="2" t="s">
        <v>135</v>
      </c>
      <c r="D111" s="28">
        <v>45658</v>
      </c>
      <c r="E111" s="28">
        <v>45658</v>
      </c>
      <c r="F111" s="2" t="s">
        <v>1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4">
        <v>914.85925242270412</v>
      </c>
      <c r="M111" s="24">
        <f t="shared" si="4"/>
        <v>914.85925242270412</v>
      </c>
      <c r="N111" s="24"/>
      <c r="O111" s="24"/>
      <c r="P111" s="3"/>
    </row>
    <row r="112" spans="1:20" ht="15" x14ac:dyDescent="0.2">
      <c r="A112" s="2" t="s">
        <v>519</v>
      </c>
      <c r="B112" s="2" t="s">
        <v>160</v>
      </c>
      <c r="C112" s="2" t="s">
        <v>135</v>
      </c>
      <c r="D112" s="28">
        <v>45662</v>
      </c>
      <c r="E112" s="28">
        <v>45668</v>
      </c>
      <c r="F112" s="2" t="s">
        <v>1</v>
      </c>
      <c r="G112" s="2">
        <v>7</v>
      </c>
      <c r="H112" s="2">
        <v>5</v>
      </c>
      <c r="I112" s="2">
        <v>1</v>
      </c>
      <c r="J112" s="2">
        <v>1</v>
      </c>
      <c r="K112" s="2">
        <v>0</v>
      </c>
      <c r="L112" s="24">
        <v>914.85925242270412</v>
      </c>
      <c r="M112" s="24">
        <f t="shared" si="4"/>
        <v>4574.2962621135202</v>
      </c>
      <c r="N112" s="24">
        <v>2899</v>
      </c>
      <c r="O112" s="24"/>
      <c r="P112" s="3">
        <f>2231+1116+2231+2231</f>
        <v>7809</v>
      </c>
      <c r="Q112" s="112">
        <v>45697</v>
      </c>
    </row>
    <row r="113" spans="1:20" ht="15" x14ac:dyDescent="0.2">
      <c r="A113" s="2" t="s">
        <v>520</v>
      </c>
      <c r="B113" s="2" t="s">
        <v>160</v>
      </c>
      <c r="C113" s="2" t="s">
        <v>135</v>
      </c>
      <c r="D113" s="28">
        <v>45671</v>
      </c>
      <c r="E113" s="28">
        <v>45674</v>
      </c>
      <c r="F113" s="2" t="s">
        <v>1</v>
      </c>
      <c r="G113" s="2">
        <v>4</v>
      </c>
      <c r="H113" s="2">
        <v>4</v>
      </c>
      <c r="I113" s="2">
        <v>0</v>
      </c>
      <c r="J113" s="2">
        <v>0</v>
      </c>
      <c r="K113" s="2">
        <v>0</v>
      </c>
      <c r="L113" s="24">
        <v>914.85925242270412</v>
      </c>
      <c r="M113" s="24">
        <f t="shared" si="4"/>
        <v>3659.4370096908165</v>
      </c>
      <c r="N113" s="24"/>
      <c r="O113" s="24"/>
      <c r="P113" s="3">
        <f>2231+2231</f>
        <v>4462</v>
      </c>
      <c r="Q113" s="112">
        <v>45697</v>
      </c>
    </row>
    <row r="114" spans="1:20" ht="15" x14ac:dyDescent="0.2">
      <c r="A114" s="2"/>
      <c r="B114" s="2" t="s">
        <v>160</v>
      </c>
      <c r="C114" s="2" t="s">
        <v>135</v>
      </c>
      <c r="D114" s="28">
        <v>45671</v>
      </c>
      <c r="E114" s="28">
        <v>45674</v>
      </c>
      <c r="F114" s="2" t="s">
        <v>1</v>
      </c>
      <c r="G114" s="2">
        <v>4</v>
      </c>
      <c r="H114" s="2">
        <v>4</v>
      </c>
      <c r="I114" s="2">
        <v>0</v>
      </c>
      <c r="J114" s="2">
        <v>0</v>
      </c>
      <c r="K114" s="2">
        <v>0</v>
      </c>
      <c r="L114" s="24"/>
      <c r="M114" s="24"/>
      <c r="N114" s="24"/>
      <c r="O114" s="24">
        <v>1785</v>
      </c>
      <c r="P114" s="3"/>
      <c r="Q114" s="112">
        <v>45775</v>
      </c>
    </row>
    <row r="115" spans="1:20" ht="15" x14ac:dyDescent="0.2">
      <c r="A115" s="2" t="s">
        <v>521</v>
      </c>
      <c r="B115" s="2" t="s">
        <v>160</v>
      </c>
      <c r="C115" s="2" t="s">
        <v>135</v>
      </c>
      <c r="D115" s="28">
        <v>45677</v>
      </c>
      <c r="E115" s="28">
        <v>45677</v>
      </c>
      <c r="F115" s="2" t="s">
        <v>1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57">
        <v>914.85925242270412</v>
      </c>
      <c r="M115" s="24">
        <f>L115*H115</f>
        <v>914.85925242270412</v>
      </c>
      <c r="N115" s="24"/>
      <c r="O115" s="24"/>
      <c r="P115" s="3">
        <v>1116</v>
      </c>
      <c r="Q115" s="112">
        <v>45697</v>
      </c>
    </row>
    <row r="116" spans="1:20" ht="15" x14ac:dyDescent="0.2">
      <c r="A116" s="2"/>
      <c r="B116" s="2" t="s">
        <v>160</v>
      </c>
      <c r="C116" s="2" t="s">
        <v>135</v>
      </c>
      <c r="D116" s="28">
        <v>45677</v>
      </c>
      <c r="E116" s="28">
        <v>45677</v>
      </c>
      <c r="F116" s="2" t="s">
        <v>1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4"/>
      <c r="M116" s="24"/>
      <c r="N116" s="24"/>
      <c r="O116" s="24">
        <v>446</v>
      </c>
      <c r="P116" s="3"/>
      <c r="Q116" s="112">
        <v>45775</v>
      </c>
    </row>
    <row r="117" spans="1:20" ht="15" x14ac:dyDescent="0.2">
      <c r="A117" s="2" t="s">
        <v>522</v>
      </c>
      <c r="B117" s="2" t="s">
        <v>160</v>
      </c>
      <c r="C117" s="2" t="s">
        <v>135</v>
      </c>
      <c r="D117" s="28">
        <v>45681</v>
      </c>
      <c r="E117" s="28">
        <v>45683</v>
      </c>
      <c r="F117" s="2" t="s">
        <v>1</v>
      </c>
      <c r="G117" s="2">
        <v>3</v>
      </c>
      <c r="H117" s="2">
        <v>1</v>
      </c>
      <c r="I117" s="2">
        <v>1</v>
      </c>
      <c r="J117" s="2">
        <v>1</v>
      </c>
      <c r="K117" s="2">
        <v>0</v>
      </c>
      <c r="L117" s="24">
        <v>914.85925242270412</v>
      </c>
      <c r="M117" s="24">
        <f t="shared" ref="M117:M157" si="5">L117*H117</f>
        <v>914.85925242270412</v>
      </c>
      <c r="N117" s="24"/>
      <c r="O117" s="24"/>
      <c r="P117" s="3">
        <v>1116</v>
      </c>
      <c r="Q117" s="112">
        <v>45697</v>
      </c>
      <c r="R117" s="34">
        <f>P117-M117</f>
        <v>201.14074757729588</v>
      </c>
      <c r="T117" t="s">
        <v>565</v>
      </c>
    </row>
    <row r="118" spans="1:20" ht="15" x14ac:dyDescent="0.2">
      <c r="A118" s="2" t="s">
        <v>523</v>
      </c>
      <c r="B118" s="2" t="s">
        <v>160</v>
      </c>
      <c r="C118" s="2" t="s">
        <v>135</v>
      </c>
      <c r="D118" s="28">
        <v>45698</v>
      </c>
      <c r="E118" s="28">
        <v>45699</v>
      </c>
      <c r="F118" s="2" t="s">
        <v>2</v>
      </c>
      <c r="G118" s="2">
        <v>2</v>
      </c>
      <c r="H118" s="2">
        <v>2</v>
      </c>
      <c r="I118" s="2">
        <v>0</v>
      </c>
      <c r="J118" s="2">
        <v>0</v>
      </c>
      <c r="K118" s="2">
        <v>0</v>
      </c>
      <c r="L118" s="24">
        <v>914.85925242270412</v>
      </c>
      <c r="M118" s="24">
        <f t="shared" si="5"/>
        <v>1829.7185048454082</v>
      </c>
      <c r="N118" s="24"/>
      <c r="O118" s="24"/>
      <c r="P118" s="3"/>
    </row>
    <row r="119" spans="1:20" ht="15" x14ac:dyDescent="0.2">
      <c r="A119" s="2" t="s">
        <v>524</v>
      </c>
      <c r="B119" s="2" t="s">
        <v>160</v>
      </c>
      <c r="C119" s="2" t="s">
        <v>135</v>
      </c>
      <c r="D119" s="28">
        <v>45701</v>
      </c>
      <c r="E119" s="28">
        <v>45701</v>
      </c>
      <c r="F119" s="2" t="s">
        <v>2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4">
        <v>914.85925242270412</v>
      </c>
      <c r="M119" s="24">
        <f t="shared" si="5"/>
        <v>914.85925242270412</v>
      </c>
      <c r="N119" s="24"/>
      <c r="O119" s="24"/>
      <c r="P119" s="3"/>
    </row>
    <row r="120" spans="1:20" ht="15" x14ac:dyDescent="0.2">
      <c r="A120" s="2" t="s">
        <v>525</v>
      </c>
      <c r="B120" s="2" t="s">
        <v>160</v>
      </c>
      <c r="C120" s="2" t="s">
        <v>135</v>
      </c>
      <c r="D120" s="28">
        <v>45705</v>
      </c>
      <c r="E120" s="28">
        <v>45706</v>
      </c>
      <c r="F120" s="2" t="s">
        <v>2</v>
      </c>
      <c r="G120" s="2">
        <v>2</v>
      </c>
      <c r="H120" s="2">
        <v>2</v>
      </c>
      <c r="I120" s="2">
        <v>0</v>
      </c>
      <c r="J120" s="2">
        <v>0</v>
      </c>
      <c r="K120" s="2">
        <v>0</v>
      </c>
      <c r="L120" s="24">
        <v>914.85925242270412</v>
      </c>
      <c r="M120" s="24">
        <f t="shared" si="5"/>
        <v>1829.7185048454082</v>
      </c>
      <c r="N120" s="24"/>
      <c r="O120" s="24"/>
      <c r="P120" s="3"/>
    </row>
    <row r="121" spans="1:20" ht="15" x14ac:dyDescent="0.2">
      <c r="A121" s="2" t="s">
        <v>526</v>
      </c>
      <c r="B121" s="2" t="s">
        <v>160</v>
      </c>
      <c r="C121" s="2" t="s">
        <v>135</v>
      </c>
      <c r="D121" s="28">
        <v>45712</v>
      </c>
      <c r="E121" s="28">
        <v>45713</v>
      </c>
      <c r="F121" s="2" t="s">
        <v>2</v>
      </c>
      <c r="G121" s="2">
        <v>2</v>
      </c>
      <c r="H121" s="2">
        <v>2</v>
      </c>
      <c r="I121" s="2">
        <v>0</v>
      </c>
      <c r="J121" s="2">
        <v>0</v>
      </c>
      <c r="K121" s="2">
        <v>0</v>
      </c>
      <c r="L121" s="24">
        <v>914.85925242270412</v>
      </c>
      <c r="M121" s="24">
        <f t="shared" si="5"/>
        <v>1829.7185048454082</v>
      </c>
      <c r="N121" s="24"/>
      <c r="O121" s="24"/>
      <c r="P121" s="3"/>
    </row>
    <row r="122" spans="1:20" ht="15" x14ac:dyDescent="0.2">
      <c r="A122" s="2" t="s">
        <v>529</v>
      </c>
      <c r="B122" s="2" t="s">
        <v>160</v>
      </c>
      <c r="C122" s="2" t="s">
        <v>135</v>
      </c>
      <c r="D122" s="28">
        <v>45740</v>
      </c>
      <c r="E122" s="28">
        <v>45741</v>
      </c>
      <c r="F122" s="2" t="s">
        <v>3</v>
      </c>
      <c r="G122" s="2">
        <v>2</v>
      </c>
      <c r="H122" s="2">
        <v>2</v>
      </c>
      <c r="I122" s="2">
        <v>0</v>
      </c>
      <c r="J122" s="2">
        <v>0</v>
      </c>
      <c r="K122" s="2">
        <v>0</v>
      </c>
      <c r="L122" s="24">
        <v>914.85925242270412</v>
      </c>
      <c r="M122" s="24">
        <f t="shared" si="5"/>
        <v>1829.7185048454082</v>
      </c>
      <c r="N122" s="24"/>
      <c r="O122" s="24"/>
      <c r="P122" s="3"/>
    </row>
    <row r="123" spans="1:20" ht="15" x14ac:dyDescent="0.2">
      <c r="A123" s="2" t="s">
        <v>530</v>
      </c>
      <c r="B123" s="2" t="s">
        <v>160</v>
      </c>
      <c r="C123" s="2" t="s">
        <v>135</v>
      </c>
      <c r="D123" s="28">
        <v>45743</v>
      </c>
      <c r="E123" s="28">
        <v>45744</v>
      </c>
      <c r="F123" s="2" t="s">
        <v>3</v>
      </c>
      <c r="G123" s="2">
        <v>2</v>
      </c>
      <c r="H123" s="2">
        <v>2</v>
      </c>
      <c r="I123" s="2">
        <v>0</v>
      </c>
      <c r="J123" s="2">
        <v>0</v>
      </c>
      <c r="K123" s="2">
        <v>0</v>
      </c>
      <c r="L123" s="24">
        <v>914.85925242270412</v>
      </c>
      <c r="M123" s="24">
        <f t="shared" si="5"/>
        <v>1829.7185048454082</v>
      </c>
      <c r="N123" s="24"/>
      <c r="O123" s="24"/>
      <c r="P123" s="3"/>
      <c r="R123" s="34">
        <f>P123-M123</f>
        <v>-1829.7185048454082</v>
      </c>
      <c r="T123" t="s">
        <v>565</v>
      </c>
    </row>
    <row r="124" spans="1:20" ht="15" x14ac:dyDescent="0.2">
      <c r="A124" s="2" t="s">
        <v>531</v>
      </c>
      <c r="B124" s="2" t="s">
        <v>160</v>
      </c>
      <c r="C124" s="2" t="s">
        <v>135</v>
      </c>
      <c r="D124" s="28">
        <v>45746</v>
      </c>
      <c r="E124" s="28">
        <v>45750</v>
      </c>
      <c r="F124" s="2" t="s">
        <v>3</v>
      </c>
      <c r="G124" s="2">
        <v>5</v>
      </c>
      <c r="H124" s="2">
        <v>4</v>
      </c>
      <c r="I124" s="2">
        <v>0</v>
      </c>
      <c r="J124" s="2">
        <v>1</v>
      </c>
      <c r="K124" s="2">
        <v>0</v>
      </c>
      <c r="L124" s="24">
        <v>914.85925242270412</v>
      </c>
      <c r="M124" s="24">
        <f t="shared" si="5"/>
        <v>3659.4370096908165</v>
      </c>
      <c r="N124" s="24"/>
      <c r="O124" s="24"/>
      <c r="P124" s="3"/>
    </row>
    <row r="125" spans="1:20" ht="15" x14ac:dyDescent="0.2">
      <c r="A125" s="2" t="s">
        <v>532</v>
      </c>
      <c r="B125" s="2" t="s">
        <v>160</v>
      </c>
      <c r="C125" s="2" t="s">
        <v>135</v>
      </c>
      <c r="D125" s="28">
        <v>45753</v>
      </c>
      <c r="E125" s="28">
        <v>45753</v>
      </c>
      <c r="F125" s="2" t="s">
        <v>4</v>
      </c>
      <c r="G125" s="2">
        <v>1</v>
      </c>
      <c r="H125" s="2">
        <v>0</v>
      </c>
      <c r="I125" s="2">
        <v>0</v>
      </c>
      <c r="J125" s="2">
        <v>1</v>
      </c>
      <c r="K125" s="2">
        <v>0</v>
      </c>
      <c r="L125" s="24">
        <v>914.85925242270412</v>
      </c>
      <c r="M125" s="24">
        <f t="shared" si="5"/>
        <v>0</v>
      </c>
      <c r="N125" s="24"/>
      <c r="O125" s="24"/>
      <c r="P125" s="3"/>
    </row>
    <row r="126" spans="1:20" ht="15" x14ac:dyDescent="0.2">
      <c r="A126" s="2" t="s">
        <v>533</v>
      </c>
      <c r="B126" s="2" t="s">
        <v>160</v>
      </c>
      <c r="C126" s="2" t="s">
        <v>135</v>
      </c>
      <c r="D126" s="28">
        <v>45756</v>
      </c>
      <c r="E126" s="28">
        <v>45756</v>
      </c>
      <c r="F126" s="2" t="s">
        <v>4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4">
        <v>914.85925242270412</v>
      </c>
      <c r="M126" s="24">
        <f t="shared" si="5"/>
        <v>914.85925242270412</v>
      </c>
      <c r="N126" s="24"/>
      <c r="O126" s="24"/>
      <c r="P126" s="3"/>
    </row>
    <row r="127" spans="1:20" ht="15" x14ac:dyDescent="0.2">
      <c r="A127" s="2" t="s">
        <v>534</v>
      </c>
      <c r="B127" s="2" t="s">
        <v>160</v>
      </c>
      <c r="C127" s="2" t="s">
        <v>135</v>
      </c>
      <c r="D127" s="28">
        <v>45768</v>
      </c>
      <c r="E127" s="28">
        <v>45770</v>
      </c>
      <c r="F127" s="2" t="s">
        <v>4</v>
      </c>
      <c r="G127" s="2">
        <v>3</v>
      </c>
      <c r="H127" s="2">
        <v>3</v>
      </c>
      <c r="I127" s="2">
        <v>0</v>
      </c>
      <c r="J127" s="2">
        <v>0</v>
      </c>
      <c r="K127" s="2">
        <v>0</v>
      </c>
      <c r="L127" s="24">
        <v>914.85925242270412</v>
      </c>
      <c r="M127" s="24">
        <f t="shared" si="5"/>
        <v>2744.5777572681122</v>
      </c>
      <c r="N127" s="24"/>
      <c r="O127" s="24"/>
      <c r="P127" s="3"/>
    </row>
    <row r="128" spans="1:20" ht="15" x14ac:dyDescent="0.2">
      <c r="A128" s="2" t="s">
        <v>535</v>
      </c>
      <c r="B128" s="2" t="s">
        <v>160</v>
      </c>
      <c r="C128" s="2" t="s">
        <v>135</v>
      </c>
      <c r="D128" s="28">
        <v>45776</v>
      </c>
      <c r="E128" s="28">
        <v>45776</v>
      </c>
      <c r="F128" s="2" t="s">
        <v>4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4">
        <v>914.85925242270412</v>
      </c>
      <c r="M128" s="24">
        <f t="shared" si="5"/>
        <v>914.85925242270412</v>
      </c>
      <c r="N128" s="24"/>
      <c r="O128" s="24"/>
      <c r="P128" s="3"/>
    </row>
    <row r="129" spans="1:17" ht="15" x14ac:dyDescent="0.2">
      <c r="A129" s="2" t="s">
        <v>536</v>
      </c>
      <c r="B129" s="2" t="s">
        <v>160</v>
      </c>
      <c r="C129" s="2" t="s">
        <v>135</v>
      </c>
      <c r="D129" s="28">
        <v>45782</v>
      </c>
      <c r="E129" s="28">
        <v>45783</v>
      </c>
      <c r="F129" s="2" t="s">
        <v>5</v>
      </c>
      <c r="G129" s="2">
        <v>2</v>
      </c>
      <c r="H129" s="2">
        <v>2</v>
      </c>
      <c r="I129" s="2">
        <v>0</v>
      </c>
      <c r="J129" s="2">
        <v>0</v>
      </c>
      <c r="K129" s="2">
        <v>0</v>
      </c>
      <c r="L129" s="24">
        <v>914.85925242270412</v>
      </c>
      <c r="M129" s="24">
        <f t="shared" si="5"/>
        <v>1829.7185048454082</v>
      </c>
      <c r="N129" s="24"/>
      <c r="O129" s="24"/>
      <c r="P129" s="3"/>
    </row>
    <row r="130" spans="1:17" ht="15" x14ac:dyDescent="0.2">
      <c r="A130" s="2" t="s">
        <v>537</v>
      </c>
      <c r="B130" s="2" t="s">
        <v>160</v>
      </c>
      <c r="C130" s="2" t="s">
        <v>135</v>
      </c>
      <c r="D130" s="28">
        <v>45795</v>
      </c>
      <c r="E130" s="28">
        <v>45795</v>
      </c>
      <c r="F130" s="2" t="s">
        <v>5</v>
      </c>
      <c r="G130" s="2">
        <v>1</v>
      </c>
      <c r="H130" s="2">
        <v>0</v>
      </c>
      <c r="I130" s="2">
        <v>0</v>
      </c>
      <c r="J130" s="2">
        <v>1</v>
      </c>
      <c r="K130" s="2">
        <v>0</v>
      </c>
      <c r="L130" s="24">
        <v>914.85925242270412</v>
      </c>
      <c r="M130" s="24">
        <f t="shared" si="5"/>
        <v>0</v>
      </c>
      <c r="N130" s="24"/>
      <c r="O130" s="24"/>
      <c r="P130" s="3"/>
    </row>
    <row r="131" spans="1:17" ht="15" x14ac:dyDescent="0.2">
      <c r="A131" s="2" t="s">
        <v>538</v>
      </c>
      <c r="B131" s="2" t="s">
        <v>160</v>
      </c>
      <c r="C131" s="2" t="s">
        <v>135</v>
      </c>
      <c r="D131" s="28">
        <v>45797</v>
      </c>
      <c r="E131" s="28">
        <v>45797</v>
      </c>
      <c r="F131" s="2" t="s">
        <v>5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4">
        <v>914.85925242270412</v>
      </c>
      <c r="M131" s="24">
        <f t="shared" si="5"/>
        <v>914.85925242270412</v>
      </c>
      <c r="N131" s="24"/>
      <c r="O131" s="24"/>
      <c r="P131" s="3"/>
    </row>
    <row r="132" spans="1:17" ht="15" x14ac:dyDescent="0.2">
      <c r="A132" s="2" t="s">
        <v>539</v>
      </c>
      <c r="B132" s="2" t="s">
        <v>160</v>
      </c>
      <c r="C132" s="2" t="s">
        <v>135</v>
      </c>
      <c r="D132" s="28">
        <v>45799</v>
      </c>
      <c r="E132" s="28">
        <v>45799</v>
      </c>
      <c r="F132" s="2" t="s">
        <v>5</v>
      </c>
      <c r="G132" s="2">
        <v>1</v>
      </c>
      <c r="H132" s="2">
        <v>1</v>
      </c>
      <c r="I132" s="2">
        <v>0</v>
      </c>
      <c r="J132" s="2">
        <v>0</v>
      </c>
      <c r="K132" s="2">
        <v>0</v>
      </c>
      <c r="L132" s="24">
        <v>914.85925242270412</v>
      </c>
      <c r="M132" s="24">
        <f t="shared" si="5"/>
        <v>914.85925242270412</v>
      </c>
      <c r="N132" s="24"/>
      <c r="O132" s="24"/>
      <c r="P132" s="3"/>
    </row>
    <row r="133" spans="1:17" ht="15" x14ac:dyDescent="0.2">
      <c r="A133" s="2" t="s">
        <v>540</v>
      </c>
      <c r="B133" s="2" t="s">
        <v>160</v>
      </c>
      <c r="C133" s="2" t="s">
        <v>135</v>
      </c>
      <c r="D133" s="28">
        <v>45802</v>
      </c>
      <c r="E133" s="28">
        <v>45802</v>
      </c>
      <c r="F133" s="2" t="s">
        <v>5</v>
      </c>
      <c r="G133" s="2">
        <v>1</v>
      </c>
      <c r="H133" s="2">
        <v>0</v>
      </c>
      <c r="I133" s="2">
        <v>0</v>
      </c>
      <c r="J133" s="2">
        <v>1</v>
      </c>
      <c r="K133" s="2">
        <v>0</v>
      </c>
      <c r="L133" s="24">
        <v>914.85925242270412</v>
      </c>
      <c r="M133" s="24">
        <f t="shared" si="5"/>
        <v>0</v>
      </c>
      <c r="N133" s="24"/>
      <c r="O133" s="24"/>
      <c r="P133" s="3"/>
    </row>
    <row r="134" spans="1:17" ht="15" x14ac:dyDescent="0.2">
      <c r="A134" s="2" t="s">
        <v>541</v>
      </c>
      <c r="B134" s="2" t="s">
        <v>160</v>
      </c>
      <c r="C134" s="2" t="s">
        <v>135</v>
      </c>
      <c r="D134" s="28">
        <v>45811</v>
      </c>
      <c r="E134" s="28">
        <v>45812</v>
      </c>
      <c r="F134" s="2" t="s">
        <v>6</v>
      </c>
      <c r="G134" s="2">
        <v>2</v>
      </c>
      <c r="H134" s="2">
        <v>2</v>
      </c>
      <c r="I134" s="2">
        <v>0</v>
      </c>
      <c r="J134" s="2">
        <v>0</v>
      </c>
      <c r="K134" s="2">
        <v>0</v>
      </c>
      <c r="L134" s="24">
        <v>914.85925242270412</v>
      </c>
      <c r="M134" s="24">
        <f t="shared" si="5"/>
        <v>1829.7185048454082</v>
      </c>
      <c r="N134" s="24"/>
      <c r="O134" s="24"/>
      <c r="P134" s="3"/>
    </row>
    <row r="135" spans="1:17" ht="15" x14ac:dyDescent="0.2">
      <c r="A135" s="2" t="s">
        <v>542</v>
      </c>
      <c r="B135" s="2" t="s">
        <v>160</v>
      </c>
      <c r="C135" s="2" t="s">
        <v>135</v>
      </c>
      <c r="D135" s="28">
        <v>45816</v>
      </c>
      <c r="E135" s="28">
        <v>45816</v>
      </c>
      <c r="F135" s="2" t="s">
        <v>6</v>
      </c>
      <c r="G135" s="2">
        <v>1</v>
      </c>
      <c r="H135" s="2">
        <v>0</v>
      </c>
      <c r="I135" s="2">
        <v>0</v>
      </c>
      <c r="J135" s="2">
        <v>1</v>
      </c>
      <c r="K135" s="2">
        <v>0</v>
      </c>
      <c r="L135" s="24">
        <v>914.85925242270412</v>
      </c>
      <c r="M135" s="24">
        <f t="shared" si="5"/>
        <v>0</v>
      </c>
      <c r="N135" s="24"/>
      <c r="O135" s="24"/>
      <c r="P135" s="3"/>
    </row>
    <row r="136" spans="1:17" ht="15" x14ac:dyDescent="0.2">
      <c r="A136" s="2" t="s">
        <v>543</v>
      </c>
      <c r="B136" s="2" t="s">
        <v>160</v>
      </c>
      <c r="C136" s="2" t="s">
        <v>135</v>
      </c>
      <c r="D136" s="28">
        <v>45819</v>
      </c>
      <c r="E136" s="28">
        <v>45837</v>
      </c>
      <c r="F136" s="2" t="s">
        <v>6</v>
      </c>
      <c r="G136" s="2">
        <v>19</v>
      </c>
      <c r="H136" s="2">
        <v>13</v>
      </c>
      <c r="I136" s="2">
        <v>3</v>
      </c>
      <c r="J136" s="2">
        <v>3</v>
      </c>
      <c r="K136" s="2">
        <v>0</v>
      </c>
      <c r="L136" s="24">
        <v>914.85925242270412</v>
      </c>
      <c r="M136" s="24">
        <f t="shared" si="5"/>
        <v>11893.170281495153</v>
      </c>
      <c r="N136" s="24"/>
      <c r="O136" s="24"/>
      <c r="P136" s="3"/>
    </row>
    <row r="137" spans="1:17" ht="15" x14ac:dyDescent="0.2">
      <c r="A137" s="2" t="s">
        <v>544</v>
      </c>
      <c r="B137" s="2" t="s">
        <v>160</v>
      </c>
      <c r="C137" s="2" t="s">
        <v>135</v>
      </c>
      <c r="D137" s="28">
        <v>45853</v>
      </c>
      <c r="E137" s="28">
        <v>45854</v>
      </c>
      <c r="F137" s="2" t="s">
        <v>7</v>
      </c>
      <c r="G137" s="2">
        <v>2</v>
      </c>
      <c r="H137" s="2">
        <v>2</v>
      </c>
      <c r="I137" s="2">
        <v>0</v>
      </c>
      <c r="J137" s="2">
        <v>0</v>
      </c>
      <c r="K137" s="2">
        <v>0</v>
      </c>
      <c r="L137" s="24">
        <v>914.85925242270412</v>
      </c>
      <c r="M137" s="24">
        <f t="shared" si="5"/>
        <v>1829.7185048454082</v>
      </c>
      <c r="N137" s="24"/>
      <c r="O137" s="24"/>
      <c r="P137" s="3"/>
    </row>
    <row r="138" spans="1:17" ht="15" x14ac:dyDescent="0.2">
      <c r="A138" s="2" t="s">
        <v>545</v>
      </c>
      <c r="B138" s="2" t="s">
        <v>160</v>
      </c>
      <c r="C138" s="2" t="s">
        <v>135</v>
      </c>
      <c r="D138" s="28">
        <v>45861</v>
      </c>
      <c r="E138" s="28">
        <v>45862</v>
      </c>
      <c r="F138" s="2" t="s">
        <v>7</v>
      </c>
      <c r="G138" s="2">
        <v>2</v>
      </c>
      <c r="H138" s="2">
        <v>2</v>
      </c>
      <c r="I138" s="2">
        <v>0</v>
      </c>
      <c r="J138" s="2">
        <v>0</v>
      </c>
      <c r="K138" s="2">
        <v>0</v>
      </c>
      <c r="L138" s="24">
        <v>914.85925242270412</v>
      </c>
      <c r="M138" s="24">
        <f t="shared" si="5"/>
        <v>1829.7185048454082</v>
      </c>
      <c r="N138" s="24"/>
      <c r="O138" s="24"/>
      <c r="P138" s="3"/>
    </row>
    <row r="139" spans="1:17" ht="15" x14ac:dyDescent="0.2">
      <c r="A139" s="2" t="s">
        <v>546</v>
      </c>
      <c r="B139" s="2" t="s">
        <v>160</v>
      </c>
      <c r="C139" s="2" t="s">
        <v>135</v>
      </c>
      <c r="D139" s="28">
        <v>45866</v>
      </c>
      <c r="E139" s="28">
        <v>45866</v>
      </c>
      <c r="F139" s="2" t="s">
        <v>7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4">
        <v>914.85925242270412</v>
      </c>
      <c r="M139" s="24">
        <f t="shared" si="5"/>
        <v>914.85925242270412</v>
      </c>
      <c r="N139" s="24"/>
      <c r="O139" s="24"/>
      <c r="P139" s="3"/>
    </row>
    <row r="140" spans="1:17" ht="15" x14ac:dyDescent="0.2">
      <c r="A140" s="2" t="s">
        <v>547</v>
      </c>
      <c r="B140" s="2" t="s">
        <v>160</v>
      </c>
      <c r="C140" s="2" t="s">
        <v>135</v>
      </c>
      <c r="D140" s="28">
        <v>45874</v>
      </c>
      <c r="E140" s="28">
        <v>45874</v>
      </c>
      <c r="F140" s="2" t="s">
        <v>8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24">
        <v>914.85925242270412</v>
      </c>
      <c r="M140" s="24">
        <f t="shared" si="5"/>
        <v>914.85925242270412</v>
      </c>
      <c r="N140" s="24"/>
      <c r="O140" s="24"/>
      <c r="P140" s="3"/>
    </row>
    <row r="141" spans="1:17" ht="15" x14ac:dyDescent="0.2">
      <c r="A141" s="2" t="s">
        <v>548</v>
      </c>
      <c r="B141" s="2" t="s">
        <v>160</v>
      </c>
      <c r="C141" s="2" t="s">
        <v>135</v>
      </c>
      <c r="D141" s="28">
        <v>45887</v>
      </c>
      <c r="E141" s="28">
        <v>45887</v>
      </c>
      <c r="F141" s="2" t="s">
        <v>8</v>
      </c>
      <c r="G141" s="2">
        <v>1</v>
      </c>
      <c r="H141" s="2">
        <v>1</v>
      </c>
      <c r="I141" s="2">
        <v>0</v>
      </c>
      <c r="J141" s="2">
        <v>0</v>
      </c>
      <c r="K141" s="2">
        <v>0</v>
      </c>
      <c r="L141" s="24">
        <v>914.85925242270412</v>
      </c>
      <c r="M141" s="24">
        <f t="shared" si="5"/>
        <v>914.85925242270412</v>
      </c>
      <c r="N141" s="24"/>
      <c r="O141" s="24"/>
      <c r="P141" s="3"/>
    </row>
    <row r="142" spans="1:17" ht="15" x14ac:dyDescent="0.2">
      <c r="A142" s="2" t="s">
        <v>549</v>
      </c>
      <c r="B142" s="2" t="s">
        <v>160</v>
      </c>
      <c r="C142" s="2" t="s">
        <v>135</v>
      </c>
      <c r="D142" s="28">
        <v>45903</v>
      </c>
      <c r="E142" s="28">
        <v>45904</v>
      </c>
      <c r="F142" s="2" t="s">
        <v>9</v>
      </c>
      <c r="G142" s="2">
        <v>2</v>
      </c>
      <c r="H142" s="2">
        <v>2</v>
      </c>
      <c r="I142" s="2">
        <v>0</v>
      </c>
      <c r="J142" s="2">
        <v>0</v>
      </c>
      <c r="K142" s="2">
        <v>0</v>
      </c>
      <c r="L142" s="24">
        <v>914.85925242270412</v>
      </c>
      <c r="M142" s="24">
        <f t="shared" si="5"/>
        <v>1829.7185048454082</v>
      </c>
      <c r="N142" s="24"/>
      <c r="O142" s="24"/>
      <c r="P142" s="3"/>
    </row>
    <row r="143" spans="1:17" ht="15" x14ac:dyDescent="0.2">
      <c r="A143" s="2" t="s">
        <v>550</v>
      </c>
      <c r="B143" s="2" t="s">
        <v>160</v>
      </c>
      <c r="C143" s="2" t="s">
        <v>135</v>
      </c>
      <c r="D143" s="28">
        <v>45914</v>
      </c>
      <c r="E143" s="28">
        <v>45914</v>
      </c>
      <c r="F143" s="2" t="s">
        <v>9</v>
      </c>
      <c r="G143" s="2">
        <v>2</v>
      </c>
      <c r="H143" s="2">
        <v>0</v>
      </c>
      <c r="I143" s="2">
        <v>0</v>
      </c>
      <c r="J143" s="2">
        <v>2</v>
      </c>
      <c r="K143" s="2">
        <v>0</v>
      </c>
      <c r="L143" s="24">
        <v>914.85925242270412</v>
      </c>
      <c r="M143" s="24">
        <f t="shared" si="5"/>
        <v>0</v>
      </c>
      <c r="N143" s="24"/>
      <c r="O143" s="24"/>
      <c r="P143" s="3"/>
    </row>
    <row r="144" spans="1:17" ht="15" x14ac:dyDescent="0.2">
      <c r="A144" s="2" t="s">
        <v>527</v>
      </c>
      <c r="B144" s="2" t="s">
        <v>160</v>
      </c>
      <c r="C144" s="2" t="s">
        <v>135</v>
      </c>
      <c r="D144" s="28">
        <v>45726</v>
      </c>
      <c r="E144" s="28">
        <v>45729</v>
      </c>
      <c r="F144" s="2" t="s">
        <v>3</v>
      </c>
      <c r="G144" s="2">
        <v>4</v>
      </c>
      <c r="H144" s="2">
        <v>4</v>
      </c>
      <c r="I144" s="2">
        <v>0</v>
      </c>
      <c r="J144" s="2">
        <v>0</v>
      </c>
      <c r="K144" s="2">
        <v>0</v>
      </c>
      <c r="L144" s="24">
        <v>914.85925242270412</v>
      </c>
      <c r="M144" s="24">
        <f t="shared" si="5"/>
        <v>3659.4370096908165</v>
      </c>
      <c r="N144" s="24">
        <f>472*2</f>
        <v>944</v>
      </c>
      <c r="O144" s="24"/>
      <c r="P144" s="3">
        <f>3305*2</f>
        <v>6610</v>
      </c>
      <c r="Q144" s="25">
        <v>45877</v>
      </c>
    </row>
    <row r="145" spans="1:20" ht="15" x14ac:dyDescent="0.2">
      <c r="A145" s="2" t="s">
        <v>528</v>
      </c>
      <c r="B145" s="2" t="s">
        <v>160</v>
      </c>
      <c r="C145" s="2" t="s">
        <v>135</v>
      </c>
      <c r="D145" s="28">
        <v>45733</v>
      </c>
      <c r="E145" s="28">
        <v>45734</v>
      </c>
      <c r="F145" s="2" t="s">
        <v>3</v>
      </c>
      <c r="G145" s="2">
        <v>2</v>
      </c>
      <c r="H145" s="2">
        <v>2</v>
      </c>
      <c r="I145" s="2">
        <v>0</v>
      </c>
      <c r="J145" s="2">
        <v>0</v>
      </c>
      <c r="K145" s="2">
        <v>0</v>
      </c>
      <c r="L145" s="24">
        <v>914.85925242270412</v>
      </c>
      <c r="M145" s="24">
        <f t="shared" si="5"/>
        <v>1829.7185048454082</v>
      </c>
      <c r="N145" s="24">
        <v>472</v>
      </c>
      <c r="O145" s="24"/>
      <c r="P145" s="3">
        <v>2361</v>
      </c>
      <c r="Q145" s="25">
        <v>45877</v>
      </c>
    </row>
    <row r="146" spans="1:20" ht="15" x14ac:dyDescent="0.2">
      <c r="A146" s="2" t="s">
        <v>414</v>
      </c>
      <c r="B146" s="2" t="s">
        <v>163</v>
      </c>
      <c r="C146" s="2" t="s">
        <v>113</v>
      </c>
      <c r="D146" s="28">
        <v>45733</v>
      </c>
      <c r="E146" s="28">
        <v>45736</v>
      </c>
      <c r="F146" s="2" t="s">
        <v>3</v>
      </c>
      <c r="G146" s="2">
        <v>4</v>
      </c>
      <c r="H146" s="2">
        <v>4</v>
      </c>
      <c r="I146" s="2">
        <v>0</v>
      </c>
      <c r="J146" s="2">
        <v>0</v>
      </c>
      <c r="K146" s="2">
        <v>0</v>
      </c>
      <c r="L146" s="24">
        <v>812.22888786340559</v>
      </c>
      <c r="M146" s="24">
        <f t="shared" si="5"/>
        <v>3248.9155514536224</v>
      </c>
      <c r="N146" s="24">
        <v>649.78311029072449</v>
      </c>
      <c r="O146" s="24"/>
      <c r="P146" s="3"/>
    </row>
    <row r="147" spans="1:20" ht="15" x14ac:dyDescent="0.2">
      <c r="A147" s="2" t="s">
        <v>551</v>
      </c>
      <c r="B147" s="2" t="s">
        <v>163</v>
      </c>
      <c r="C147" s="2" t="s">
        <v>113</v>
      </c>
      <c r="D147" s="28">
        <v>45798</v>
      </c>
      <c r="E147" s="28">
        <v>45799</v>
      </c>
      <c r="F147" s="2" t="s">
        <v>5</v>
      </c>
      <c r="G147" s="2">
        <v>2</v>
      </c>
      <c r="H147" s="2">
        <v>2</v>
      </c>
      <c r="I147" s="2">
        <v>0</v>
      </c>
      <c r="J147" s="2">
        <v>0</v>
      </c>
      <c r="K147" s="2">
        <v>0</v>
      </c>
      <c r="L147" s="24">
        <v>812.22888786340559</v>
      </c>
      <c r="M147" s="24">
        <f t="shared" si="5"/>
        <v>1624.4577757268112</v>
      </c>
      <c r="N147" s="24">
        <v>324.89155514536219</v>
      </c>
      <c r="O147" s="24"/>
      <c r="P147" s="3"/>
    </row>
    <row r="148" spans="1:20" ht="15" x14ac:dyDescent="0.2">
      <c r="A148" s="2" t="s">
        <v>552</v>
      </c>
      <c r="B148" s="2" t="s">
        <v>163</v>
      </c>
      <c r="C148" s="2" t="s">
        <v>113</v>
      </c>
      <c r="D148" s="28">
        <v>45802</v>
      </c>
      <c r="E148" s="28">
        <v>45806</v>
      </c>
      <c r="F148" s="2" t="s">
        <v>5</v>
      </c>
      <c r="G148" s="2">
        <v>5</v>
      </c>
      <c r="H148" s="2">
        <v>4</v>
      </c>
      <c r="I148" s="2">
        <v>0</v>
      </c>
      <c r="J148" s="2">
        <v>1</v>
      </c>
      <c r="K148" s="2">
        <v>0</v>
      </c>
      <c r="L148" s="24">
        <v>812.22888786340559</v>
      </c>
      <c r="M148" s="24">
        <f t="shared" si="5"/>
        <v>3248.9155514536224</v>
      </c>
      <c r="N148" s="24">
        <v>649.78311029072449</v>
      </c>
      <c r="O148" s="24"/>
      <c r="P148" s="3"/>
    </row>
    <row r="149" spans="1:20" ht="15" x14ac:dyDescent="0.2">
      <c r="A149" s="2" t="s">
        <v>553</v>
      </c>
      <c r="B149" s="2" t="s">
        <v>163</v>
      </c>
      <c r="C149" s="2" t="s">
        <v>113</v>
      </c>
      <c r="D149" s="28">
        <v>45818</v>
      </c>
      <c r="E149" s="28">
        <v>45820</v>
      </c>
      <c r="F149" s="2" t="s">
        <v>6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4">
        <v>812.22888786340559</v>
      </c>
      <c r="M149" s="24">
        <f t="shared" si="5"/>
        <v>2436.686663590217</v>
      </c>
      <c r="N149" s="24">
        <v>487.3373327180434</v>
      </c>
      <c r="O149" s="24"/>
      <c r="P149" s="3"/>
    </row>
    <row r="150" spans="1:20" ht="15" x14ac:dyDescent="0.2">
      <c r="A150" s="2" t="s">
        <v>554</v>
      </c>
      <c r="B150" s="2" t="s">
        <v>163</v>
      </c>
      <c r="C150" s="2" t="s">
        <v>113</v>
      </c>
      <c r="D150" s="28">
        <v>45823</v>
      </c>
      <c r="E150" s="28">
        <v>45823</v>
      </c>
      <c r="F150" s="2" t="s">
        <v>6</v>
      </c>
      <c r="G150" s="2">
        <v>1</v>
      </c>
      <c r="H150" s="2">
        <v>0</v>
      </c>
      <c r="I150" s="2">
        <v>0</v>
      </c>
      <c r="J150" s="2">
        <v>1</v>
      </c>
      <c r="K150" s="2">
        <v>0</v>
      </c>
      <c r="L150" s="24">
        <v>812.22888786340559</v>
      </c>
      <c r="M150" s="24">
        <f t="shared" si="5"/>
        <v>0</v>
      </c>
      <c r="N150" s="24">
        <v>0</v>
      </c>
      <c r="O150" s="24"/>
      <c r="P150" s="3"/>
    </row>
    <row r="151" spans="1:20" ht="15" x14ac:dyDescent="0.2">
      <c r="A151" s="2" t="s">
        <v>555</v>
      </c>
      <c r="B151" s="2" t="s">
        <v>163</v>
      </c>
      <c r="C151" s="2" t="s">
        <v>113</v>
      </c>
      <c r="D151" s="28">
        <v>45875</v>
      </c>
      <c r="E151" s="28">
        <v>45876</v>
      </c>
      <c r="F151" s="2" t="s">
        <v>8</v>
      </c>
      <c r="G151" s="2">
        <v>2</v>
      </c>
      <c r="H151" s="2">
        <v>2</v>
      </c>
      <c r="I151" s="2">
        <v>0</v>
      </c>
      <c r="J151" s="2">
        <v>0</v>
      </c>
      <c r="K151" s="2">
        <v>0</v>
      </c>
      <c r="L151" s="24">
        <v>812.22888786340559</v>
      </c>
      <c r="M151" s="24">
        <f t="shared" si="5"/>
        <v>1624.4577757268112</v>
      </c>
      <c r="N151" s="24">
        <v>324.89155514536219</v>
      </c>
      <c r="O151" s="24"/>
      <c r="P151" s="3"/>
    </row>
    <row r="152" spans="1:20" ht="15" x14ac:dyDescent="0.2">
      <c r="A152" s="2" t="s">
        <v>556</v>
      </c>
      <c r="B152" s="2" t="s">
        <v>163</v>
      </c>
      <c r="C152" s="2" t="s">
        <v>113</v>
      </c>
      <c r="D152" s="28">
        <v>45880</v>
      </c>
      <c r="E152" s="28">
        <v>45881</v>
      </c>
      <c r="F152" s="2" t="s">
        <v>8</v>
      </c>
      <c r="G152" s="2">
        <v>2</v>
      </c>
      <c r="H152" s="2">
        <v>2</v>
      </c>
      <c r="I152" s="2">
        <v>0</v>
      </c>
      <c r="J152" s="2">
        <v>0</v>
      </c>
      <c r="K152" s="2">
        <v>0</v>
      </c>
      <c r="L152" s="24">
        <v>812.22888786340559</v>
      </c>
      <c r="M152" s="24">
        <f t="shared" si="5"/>
        <v>1624.4577757268112</v>
      </c>
      <c r="N152" s="24">
        <v>324.89155514536219</v>
      </c>
      <c r="O152" s="24"/>
      <c r="P152" s="3"/>
    </row>
    <row r="153" spans="1:20" ht="15" x14ac:dyDescent="0.2">
      <c r="A153" s="2" t="s">
        <v>421</v>
      </c>
      <c r="B153" s="2" t="s">
        <v>163</v>
      </c>
      <c r="C153" s="2" t="s">
        <v>113</v>
      </c>
      <c r="D153" s="28">
        <v>45907</v>
      </c>
      <c r="E153" s="28">
        <v>45909</v>
      </c>
      <c r="F153" s="2" t="s">
        <v>9</v>
      </c>
      <c r="G153" s="2">
        <v>3</v>
      </c>
      <c r="H153" s="2">
        <v>2</v>
      </c>
      <c r="I153" s="2">
        <v>0</v>
      </c>
      <c r="J153" s="2">
        <v>1</v>
      </c>
      <c r="K153" s="2">
        <v>0</v>
      </c>
      <c r="L153" s="24">
        <v>812.22888786340559</v>
      </c>
      <c r="M153" s="24">
        <f t="shared" si="5"/>
        <v>1624.4577757268112</v>
      </c>
      <c r="N153" s="24">
        <v>324.89155514536219</v>
      </c>
      <c r="O153" s="24"/>
      <c r="P153" s="3"/>
    </row>
    <row r="154" spans="1:20" ht="15" x14ac:dyDescent="0.2">
      <c r="A154" s="2" t="s">
        <v>422</v>
      </c>
      <c r="B154" s="2" t="s">
        <v>165</v>
      </c>
      <c r="C154" s="2" t="s">
        <v>118</v>
      </c>
      <c r="D154" s="61">
        <v>45804</v>
      </c>
      <c r="E154" s="61">
        <v>45805</v>
      </c>
      <c r="F154" s="2" t="s">
        <v>5</v>
      </c>
      <c r="G154" s="32">
        <v>2</v>
      </c>
      <c r="H154" s="32">
        <v>2</v>
      </c>
      <c r="I154" s="32">
        <v>0</v>
      </c>
      <c r="J154" s="2">
        <v>0</v>
      </c>
      <c r="K154" s="2">
        <v>0</v>
      </c>
      <c r="L154" s="24">
        <v>815.41301338255641</v>
      </c>
      <c r="M154" s="24">
        <f t="shared" si="5"/>
        <v>1630.8260267651128</v>
      </c>
      <c r="N154" s="33">
        <v>326.1652053530226</v>
      </c>
      <c r="O154" s="33"/>
      <c r="P154" s="38"/>
      <c r="R154" s="34">
        <f>P154-M154</f>
        <v>-1630.8260267651128</v>
      </c>
      <c r="T154" t="s">
        <v>565</v>
      </c>
    </row>
    <row r="155" spans="1:20" ht="15" x14ac:dyDescent="0.2">
      <c r="A155" s="2" t="s">
        <v>557</v>
      </c>
      <c r="B155" s="2" t="s">
        <v>165</v>
      </c>
      <c r="C155" s="2" t="s">
        <v>118</v>
      </c>
      <c r="D155" s="61">
        <v>45811</v>
      </c>
      <c r="E155" s="61">
        <v>45812</v>
      </c>
      <c r="F155" s="2" t="s">
        <v>6</v>
      </c>
      <c r="G155" s="32">
        <v>2</v>
      </c>
      <c r="H155" s="32">
        <v>2</v>
      </c>
      <c r="I155" s="32">
        <v>0</v>
      </c>
      <c r="J155" s="32">
        <v>0</v>
      </c>
      <c r="K155" s="2">
        <v>0</v>
      </c>
      <c r="L155" s="24">
        <v>815.41301338255641</v>
      </c>
      <c r="M155" s="33">
        <f t="shared" si="5"/>
        <v>1630.8260267651128</v>
      </c>
      <c r="N155" s="33">
        <v>326.1652053530226</v>
      </c>
      <c r="O155" s="33"/>
      <c r="P155" s="38"/>
      <c r="R155" s="34">
        <f>P155-M155</f>
        <v>-1630.8260267651128</v>
      </c>
      <c r="S155" s="26">
        <v>45931</v>
      </c>
      <c r="T155" t="s">
        <v>564</v>
      </c>
    </row>
    <row r="156" spans="1:20" ht="15" x14ac:dyDescent="0.2">
      <c r="A156" s="2" t="s">
        <v>558</v>
      </c>
      <c r="B156" s="2" t="s">
        <v>165</v>
      </c>
      <c r="C156" s="2" t="s">
        <v>118</v>
      </c>
      <c r="D156" s="61">
        <v>45817</v>
      </c>
      <c r="E156" s="61">
        <v>45818</v>
      </c>
      <c r="F156" s="2" t="s">
        <v>6</v>
      </c>
      <c r="G156" s="32">
        <v>2</v>
      </c>
      <c r="H156" s="32">
        <v>2</v>
      </c>
      <c r="I156" s="32">
        <v>0</v>
      </c>
      <c r="J156" s="32">
        <v>0</v>
      </c>
      <c r="K156" s="32">
        <v>0</v>
      </c>
      <c r="L156" s="24">
        <v>815.41301338255641</v>
      </c>
      <c r="M156" s="33">
        <f t="shared" si="5"/>
        <v>1630.8260267651128</v>
      </c>
      <c r="N156" s="33">
        <v>326.1652053530226</v>
      </c>
      <c r="O156" s="33"/>
      <c r="P156" s="38"/>
      <c r="R156" s="34">
        <f>P156-M156</f>
        <v>-1630.8260267651128</v>
      </c>
      <c r="S156" s="26">
        <v>45931</v>
      </c>
      <c r="T156" t="s">
        <v>564</v>
      </c>
    </row>
    <row r="157" spans="1:20" ht="15" x14ac:dyDescent="0.2">
      <c r="A157" s="2" t="s">
        <v>559</v>
      </c>
      <c r="B157" s="2" t="s">
        <v>165</v>
      </c>
      <c r="C157" s="2" t="s">
        <v>118</v>
      </c>
      <c r="D157" s="61">
        <v>45820</v>
      </c>
      <c r="E157" s="61">
        <v>45836</v>
      </c>
      <c r="F157" s="9" t="s">
        <v>6</v>
      </c>
      <c r="G157" s="32">
        <v>17</v>
      </c>
      <c r="H157" s="32">
        <v>12</v>
      </c>
      <c r="I157" s="32">
        <v>3</v>
      </c>
      <c r="J157" s="32">
        <v>2</v>
      </c>
      <c r="K157" s="32">
        <v>0</v>
      </c>
      <c r="L157" s="33">
        <v>815.41301338255641</v>
      </c>
      <c r="M157" s="24">
        <f t="shared" si="5"/>
        <v>9784.9561605906765</v>
      </c>
      <c r="N157" s="33">
        <v>1956.991232118135</v>
      </c>
      <c r="O157" s="33"/>
      <c r="P157" s="3"/>
    </row>
    <row r="158" spans="1:20" ht="15" x14ac:dyDescent="0.2">
      <c r="D158" s="25"/>
      <c r="E158" s="25"/>
      <c r="P158" s="3"/>
    </row>
    <row r="159" spans="1:20" ht="15" x14ac:dyDescent="0.2">
      <c r="D159" s="25"/>
      <c r="E159" s="25"/>
      <c r="P159" s="3"/>
    </row>
    <row r="160" spans="1:20" ht="15" x14ac:dyDescent="0.2">
      <c r="D160" s="25"/>
      <c r="E160" s="25"/>
      <c r="P160" s="3"/>
    </row>
    <row r="161" spans="4:16" ht="15" x14ac:dyDescent="0.2">
      <c r="D161" s="25"/>
      <c r="E161" s="25"/>
      <c r="P161" s="3"/>
    </row>
    <row r="162" spans="4:16" ht="15" x14ac:dyDescent="0.2">
      <c r="D162" s="25"/>
      <c r="E162" s="25"/>
      <c r="P162" s="3"/>
    </row>
    <row r="163" spans="4:16" ht="15" x14ac:dyDescent="0.2">
      <c r="D163" s="25"/>
      <c r="E163" s="25"/>
      <c r="P163" s="3"/>
    </row>
    <row r="164" spans="4:16" ht="15" x14ac:dyDescent="0.2">
      <c r="D164" s="25"/>
      <c r="E164" s="25"/>
      <c r="P164" s="3"/>
    </row>
    <row r="165" spans="4:16" ht="15" x14ac:dyDescent="0.2">
      <c r="D165" s="25"/>
      <c r="E165" s="25"/>
      <c r="P165" s="3"/>
    </row>
    <row r="166" spans="4:16" ht="15" x14ac:dyDescent="0.2">
      <c r="D166" s="25"/>
      <c r="E166" s="25"/>
      <c r="P166" s="3"/>
    </row>
    <row r="167" spans="4:16" ht="15" x14ac:dyDescent="0.2">
      <c r="D167" s="25"/>
      <c r="E167" s="25"/>
      <c r="P167" s="3"/>
    </row>
    <row r="168" spans="4:16" ht="15" x14ac:dyDescent="0.2">
      <c r="D168" s="25"/>
      <c r="E168" s="25"/>
      <c r="P168" s="3"/>
    </row>
    <row r="169" spans="4:16" ht="15" x14ac:dyDescent="0.2">
      <c r="D169" s="25"/>
      <c r="E169" s="25"/>
      <c r="P169" s="3"/>
    </row>
    <row r="170" spans="4:16" ht="15" x14ac:dyDescent="0.2">
      <c r="D170" s="25"/>
      <c r="E170" s="25"/>
      <c r="P170" s="3"/>
    </row>
    <row r="171" spans="4:16" x14ac:dyDescent="0.2">
      <c r="D171" s="25"/>
      <c r="E171" s="25"/>
    </row>
    <row r="172" spans="4:16" x14ac:dyDescent="0.2">
      <c r="D172" s="25"/>
      <c r="E172" s="25"/>
    </row>
    <row r="173" spans="4:16" x14ac:dyDescent="0.2">
      <c r="D173" s="25"/>
      <c r="E173" s="25"/>
    </row>
    <row r="174" spans="4:16" x14ac:dyDescent="0.2">
      <c r="D174" s="25"/>
      <c r="E174" s="25"/>
    </row>
    <row r="175" spans="4:16" x14ac:dyDescent="0.2">
      <c r="D175" s="25"/>
      <c r="E175" s="25"/>
    </row>
    <row r="176" spans="4:16" x14ac:dyDescent="0.2">
      <c r="D176" s="25"/>
      <c r="E176" s="25"/>
    </row>
    <row r="177" spans="4:5" x14ac:dyDescent="0.2">
      <c r="D177" s="25"/>
      <c r="E177" s="25"/>
    </row>
    <row r="178" spans="4:5" x14ac:dyDescent="0.2">
      <c r="D178" s="25"/>
      <c r="E178" s="25"/>
    </row>
    <row r="179" spans="4:5" x14ac:dyDescent="0.2">
      <c r="D179" s="25"/>
      <c r="E179" s="25"/>
    </row>
    <row r="180" spans="4:5" x14ac:dyDescent="0.2">
      <c r="D180" s="25"/>
      <c r="E180" s="25"/>
    </row>
    <row r="181" spans="4:5" x14ac:dyDescent="0.2">
      <c r="D181" s="25"/>
      <c r="E181" s="25"/>
    </row>
    <row r="182" spans="4:5" x14ac:dyDescent="0.2">
      <c r="D182" s="25"/>
      <c r="E182" s="25"/>
    </row>
    <row r="183" spans="4:5" x14ac:dyDescent="0.2">
      <c r="D183" s="25"/>
      <c r="E183" s="25"/>
    </row>
    <row r="184" spans="4:5" x14ac:dyDescent="0.2">
      <c r="D184" s="25"/>
      <c r="E184" s="25"/>
    </row>
    <row r="185" spans="4:5" x14ac:dyDescent="0.2">
      <c r="D185" s="25"/>
      <c r="E185" s="25"/>
    </row>
    <row r="186" spans="4:5" x14ac:dyDescent="0.2">
      <c r="D186" s="25"/>
      <c r="E186" s="25"/>
    </row>
    <row r="187" spans="4:5" x14ac:dyDescent="0.2">
      <c r="D187" s="25"/>
      <c r="E187" s="25"/>
    </row>
    <row r="188" spans="4:5" x14ac:dyDescent="0.2">
      <c r="D188" s="25"/>
      <c r="E188" s="25"/>
    </row>
    <row r="189" spans="4:5" x14ac:dyDescent="0.2">
      <c r="D189" s="25"/>
      <c r="E189" s="25"/>
    </row>
    <row r="190" spans="4:5" x14ac:dyDescent="0.2">
      <c r="D190" s="25"/>
      <c r="E190" s="25"/>
    </row>
    <row r="191" spans="4:5" x14ac:dyDescent="0.2">
      <c r="D191" s="25"/>
      <c r="E191" s="25"/>
    </row>
    <row r="192" spans="4:5" x14ac:dyDescent="0.2">
      <c r="D192" s="25"/>
      <c r="E192" s="25"/>
    </row>
    <row r="193" spans="4:5" x14ac:dyDescent="0.2">
      <c r="D193" s="25"/>
      <c r="E193" s="25"/>
    </row>
    <row r="194" spans="4:5" x14ac:dyDescent="0.2">
      <c r="D194" s="25"/>
      <c r="E194" s="25"/>
    </row>
    <row r="195" spans="4:5" x14ac:dyDescent="0.2">
      <c r="D195" s="25"/>
      <c r="E195" s="25"/>
    </row>
    <row r="196" spans="4:5" x14ac:dyDescent="0.2">
      <c r="D196" s="25"/>
      <c r="E196" s="25"/>
    </row>
    <row r="197" spans="4:5" x14ac:dyDescent="0.2">
      <c r="D197" s="25"/>
      <c r="E197" s="25"/>
    </row>
    <row r="198" spans="4:5" x14ac:dyDescent="0.2">
      <c r="D198" s="25"/>
      <c r="E198" s="25"/>
    </row>
    <row r="199" spans="4:5" x14ac:dyDescent="0.2">
      <c r="D199" s="25"/>
      <c r="E199" s="25"/>
    </row>
    <row r="200" spans="4:5" x14ac:dyDescent="0.2">
      <c r="D200" s="25"/>
      <c r="E200" s="25"/>
    </row>
    <row r="201" spans="4:5" x14ac:dyDescent="0.2">
      <c r="D201" s="25"/>
      <c r="E201" s="25"/>
    </row>
    <row r="202" spans="4:5" x14ac:dyDescent="0.2">
      <c r="D202" s="25"/>
      <c r="E202" s="25"/>
    </row>
    <row r="203" spans="4:5" x14ac:dyDescent="0.2">
      <c r="D203" s="25"/>
      <c r="E203" s="25"/>
    </row>
    <row r="204" spans="4:5" x14ac:dyDescent="0.2">
      <c r="D204" s="25"/>
      <c r="E204" s="25"/>
    </row>
    <row r="205" spans="4:5" x14ac:dyDescent="0.2">
      <c r="D205" s="25"/>
      <c r="E205" s="25"/>
    </row>
    <row r="206" spans="4:5" x14ac:dyDescent="0.2">
      <c r="D206" s="25"/>
      <c r="E206" s="25"/>
    </row>
    <row r="207" spans="4:5" x14ac:dyDescent="0.2">
      <c r="D207" s="25"/>
      <c r="E207" s="25"/>
    </row>
    <row r="208" spans="4:5" x14ac:dyDescent="0.2">
      <c r="D208" s="25"/>
      <c r="E208" s="25"/>
    </row>
    <row r="209" spans="4:5" x14ac:dyDescent="0.2">
      <c r="D209" s="25"/>
      <c r="E209" s="25"/>
    </row>
    <row r="210" spans="4:5" x14ac:dyDescent="0.2">
      <c r="D210" s="25"/>
      <c r="E210" s="25"/>
    </row>
    <row r="211" spans="4:5" x14ac:dyDescent="0.2">
      <c r="D211" s="25"/>
      <c r="E211" s="25"/>
    </row>
    <row r="212" spans="4:5" x14ac:dyDescent="0.2">
      <c r="D212" s="25"/>
      <c r="E212" s="25"/>
    </row>
    <row r="213" spans="4:5" x14ac:dyDescent="0.2">
      <c r="D213" s="25"/>
      <c r="E213" s="25"/>
    </row>
    <row r="214" spans="4:5" x14ac:dyDescent="0.2">
      <c r="D214" s="25"/>
      <c r="E214" s="25"/>
    </row>
    <row r="215" spans="4:5" x14ac:dyDescent="0.2">
      <c r="D215" s="25"/>
      <c r="E215" s="25"/>
    </row>
    <row r="216" spans="4:5" x14ac:dyDescent="0.2">
      <c r="D216" s="25"/>
      <c r="E216" s="25"/>
    </row>
    <row r="217" spans="4:5" x14ac:dyDescent="0.2">
      <c r="D217" s="25"/>
      <c r="E217" s="25"/>
    </row>
    <row r="218" spans="4:5" x14ac:dyDescent="0.2">
      <c r="D218" s="25"/>
      <c r="E218" s="25"/>
    </row>
    <row r="219" spans="4:5" x14ac:dyDescent="0.2">
      <c r="D219" s="25"/>
      <c r="E219" s="25"/>
    </row>
    <row r="220" spans="4:5" x14ac:dyDescent="0.2">
      <c r="D220" s="25"/>
      <c r="E220" s="25"/>
    </row>
    <row r="221" spans="4:5" x14ac:dyDescent="0.2">
      <c r="D221" s="25"/>
      <c r="E221" s="25"/>
    </row>
    <row r="222" spans="4:5" x14ac:dyDescent="0.2">
      <c r="D222" s="25"/>
      <c r="E222" s="25"/>
    </row>
    <row r="223" spans="4:5" x14ac:dyDescent="0.2">
      <c r="D223" s="25"/>
      <c r="E223" s="25"/>
    </row>
    <row r="224" spans="4:5" x14ac:dyDescent="0.2">
      <c r="D224" s="25"/>
      <c r="E224" s="25"/>
    </row>
    <row r="225" spans="4:5" x14ac:dyDescent="0.2">
      <c r="D225" s="25"/>
      <c r="E225" s="25"/>
    </row>
    <row r="226" spans="4:5" x14ac:dyDescent="0.2">
      <c r="D226" s="25"/>
      <c r="E226" s="25"/>
    </row>
    <row r="227" spans="4:5" x14ac:dyDescent="0.2">
      <c r="D227" s="25"/>
      <c r="E227" s="25"/>
    </row>
    <row r="228" spans="4:5" x14ac:dyDescent="0.2">
      <c r="D228" s="25"/>
      <c r="E228" s="25"/>
    </row>
    <row r="229" spans="4:5" x14ac:dyDescent="0.2">
      <c r="D229" s="25"/>
      <c r="E229" s="25"/>
    </row>
    <row r="230" spans="4:5" x14ac:dyDescent="0.2">
      <c r="D230" s="25"/>
      <c r="E230" s="25"/>
    </row>
    <row r="231" spans="4:5" x14ac:dyDescent="0.2">
      <c r="D231" s="25"/>
      <c r="E231" s="25"/>
    </row>
    <row r="232" spans="4:5" x14ac:dyDescent="0.2">
      <c r="D232" s="25"/>
      <c r="E232" s="25"/>
    </row>
    <row r="233" spans="4:5" x14ac:dyDescent="0.2">
      <c r="D233" s="25"/>
      <c r="E233" s="25"/>
    </row>
    <row r="234" spans="4:5" x14ac:dyDescent="0.2">
      <c r="D234" s="25"/>
      <c r="E234" s="25"/>
    </row>
    <row r="235" spans="4:5" x14ac:dyDescent="0.2">
      <c r="D235" s="25"/>
      <c r="E235" s="25"/>
    </row>
    <row r="236" spans="4:5" x14ac:dyDescent="0.2">
      <c r="D236" s="25"/>
      <c r="E236" s="25"/>
    </row>
    <row r="237" spans="4:5" x14ac:dyDescent="0.2">
      <c r="D237" s="25"/>
      <c r="E237" s="25"/>
    </row>
    <row r="238" spans="4:5" x14ac:dyDescent="0.2">
      <c r="D238" s="25"/>
      <c r="E238" s="25"/>
    </row>
    <row r="239" spans="4:5" x14ac:dyDescent="0.2">
      <c r="D239" s="25"/>
      <c r="E239" s="25"/>
    </row>
    <row r="240" spans="4:5" x14ac:dyDescent="0.2">
      <c r="D240" s="25"/>
      <c r="E240" s="25"/>
    </row>
    <row r="241" spans="4:5" x14ac:dyDescent="0.2">
      <c r="D241" s="25"/>
      <c r="E241" s="25"/>
    </row>
    <row r="242" spans="4:5" x14ac:dyDescent="0.2">
      <c r="D242" s="25"/>
      <c r="E242" s="25"/>
    </row>
    <row r="243" spans="4:5" x14ac:dyDescent="0.2">
      <c r="D243" s="25"/>
      <c r="E243" s="25"/>
    </row>
    <row r="244" spans="4:5" x14ac:dyDescent="0.2">
      <c r="D244" s="25"/>
      <c r="E244" s="25"/>
    </row>
    <row r="245" spans="4:5" x14ac:dyDescent="0.2">
      <c r="D245" s="25"/>
      <c r="E245" s="25"/>
    </row>
    <row r="246" spans="4:5" x14ac:dyDescent="0.2">
      <c r="D246" s="25"/>
      <c r="E246" s="25"/>
    </row>
    <row r="247" spans="4:5" x14ac:dyDescent="0.2">
      <c r="D247" s="25"/>
      <c r="E247" s="25"/>
    </row>
    <row r="248" spans="4:5" x14ac:dyDescent="0.2">
      <c r="D248" s="25"/>
      <c r="E248" s="25"/>
    </row>
    <row r="249" spans="4:5" x14ac:dyDescent="0.2">
      <c r="D249" s="25"/>
      <c r="E249" s="25"/>
    </row>
    <row r="250" spans="4:5" x14ac:dyDescent="0.2">
      <c r="D250" s="25"/>
      <c r="E250" s="25"/>
    </row>
    <row r="251" spans="4:5" x14ac:dyDescent="0.2">
      <c r="D251" s="25"/>
      <c r="E251" s="25"/>
    </row>
    <row r="252" spans="4:5" x14ac:dyDescent="0.2">
      <c r="D252" s="25"/>
      <c r="E252" s="25"/>
    </row>
    <row r="253" spans="4:5" x14ac:dyDescent="0.2">
      <c r="D253" s="25"/>
      <c r="E253" s="25"/>
    </row>
    <row r="254" spans="4:5" x14ac:dyDescent="0.2">
      <c r="D254" s="25"/>
      <c r="E254" s="25"/>
    </row>
    <row r="255" spans="4:5" x14ac:dyDescent="0.2">
      <c r="D255" s="25"/>
      <c r="E255" s="25"/>
    </row>
    <row r="256" spans="4:5" x14ac:dyDescent="0.2">
      <c r="D256" s="25"/>
      <c r="E256" s="25"/>
    </row>
    <row r="257" spans="4:5" x14ac:dyDescent="0.2">
      <c r="D257" s="25"/>
      <c r="E257" s="25"/>
    </row>
    <row r="258" spans="4:5" x14ac:dyDescent="0.2">
      <c r="D258" s="25"/>
      <c r="E258" s="25"/>
    </row>
    <row r="259" spans="4:5" x14ac:dyDescent="0.2">
      <c r="D259" s="25"/>
      <c r="E259" s="25"/>
    </row>
    <row r="260" spans="4:5" x14ac:dyDescent="0.2">
      <c r="D260" s="25"/>
      <c r="E260" s="25"/>
    </row>
    <row r="261" spans="4:5" x14ac:dyDescent="0.2">
      <c r="D261" s="25"/>
      <c r="E261" s="25"/>
    </row>
    <row r="262" spans="4:5" x14ac:dyDescent="0.2">
      <c r="D262" s="25"/>
      <c r="E262" s="25"/>
    </row>
    <row r="263" spans="4:5" x14ac:dyDescent="0.2">
      <c r="D263" s="25"/>
      <c r="E263" s="25"/>
    </row>
    <row r="264" spans="4:5" x14ac:dyDescent="0.2">
      <c r="D264" s="25"/>
      <c r="E264" s="25"/>
    </row>
    <row r="265" spans="4:5" x14ac:dyDescent="0.2">
      <c r="D265" s="25"/>
      <c r="E265" s="25"/>
    </row>
    <row r="266" spans="4:5" x14ac:dyDescent="0.2">
      <c r="D266" s="25"/>
      <c r="E266" s="25"/>
    </row>
    <row r="267" spans="4:5" x14ac:dyDescent="0.2">
      <c r="D267" s="25"/>
      <c r="E267" s="25"/>
    </row>
    <row r="268" spans="4:5" x14ac:dyDescent="0.2">
      <c r="D268" s="25"/>
      <c r="E268" s="25"/>
    </row>
    <row r="269" spans="4:5" x14ac:dyDescent="0.2">
      <c r="D269" s="25"/>
      <c r="E269" s="25"/>
    </row>
    <row r="270" spans="4:5" x14ac:dyDescent="0.2">
      <c r="D270" s="25"/>
      <c r="E270" s="25"/>
    </row>
    <row r="271" spans="4:5" x14ac:dyDescent="0.2">
      <c r="D271" s="25"/>
      <c r="E271" s="25"/>
    </row>
    <row r="272" spans="4:5" x14ac:dyDescent="0.2">
      <c r="D272" s="25"/>
      <c r="E272" s="25"/>
    </row>
    <row r="273" spans="4:5" x14ac:dyDescent="0.2">
      <c r="D273" s="25"/>
      <c r="E273" s="25"/>
    </row>
    <row r="274" spans="4:5" x14ac:dyDescent="0.2">
      <c r="D274" s="25"/>
      <c r="E274" s="25"/>
    </row>
    <row r="275" spans="4:5" x14ac:dyDescent="0.2">
      <c r="D275" s="25"/>
      <c r="E275" s="25"/>
    </row>
    <row r="276" spans="4:5" x14ac:dyDescent="0.2">
      <c r="D276" s="25"/>
      <c r="E276" s="25"/>
    </row>
    <row r="277" spans="4:5" x14ac:dyDescent="0.2">
      <c r="D277" s="25"/>
      <c r="E277" s="25"/>
    </row>
    <row r="278" spans="4:5" x14ac:dyDescent="0.2">
      <c r="D278" s="25"/>
      <c r="E278" s="25"/>
    </row>
    <row r="279" spans="4:5" x14ac:dyDescent="0.2">
      <c r="D279" s="25"/>
      <c r="E279" s="25"/>
    </row>
    <row r="280" spans="4:5" x14ac:dyDescent="0.2">
      <c r="D280" s="25"/>
      <c r="E280" s="25"/>
    </row>
    <row r="281" spans="4:5" x14ac:dyDescent="0.2">
      <c r="D281" s="25"/>
      <c r="E281" s="25"/>
    </row>
    <row r="282" spans="4:5" x14ac:dyDescent="0.2">
      <c r="D282" s="25"/>
      <c r="E282" s="25"/>
    </row>
    <row r="283" spans="4:5" x14ac:dyDescent="0.2">
      <c r="D283" s="25"/>
      <c r="E283" s="25"/>
    </row>
    <row r="284" spans="4:5" x14ac:dyDescent="0.2">
      <c r="D284" s="25"/>
      <c r="E284" s="25"/>
    </row>
    <row r="285" spans="4:5" x14ac:dyDescent="0.2">
      <c r="D285" s="25"/>
      <c r="E285" s="25"/>
    </row>
    <row r="286" spans="4:5" x14ac:dyDescent="0.2">
      <c r="D286" s="25"/>
      <c r="E286" s="25"/>
    </row>
    <row r="287" spans="4:5" x14ac:dyDescent="0.2">
      <c r="D287" s="25"/>
      <c r="E287" s="25"/>
    </row>
    <row r="288" spans="4:5" x14ac:dyDescent="0.2">
      <c r="D288" s="25"/>
      <c r="E288" s="25"/>
    </row>
    <row r="289" spans="4:5" x14ac:dyDescent="0.2">
      <c r="D289" s="25"/>
      <c r="E289" s="25"/>
    </row>
    <row r="290" spans="4:5" x14ac:dyDescent="0.2">
      <c r="D290" s="25"/>
      <c r="E290" s="25"/>
    </row>
    <row r="291" spans="4:5" x14ac:dyDescent="0.2">
      <c r="D291" s="25"/>
      <c r="E291" s="25"/>
    </row>
    <row r="292" spans="4:5" x14ac:dyDescent="0.2">
      <c r="D292" s="25"/>
      <c r="E292" s="25"/>
    </row>
    <row r="293" spans="4:5" x14ac:dyDescent="0.2">
      <c r="D293" s="25"/>
      <c r="E293" s="25"/>
    </row>
    <row r="294" spans="4:5" x14ac:dyDescent="0.2">
      <c r="D294" s="25"/>
      <c r="E294" s="25"/>
    </row>
    <row r="295" spans="4:5" x14ac:dyDescent="0.2">
      <c r="D295" s="25"/>
      <c r="E295" s="25"/>
    </row>
    <row r="296" spans="4:5" x14ac:dyDescent="0.2">
      <c r="D296" s="25"/>
      <c r="E296" s="25"/>
    </row>
    <row r="297" spans="4:5" x14ac:dyDescent="0.2">
      <c r="D297" s="25"/>
      <c r="E297" s="25"/>
    </row>
    <row r="298" spans="4:5" x14ac:dyDescent="0.2">
      <c r="D298" s="25"/>
      <c r="E298" s="25"/>
    </row>
    <row r="299" spans="4:5" x14ac:dyDescent="0.2">
      <c r="D299" s="25"/>
      <c r="E299" s="25"/>
    </row>
    <row r="300" spans="4:5" x14ac:dyDescent="0.2">
      <c r="D300" s="25"/>
      <c r="E300" s="25"/>
    </row>
    <row r="301" spans="4:5" x14ac:dyDescent="0.2">
      <c r="D301" s="25"/>
      <c r="E301" s="25"/>
    </row>
    <row r="302" spans="4:5" x14ac:dyDescent="0.2">
      <c r="D302" s="25"/>
      <c r="E302" s="25"/>
    </row>
    <row r="303" spans="4:5" x14ac:dyDescent="0.2">
      <c r="D303" s="25"/>
      <c r="E303" s="25"/>
    </row>
    <row r="304" spans="4:5" x14ac:dyDescent="0.2">
      <c r="D304" s="25"/>
      <c r="E304" s="25"/>
    </row>
    <row r="305" spans="4:5" x14ac:dyDescent="0.2">
      <c r="D305" s="25"/>
      <c r="E305" s="25"/>
    </row>
    <row r="306" spans="4:5" x14ac:dyDescent="0.2">
      <c r="D306" s="25"/>
      <c r="E306" s="25"/>
    </row>
    <row r="307" spans="4:5" x14ac:dyDescent="0.2">
      <c r="D307" s="25"/>
      <c r="E307" s="25"/>
    </row>
    <row r="308" spans="4:5" x14ac:dyDescent="0.2">
      <c r="D308" s="25"/>
      <c r="E308" s="25"/>
    </row>
    <row r="309" spans="4:5" x14ac:dyDescent="0.2">
      <c r="D309" s="25"/>
      <c r="E309" s="25"/>
    </row>
    <row r="310" spans="4:5" x14ac:dyDescent="0.2">
      <c r="D310" s="25"/>
      <c r="E310" s="25"/>
    </row>
    <row r="311" spans="4:5" x14ac:dyDescent="0.2">
      <c r="D311" s="25"/>
      <c r="E311" s="25"/>
    </row>
    <row r="312" spans="4:5" x14ac:dyDescent="0.2">
      <c r="D312" s="25"/>
      <c r="E312" s="25"/>
    </row>
    <row r="313" spans="4:5" x14ac:dyDescent="0.2">
      <c r="D313" s="25"/>
      <c r="E313" s="25"/>
    </row>
    <row r="314" spans="4:5" x14ac:dyDescent="0.2">
      <c r="D314" s="25"/>
      <c r="E314" s="25"/>
    </row>
    <row r="315" spans="4:5" x14ac:dyDescent="0.2">
      <c r="D315" s="25"/>
      <c r="E315" s="25"/>
    </row>
    <row r="316" spans="4:5" x14ac:dyDescent="0.2">
      <c r="D316" s="25"/>
      <c r="E316" s="25"/>
    </row>
    <row r="317" spans="4:5" x14ac:dyDescent="0.2">
      <c r="D317" s="25"/>
      <c r="E317" s="25"/>
    </row>
    <row r="318" spans="4:5" x14ac:dyDescent="0.2">
      <c r="D318" s="25"/>
      <c r="E318" s="25"/>
    </row>
    <row r="319" spans="4:5" x14ac:dyDescent="0.2">
      <c r="D319" s="25"/>
      <c r="E319" s="25"/>
    </row>
    <row r="320" spans="4:5" x14ac:dyDescent="0.2">
      <c r="D320" s="25"/>
      <c r="E320" s="25"/>
    </row>
    <row r="321" spans="4:5" x14ac:dyDescent="0.2">
      <c r="D321" s="25"/>
      <c r="E321" s="25"/>
    </row>
    <row r="322" spans="4:5" x14ac:dyDescent="0.2">
      <c r="D322" s="25"/>
      <c r="E322" s="25"/>
    </row>
    <row r="323" spans="4:5" x14ac:dyDescent="0.2">
      <c r="D323" s="25"/>
      <c r="E323" s="25"/>
    </row>
    <row r="324" spans="4:5" x14ac:dyDescent="0.2">
      <c r="D324" s="25"/>
      <c r="E324" s="25"/>
    </row>
    <row r="325" spans="4:5" x14ac:dyDescent="0.2">
      <c r="D325" s="25"/>
      <c r="E325" s="25"/>
    </row>
    <row r="326" spans="4:5" x14ac:dyDescent="0.2">
      <c r="D326" s="25"/>
      <c r="E326" s="25"/>
    </row>
    <row r="327" spans="4:5" x14ac:dyDescent="0.2">
      <c r="D327" s="25"/>
      <c r="E327" s="25"/>
    </row>
    <row r="328" spans="4:5" x14ac:dyDescent="0.2">
      <c r="D328" s="25"/>
      <c r="E328" s="25"/>
    </row>
    <row r="329" spans="4:5" x14ac:dyDescent="0.2">
      <c r="D329" s="25"/>
      <c r="E329" s="25"/>
    </row>
    <row r="330" spans="4:5" x14ac:dyDescent="0.2">
      <c r="D330" s="25"/>
      <c r="E330" s="25"/>
    </row>
    <row r="331" spans="4:5" x14ac:dyDescent="0.2">
      <c r="D331" s="25"/>
      <c r="E331" s="25"/>
    </row>
    <row r="332" spans="4:5" x14ac:dyDescent="0.2">
      <c r="D332" s="25"/>
      <c r="E332" s="25"/>
    </row>
    <row r="333" spans="4:5" x14ac:dyDescent="0.2">
      <c r="D333" s="25"/>
      <c r="E333" s="25"/>
    </row>
    <row r="334" spans="4:5" x14ac:dyDescent="0.2">
      <c r="D334" s="25"/>
      <c r="E334" s="25"/>
    </row>
    <row r="335" spans="4:5" x14ac:dyDescent="0.2">
      <c r="D335" s="25"/>
      <c r="E335" s="25"/>
    </row>
    <row r="336" spans="4:5" x14ac:dyDescent="0.2">
      <c r="D336" s="25"/>
      <c r="E336" s="25"/>
    </row>
    <row r="337" spans="4:5" x14ac:dyDescent="0.2">
      <c r="D337" s="25"/>
      <c r="E337" s="25"/>
    </row>
    <row r="338" spans="4:5" x14ac:dyDescent="0.2">
      <c r="D338" s="25"/>
      <c r="E338" s="25"/>
    </row>
    <row r="339" spans="4:5" x14ac:dyDescent="0.2">
      <c r="D339" s="25"/>
      <c r="E339" s="25"/>
    </row>
    <row r="340" spans="4:5" x14ac:dyDescent="0.2">
      <c r="D340" s="25"/>
      <c r="E340" s="25"/>
    </row>
    <row r="341" spans="4:5" x14ac:dyDescent="0.2">
      <c r="D341" s="25"/>
      <c r="E341" s="25"/>
    </row>
    <row r="342" spans="4:5" x14ac:dyDescent="0.2">
      <c r="D342" s="25"/>
      <c r="E342" s="25"/>
    </row>
    <row r="343" spans="4:5" x14ac:dyDescent="0.2">
      <c r="D343" s="25"/>
      <c r="E343" s="25"/>
    </row>
    <row r="344" spans="4:5" x14ac:dyDescent="0.2">
      <c r="D344" s="25"/>
      <c r="E344" s="25"/>
    </row>
    <row r="345" spans="4:5" x14ac:dyDescent="0.2">
      <c r="D345" s="25"/>
      <c r="E345" s="25"/>
    </row>
    <row r="346" spans="4:5" x14ac:dyDescent="0.2">
      <c r="D346" s="25"/>
      <c r="E346" s="25"/>
    </row>
    <row r="347" spans="4:5" x14ac:dyDescent="0.2">
      <c r="D347" s="25"/>
      <c r="E347" s="25"/>
    </row>
    <row r="348" spans="4:5" x14ac:dyDescent="0.2">
      <c r="D348" s="25"/>
      <c r="E348" s="25"/>
    </row>
    <row r="349" spans="4:5" x14ac:dyDescent="0.2">
      <c r="D349" s="25"/>
      <c r="E349" s="25"/>
    </row>
    <row r="350" spans="4:5" x14ac:dyDescent="0.2">
      <c r="D350" s="25"/>
      <c r="E350" s="25"/>
    </row>
    <row r="351" spans="4:5" x14ac:dyDescent="0.2">
      <c r="D351" s="25"/>
      <c r="E351" s="25"/>
    </row>
    <row r="352" spans="4:5" x14ac:dyDescent="0.2">
      <c r="D352" s="25"/>
      <c r="E352" s="25"/>
    </row>
    <row r="353" spans="4:5" x14ac:dyDescent="0.2">
      <c r="D353" s="25"/>
      <c r="E353" s="25"/>
    </row>
    <row r="354" spans="4:5" x14ac:dyDescent="0.2">
      <c r="D354" s="25"/>
      <c r="E354" s="25"/>
    </row>
    <row r="355" spans="4:5" x14ac:dyDescent="0.2">
      <c r="D355" s="25"/>
      <c r="E355" s="25"/>
    </row>
    <row r="356" spans="4:5" x14ac:dyDescent="0.2">
      <c r="D356" s="25"/>
      <c r="E356" s="25"/>
    </row>
    <row r="357" spans="4:5" x14ac:dyDescent="0.2">
      <c r="D357" s="25"/>
      <c r="E357" s="25"/>
    </row>
    <row r="358" spans="4:5" x14ac:dyDescent="0.2">
      <c r="D358" s="25"/>
      <c r="E358" s="25"/>
    </row>
    <row r="359" spans="4:5" x14ac:dyDescent="0.2">
      <c r="D359" s="25"/>
      <c r="E359" s="25"/>
    </row>
    <row r="360" spans="4:5" x14ac:dyDescent="0.2">
      <c r="D360" s="25"/>
      <c r="E360" s="25"/>
    </row>
    <row r="361" spans="4:5" x14ac:dyDescent="0.2">
      <c r="D361" s="25"/>
      <c r="E361" s="25"/>
    </row>
    <row r="362" spans="4:5" x14ac:dyDescent="0.2">
      <c r="D362" s="25"/>
      <c r="E362" s="25"/>
    </row>
    <row r="363" spans="4:5" x14ac:dyDescent="0.2">
      <c r="D363" s="25"/>
      <c r="E363" s="25"/>
    </row>
    <row r="364" spans="4:5" x14ac:dyDescent="0.2">
      <c r="D364" s="25"/>
      <c r="E364" s="25"/>
    </row>
    <row r="365" spans="4:5" x14ac:dyDescent="0.2">
      <c r="D365" s="25"/>
      <c r="E365" s="25"/>
    </row>
    <row r="366" spans="4:5" x14ac:dyDescent="0.2">
      <c r="D366" s="25"/>
      <c r="E366" s="25"/>
    </row>
    <row r="367" spans="4:5" x14ac:dyDescent="0.2">
      <c r="D367" s="25"/>
      <c r="E367" s="25"/>
    </row>
    <row r="368" spans="4:5" x14ac:dyDescent="0.2">
      <c r="D368" s="25"/>
      <c r="E368" s="25"/>
    </row>
    <row r="369" spans="4:5" x14ac:dyDescent="0.2">
      <c r="D369" s="25"/>
      <c r="E369" s="25"/>
    </row>
    <row r="370" spans="4:5" x14ac:dyDescent="0.2">
      <c r="D370" s="25"/>
      <c r="E370" s="25"/>
    </row>
    <row r="371" spans="4:5" x14ac:dyDescent="0.2">
      <c r="D371" s="25"/>
      <c r="E371" s="25"/>
    </row>
    <row r="372" spans="4:5" x14ac:dyDescent="0.2">
      <c r="D372" s="25"/>
      <c r="E372" s="25"/>
    </row>
    <row r="373" spans="4:5" x14ac:dyDescent="0.2">
      <c r="D373" s="25"/>
      <c r="E373" s="25"/>
    </row>
    <row r="374" spans="4:5" x14ac:dyDescent="0.2">
      <c r="D374" s="25"/>
      <c r="E374" s="25"/>
    </row>
    <row r="375" spans="4:5" x14ac:dyDescent="0.2">
      <c r="D375" s="25"/>
      <c r="E375" s="25"/>
    </row>
    <row r="376" spans="4:5" x14ac:dyDescent="0.2">
      <c r="D376" s="25"/>
      <c r="E376" s="25"/>
    </row>
    <row r="377" spans="4:5" x14ac:dyDescent="0.2">
      <c r="D377" s="25"/>
      <c r="E377" s="25"/>
    </row>
    <row r="378" spans="4:5" x14ac:dyDescent="0.2">
      <c r="D378" s="25"/>
      <c r="E378" s="25"/>
    </row>
    <row r="379" spans="4:5" x14ac:dyDescent="0.2">
      <c r="D379" s="25"/>
      <c r="E379" s="25"/>
    </row>
    <row r="380" spans="4:5" x14ac:dyDescent="0.2">
      <c r="D380" s="25"/>
      <c r="E380" s="25"/>
    </row>
    <row r="381" spans="4:5" x14ac:dyDescent="0.2">
      <c r="D381" s="25"/>
      <c r="E381" s="25"/>
    </row>
    <row r="382" spans="4:5" x14ac:dyDescent="0.2">
      <c r="D382" s="25"/>
      <c r="E382" s="25"/>
    </row>
    <row r="383" spans="4:5" x14ac:dyDescent="0.2">
      <c r="D383" s="25"/>
      <c r="E383" s="25"/>
    </row>
    <row r="384" spans="4:5" x14ac:dyDescent="0.2">
      <c r="D384" s="25"/>
      <c r="E384" s="25"/>
    </row>
    <row r="385" spans="4:5" x14ac:dyDescent="0.2">
      <c r="D385" s="25"/>
      <c r="E385" s="25"/>
    </row>
    <row r="386" spans="4:5" x14ac:dyDescent="0.2">
      <c r="D386" s="25"/>
      <c r="E386" s="25"/>
    </row>
    <row r="387" spans="4:5" x14ac:dyDescent="0.2">
      <c r="D387" s="25"/>
      <c r="E387" s="25"/>
    </row>
    <row r="388" spans="4:5" x14ac:dyDescent="0.2">
      <c r="D388" s="25"/>
      <c r="E388" s="25"/>
    </row>
    <row r="389" spans="4:5" x14ac:dyDescent="0.2">
      <c r="D389" s="25"/>
      <c r="E389" s="25"/>
    </row>
    <row r="390" spans="4:5" x14ac:dyDescent="0.2">
      <c r="D390" s="25"/>
      <c r="E390" s="25"/>
    </row>
    <row r="391" spans="4:5" x14ac:dyDescent="0.2">
      <c r="D391" s="25"/>
      <c r="E391" s="25"/>
    </row>
    <row r="392" spans="4:5" x14ac:dyDescent="0.2">
      <c r="D392" s="25"/>
      <c r="E392" s="25"/>
    </row>
    <row r="393" spans="4:5" x14ac:dyDescent="0.2">
      <c r="D393" s="25"/>
      <c r="E393" s="25"/>
    </row>
    <row r="394" spans="4:5" x14ac:dyDescent="0.2">
      <c r="D394" s="25"/>
      <c r="E394" s="25"/>
    </row>
    <row r="395" spans="4:5" x14ac:dyDescent="0.2">
      <c r="D395" s="25"/>
      <c r="E395" s="25"/>
    </row>
    <row r="396" spans="4:5" x14ac:dyDescent="0.2">
      <c r="D396" s="25"/>
      <c r="E396" s="25"/>
    </row>
    <row r="397" spans="4:5" x14ac:dyDescent="0.2">
      <c r="D397" s="25"/>
      <c r="E397" s="25"/>
    </row>
    <row r="398" spans="4:5" x14ac:dyDescent="0.2">
      <c r="D398" s="25"/>
      <c r="E398" s="25"/>
    </row>
    <row r="399" spans="4:5" x14ac:dyDescent="0.2">
      <c r="D399" s="25"/>
      <c r="E399" s="25"/>
    </row>
    <row r="400" spans="4:5" x14ac:dyDescent="0.2">
      <c r="D400" s="25"/>
      <c r="E400" s="25"/>
    </row>
    <row r="401" spans="4:5" x14ac:dyDescent="0.2">
      <c r="D401" s="25"/>
      <c r="E401" s="25"/>
    </row>
    <row r="402" spans="4:5" x14ac:dyDescent="0.2">
      <c r="D402" s="25"/>
      <c r="E402" s="25"/>
    </row>
    <row r="403" spans="4:5" x14ac:dyDescent="0.2">
      <c r="D403" s="25"/>
      <c r="E403" s="25"/>
    </row>
    <row r="404" spans="4:5" x14ac:dyDescent="0.2">
      <c r="D404" s="25"/>
      <c r="E404" s="25"/>
    </row>
    <row r="405" spans="4:5" x14ac:dyDescent="0.2">
      <c r="D405" s="25"/>
      <c r="E405" s="25"/>
    </row>
    <row r="406" spans="4:5" x14ac:dyDescent="0.2">
      <c r="D406" s="25"/>
      <c r="E406" s="25"/>
    </row>
    <row r="407" spans="4:5" x14ac:dyDescent="0.2">
      <c r="D407" s="25"/>
      <c r="E407" s="25"/>
    </row>
    <row r="408" spans="4:5" x14ac:dyDescent="0.2">
      <c r="D408" s="25"/>
      <c r="E408" s="25"/>
    </row>
    <row r="409" spans="4:5" x14ac:dyDescent="0.2">
      <c r="D409" s="25"/>
      <c r="E409" s="25"/>
    </row>
    <row r="410" spans="4:5" x14ac:dyDescent="0.2">
      <c r="D410" s="25"/>
      <c r="E410" s="25"/>
    </row>
    <row r="411" spans="4:5" x14ac:dyDescent="0.2">
      <c r="D411" s="25"/>
      <c r="E411" s="25"/>
    </row>
    <row r="412" spans="4:5" x14ac:dyDescent="0.2">
      <c r="D412" s="25"/>
      <c r="E412" s="25"/>
    </row>
    <row r="413" spans="4:5" x14ac:dyDescent="0.2">
      <c r="D413" s="25"/>
      <c r="E413" s="25"/>
    </row>
    <row r="414" spans="4:5" x14ac:dyDescent="0.2">
      <c r="D414" s="25"/>
      <c r="E414" s="25"/>
    </row>
    <row r="415" spans="4:5" x14ac:dyDescent="0.2">
      <c r="D415" s="25"/>
      <c r="E415" s="25"/>
    </row>
    <row r="416" spans="4:5" x14ac:dyDescent="0.2">
      <c r="D416" s="25"/>
      <c r="E416" s="25"/>
    </row>
    <row r="417" spans="4:5" x14ac:dyDescent="0.2">
      <c r="D417" s="25"/>
      <c r="E417" s="25"/>
    </row>
    <row r="418" spans="4:5" x14ac:dyDescent="0.2">
      <c r="D418" s="25"/>
      <c r="E418" s="25"/>
    </row>
    <row r="419" spans="4:5" x14ac:dyDescent="0.2">
      <c r="D419" s="25"/>
      <c r="E419" s="25"/>
    </row>
    <row r="420" spans="4:5" x14ac:dyDescent="0.2">
      <c r="D420" s="25"/>
      <c r="E420" s="25"/>
    </row>
    <row r="421" spans="4:5" x14ac:dyDescent="0.2">
      <c r="D421" s="25"/>
      <c r="E421" s="25"/>
    </row>
    <row r="422" spans="4:5" x14ac:dyDescent="0.2">
      <c r="D422" s="25"/>
      <c r="E422" s="25"/>
    </row>
    <row r="423" spans="4:5" x14ac:dyDescent="0.2">
      <c r="D423" s="25"/>
      <c r="E423" s="25"/>
    </row>
    <row r="424" spans="4:5" x14ac:dyDescent="0.2">
      <c r="D424" s="25"/>
      <c r="E424" s="25"/>
    </row>
    <row r="425" spans="4:5" x14ac:dyDescent="0.2">
      <c r="D425" s="25"/>
      <c r="E425" s="25"/>
    </row>
    <row r="426" spans="4:5" x14ac:dyDescent="0.2">
      <c r="D426" s="25"/>
      <c r="E426" s="25"/>
    </row>
    <row r="427" spans="4:5" x14ac:dyDescent="0.2">
      <c r="D427" s="25"/>
      <c r="E427" s="25"/>
    </row>
    <row r="428" spans="4:5" x14ac:dyDescent="0.2">
      <c r="D428" s="25"/>
      <c r="E428" s="25"/>
    </row>
    <row r="429" spans="4:5" x14ac:dyDescent="0.2">
      <c r="D429" s="25"/>
      <c r="E429" s="25"/>
    </row>
    <row r="430" spans="4:5" x14ac:dyDescent="0.2">
      <c r="D430" s="25"/>
      <c r="E430" s="25"/>
    </row>
    <row r="431" spans="4:5" x14ac:dyDescent="0.2">
      <c r="D431" s="25"/>
      <c r="E431" s="25"/>
    </row>
    <row r="432" spans="4:5" x14ac:dyDescent="0.2">
      <c r="D432" s="25"/>
      <c r="E432" s="25"/>
    </row>
    <row r="433" spans="4:5" x14ac:dyDescent="0.2">
      <c r="D433" s="25"/>
      <c r="E433" s="25"/>
    </row>
    <row r="434" spans="4:5" x14ac:dyDescent="0.2">
      <c r="D434" s="25"/>
      <c r="E434" s="25"/>
    </row>
    <row r="435" spans="4:5" x14ac:dyDescent="0.2">
      <c r="D435" s="25"/>
      <c r="E435" s="25"/>
    </row>
    <row r="436" spans="4:5" x14ac:dyDescent="0.2">
      <c r="D436" s="25"/>
      <c r="E436" s="25"/>
    </row>
    <row r="437" spans="4:5" x14ac:dyDescent="0.2">
      <c r="D437" s="25"/>
      <c r="E437" s="25"/>
    </row>
    <row r="438" spans="4:5" x14ac:dyDescent="0.2">
      <c r="D438" s="25"/>
      <c r="E438" s="25"/>
    </row>
    <row r="439" spans="4:5" x14ac:dyDescent="0.2">
      <c r="D439" s="25"/>
      <c r="E439" s="25"/>
    </row>
    <row r="440" spans="4:5" x14ac:dyDescent="0.2">
      <c r="D440" s="25"/>
      <c r="E440" s="25"/>
    </row>
    <row r="441" spans="4:5" x14ac:dyDescent="0.2">
      <c r="D441" s="25"/>
      <c r="E441" s="25"/>
    </row>
    <row r="442" spans="4:5" x14ac:dyDescent="0.2">
      <c r="D442" s="25"/>
      <c r="E442" s="25"/>
    </row>
    <row r="443" spans="4:5" x14ac:dyDescent="0.2">
      <c r="D443" s="25"/>
      <c r="E443" s="25"/>
    </row>
    <row r="444" spans="4:5" x14ac:dyDescent="0.2">
      <c r="D444" s="25"/>
      <c r="E444" s="25"/>
    </row>
    <row r="445" spans="4:5" x14ac:dyDescent="0.2">
      <c r="D445" s="25"/>
      <c r="E445" s="25"/>
    </row>
    <row r="446" spans="4:5" x14ac:dyDescent="0.2">
      <c r="D446" s="25"/>
      <c r="E446" s="25"/>
    </row>
    <row r="447" spans="4:5" x14ac:dyDescent="0.2">
      <c r="D447" s="25"/>
      <c r="E447" s="25"/>
    </row>
    <row r="448" spans="4:5" x14ac:dyDescent="0.2">
      <c r="D448" s="25"/>
      <c r="E448" s="25"/>
    </row>
    <row r="449" spans="4:5" x14ac:dyDescent="0.2">
      <c r="D449" s="25"/>
      <c r="E449" s="25"/>
    </row>
    <row r="450" spans="4:5" x14ac:dyDescent="0.2">
      <c r="D450" s="25"/>
      <c r="E450" s="25"/>
    </row>
    <row r="451" spans="4:5" x14ac:dyDescent="0.2">
      <c r="D451" s="25"/>
      <c r="E451" s="25"/>
    </row>
    <row r="452" spans="4:5" x14ac:dyDescent="0.2">
      <c r="D452" s="25"/>
      <c r="E452" s="25"/>
    </row>
  </sheetData>
  <autoFilter ref="A1:Q157" xr:uid="{00000000-0009-0000-0000-000008000000}">
    <sortState xmlns:xlrd2="http://schemas.microsoft.com/office/spreadsheetml/2017/richdata2" ref="A2:Q157">
      <sortCondition ref="B1:B157"/>
    </sortState>
  </autoFilter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ערך לא תקין" error="בחר חודש מהרשימה" promptTitle="חודש תשלום" prompt="בחר חודש תשלום" xr:uid="{00000000-0002-0000-0800-000000000000}">
          <x14:formula1>
            <xm:f>רשימות!$A$2:$A$37</xm:f>
          </x14:formula1>
          <xm:sqref>T2:T1013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4"/>
  <sheetViews>
    <sheetView rightToLeft="1" zoomScaleNormal="100" workbookViewId="0">
      <pane ySplit="4" topLeftCell="A5" activePane="bottomLeft" state="frozen"/>
      <selection pane="bottomLeft" activeCell="C33" sqref="C33"/>
    </sheetView>
  </sheetViews>
  <sheetFormatPr defaultRowHeight="14.25" x14ac:dyDescent="0.2"/>
  <cols>
    <col min="1" max="1" width="12" style="66" customWidth="1"/>
    <col min="2" max="2" width="22" customWidth="1"/>
    <col min="3" max="6" width="16" customWidth="1"/>
    <col min="7" max="7" width="20" customWidth="1"/>
    <col min="8" max="8" width="30" customWidth="1"/>
  </cols>
  <sheetData>
    <row r="1" spans="1:8" ht="24.95" customHeight="1" x14ac:dyDescent="0.2">
      <c r="A1" s="120" t="s">
        <v>428</v>
      </c>
      <c r="B1" s="119"/>
      <c r="C1" s="119"/>
      <c r="D1" s="119"/>
      <c r="E1" s="119"/>
      <c r="F1" s="119"/>
      <c r="G1" s="119"/>
      <c r="H1" s="119"/>
    </row>
    <row r="2" spans="1:8" ht="20.100000000000001" customHeight="1" x14ac:dyDescent="0.2">
      <c r="A2" s="118" t="s">
        <v>429</v>
      </c>
      <c r="B2" s="119"/>
      <c r="C2" s="119"/>
      <c r="D2" s="119"/>
      <c r="E2" s="119"/>
      <c r="F2" s="119"/>
      <c r="G2" s="119"/>
      <c r="H2" s="119"/>
    </row>
    <row r="3" spans="1:8" ht="5.0999999999999996" customHeight="1" x14ac:dyDescent="0.2"/>
    <row r="4" spans="1:8" ht="24.95" customHeight="1" x14ac:dyDescent="0.2">
      <c r="A4" s="67" t="s">
        <v>100</v>
      </c>
      <c r="B4" s="8" t="s">
        <v>103</v>
      </c>
      <c r="C4" s="8" t="s">
        <v>430</v>
      </c>
      <c r="D4" s="8" t="s">
        <v>572</v>
      </c>
      <c r="E4" s="8" t="s">
        <v>431</v>
      </c>
      <c r="F4" s="8" t="s">
        <v>432</v>
      </c>
      <c r="G4" s="8" t="s">
        <v>433</v>
      </c>
      <c r="H4" s="8" t="s">
        <v>434</v>
      </c>
    </row>
    <row r="5" spans="1:8" ht="15" x14ac:dyDescent="0.2">
      <c r="A5" s="65">
        <v>211877550</v>
      </c>
      <c r="B5" s="56" t="s">
        <v>112</v>
      </c>
      <c r="C5" s="14">
        <f>D5/21.67</f>
        <v>922.93493308721725</v>
      </c>
      <c r="D5" s="14">
        <v>20000</v>
      </c>
      <c r="E5" s="30">
        <v>45566</v>
      </c>
      <c r="F5" s="56"/>
      <c r="G5" s="2" t="s">
        <v>437</v>
      </c>
      <c r="H5" s="56"/>
    </row>
    <row r="6" spans="1:8" ht="15" x14ac:dyDescent="0.2">
      <c r="A6" s="65">
        <v>37643772</v>
      </c>
      <c r="B6" s="2" t="s">
        <v>117</v>
      </c>
      <c r="C6" s="14">
        <f>D6/21.67</f>
        <v>1108.7217351176741</v>
      </c>
      <c r="D6" s="14">
        <f>(21250+2776)</f>
        <v>24026</v>
      </c>
      <c r="E6" s="30">
        <v>45784</v>
      </c>
      <c r="F6" s="56"/>
      <c r="G6" s="2" t="s">
        <v>437</v>
      </c>
      <c r="H6" s="56"/>
    </row>
    <row r="7" spans="1:8" ht="14.25" customHeight="1" x14ac:dyDescent="0.2">
      <c r="A7" s="27" t="s">
        <v>435</v>
      </c>
      <c r="B7" s="2" t="s">
        <v>121</v>
      </c>
      <c r="C7" s="14">
        <f>D7/21.67</f>
        <v>883.71019843101055</v>
      </c>
      <c r="D7" s="14">
        <f>(15350+2650+1150)</f>
        <v>19150</v>
      </c>
      <c r="E7" s="28">
        <v>45292</v>
      </c>
      <c r="F7" s="2"/>
      <c r="G7" s="2" t="s">
        <v>437</v>
      </c>
      <c r="H7" s="2" t="s">
        <v>438</v>
      </c>
    </row>
    <row r="8" spans="1:8" ht="15" x14ac:dyDescent="0.2">
      <c r="A8" s="27" t="s">
        <v>435</v>
      </c>
      <c r="B8" s="2" t="s">
        <v>121</v>
      </c>
      <c r="C8" s="14">
        <f>D8/21.67</f>
        <v>946.00830641439768</v>
      </c>
      <c r="D8" s="14">
        <f>(16400+4100)</f>
        <v>20500</v>
      </c>
      <c r="E8" s="2" t="s">
        <v>439</v>
      </c>
      <c r="F8" s="2"/>
      <c r="G8" s="68" t="s">
        <v>440</v>
      </c>
      <c r="H8" s="2" t="s">
        <v>574</v>
      </c>
    </row>
    <row r="9" spans="1:8" ht="15" x14ac:dyDescent="0.2">
      <c r="A9" s="27" t="s">
        <v>445</v>
      </c>
      <c r="B9" s="2" t="s">
        <v>125</v>
      </c>
      <c r="C9" s="14">
        <v>876.93</v>
      </c>
      <c r="D9" s="14">
        <v>19003</v>
      </c>
      <c r="E9" s="2" t="s">
        <v>436</v>
      </c>
      <c r="F9" s="2"/>
      <c r="G9" s="2" t="s">
        <v>437</v>
      </c>
      <c r="H9" s="2"/>
    </row>
    <row r="10" spans="1:8" ht="15" x14ac:dyDescent="0.2">
      <c r="A10" s="65">
        <v>206092371</v>
      </c>
      <c r="B10" s="2" t="s">
        <v>573</v>
      </c>
      <c r="C10" s="14">
        <f t="shared" ref="C10:C16" si="0">D10/21.67</f>
        <v>846.00830641439768</v>
      </c>
      <c r="D10" s="14">
        <f>(15790+2543)</f>
        <v>18333</v>
      </c>
      <c r="E10" s="30">
        <v>45658</v>
      </c>
      <c r="F10" s="30">
        <v>45991</v>
      </c>
      <c r="G10" s="2" t="s">
        <v>437</v>
      </c>
      <c r="H10" s="56" t="s">
        <v>575</v>
      </c>
    </row>
    <row r="11" spans="1:8" ht="15" x14ac:dyDescent="0.2">
      <c r="A11" s="27" t="s">
        <v>447</v>
      </c>
      <c r="B11" s="2" t="s">
        <v>128</v>
      </c>
      <c r="C11" s="14">
        <f t="shared" si="0"/>
        <v>670.28149515459154</v>
      </c>
      <c r="D11" s="14">
        <f>13175+1350</f>
        <v>14525</v>
      </c>
      <c r="E11" s="2" t="s">
        <v>436</v>
      </c>
      <c r="F11" s="2"/>
      <c r="G11" s="2" t="s">
        <v>437</v>
      </c>
      <c r="H11" s="2"/>
    </row>
    <row r="12" spans="1:8" ht="15" x14ac:dyDescent="0.2">
      <c r="A12" s="27">
        <v>69304962</v>
      </c>
      <c r="B12" s="2" t="s">
        <v>131</v>
      </c>
      <c r="C12" s="57">
        <f t="shared" si="0"/>
        <v>1084.402399630826</v>
      </c>
      <c r="D12" s="57">
        <f>(16954+3633+16*182)</f>
        <v>23499</v>
      </c>
      <c r="E12" s="2" t="s">
        <v>436</v>
      </c>
      <c r="F12" s="56"/>
      <c r="G12" s="2" t="s">
        <v>437</v>
      </c>
      <c r="H12" s="56" t="s">
        <v>576</v>
      </c>
    </row>
    <row r="13" spans="1:8" ht="15" x14ac:dyDescent="0.2">
      <c r="A13" s="65">
        <v>25474677</v>
      </c>
      <c r="B13" s="2" t="s">
        <v>134</v>
      </c>
      <c r="C13" s="57">
        <f t="shared" si="0"/>
        <v>1180.1107521919703</v>
      </c>
      <c r="D13" s="57">
        <f>21250+4323</f>
        <v>25573</v>
      </c>
      <c r="E13" s="30">
        <v>45292</v>
      </c>
      <c r="F13" s="30">
        <v>45808</v>
      </c>
      <c r="G13" s="2" t="s">
        <v>437</v>
      </c>
      <c r="H13" s="56"/>
    </row>
    <row r="14" spans="1:8" ht="15" x14ac:dyDescent="0.2">
      <c r="A14" s="65">
        <v>25474677</v>
      </c>
      <c r="B14" s="32" t="s">
        <v>134</v>
      </c>
      <c r="C14" s="57">
        <f t="shared" si="0"/>
        <v>1282.4642362713428</v>
      </c>
      <c r="D14" s="57">
        <f>(22750+5041)</f>
        <v>27791</v>
      </c>
      <c r="E14" s="25">
        <v>45809</v>
      </c>
      <c r="G14" s="58" t="s">
        <v>440</v>
      </c>
    </row>
    <row r="15" spans="1:8" ht="15" x14ac:dyDescent="0.2">
      <c r="A15" s="64" t="s">
        <v>442</v>
      </c>
      <c r="B15" s="32" t="s">
        <v>139</v>
      </c>
      <c r="C15" s="59">
        <f t="shared" si="0"/>
        <v>1107.3373327180434</v>
      </c>
      <c r="D15" s="60">
        <v>23996</v>
      </c>
      <c r="E15" s="9" t="s">
        <v>436</v>
      </c>
      <c r="F15" s="61">
        <v>45961</v>
      </c>
      <c r="G15" s="2" t="s">
        <v>437</v>
      </c>
      <c r="H15" s="9" t="s">
        <v>577</v>
      </c>
    </row>
    <row r="16" spans="1:8" ht="15" x14ac:dyDescent="0.2">
      <c r="A16" s="66">
        <v>322131285</v>
      </c>
      <c r="B16" s="32" t="s">
        <v>142</v>
      </c>
      <c r="C16" s="59">
        <f t="shared" si="0"/>
        <v>868.80479926165197</v>
      </c>
      <c r="D16" s="60">
        <f>16150+817+1110+750</f>
        <v>18827</v>
      </c>
      <c r="E16" s="25">
        <v>45809</v>
      </c>
      <c r="G16" s="2" t="s">
        <v>437</v>
      </c>
    </row>
    <row r="17" spans="1:8" ht="15" x14ac:dyDescent="0.2">
      <c r="A17" s="66">
        <v>209501998</v>
      </c>
      <c r="B17" s="32" t="s">
        <v>145</v>
      </c>
      <c r="C17" s="17">
        <v>599.86</v>
      </c>
      <c r="D17" s="18">
        <v>13000</v>
      </c>
      <c r="E17" s="25">
        <v>45292</v>
      </c>
      <c r="F17" s="25">
        <v>45869</v>
      </c>
      <c r="G17" s="2" t="s">
        <v>437</v>
      </c>
    </row>
    <row r="18" spans="1:8" ht="15" x14ac:dyDescent="0.2">
      <c r="A18" s="66">
        <v>209501998</v>
      </c>
      <c r="B18" s="32" t="s">
        <v>145</v>
      </c>
      <c r="C18" s="17">
        <f>D18/21.67</f>
        <v>738.34794646977377</v>
      </c>
      <c r="D18" s="18">
        <v>16000</v>
      </c>
      <c r="E18" s="25">
        <v>45870</v>
      </c>
      <c r="G18" s="62" t="s">
        <v>440</v>
      </c>
    </row>
    <row r="19" spans="1:8" ht="15" x14ac:dyDescent="0.2">
      <c r="A19" s="64" t="s">
        <v>446</v>
      </c>
      <c r="B19" s="32" t="s">
        <v>149</v>
      </c>
      <c r="C19" s="18">
        <v>744.35</v>
      </c>
      <c r="D19" s="18">
        <v>16130</v>
      </c>
      <c r="E19" s="9" t="s">
        <v>436</v>
      </c>
      <c r="F19" s="9"/>
      <c r="G19" s="2" t="s">
        <v>437</v>
      </c>
      <c r="H19" s="9"/>
    </row>
    <row r="20" spans="1:8" ht="15" x14ac:dyDescent="0.2">
      <c r="A20" s="64" t="s">
        <v>441</v>
      </c>
      <c r="B20" s="32" t="s">
        <v>152</v>
      </c>
      <c r="C20" s="18">
        <v>845.92</v>
      </c>
      <c r="D20" s="18">
        <v>18331</v>
      </c>
      <c r="E20" s="9" t="s">
        <v>436</v>
      </c>
      <c r="F20" s="61">
        <v>45961</v>
      </c>
      <c r="G20" s="2" t="s">
        <v>437</v>
      </c>
      <c r="H20" s="9"/>
    </row>
    <row r="21" spans="1:8" ht="15" x14ac:dyDescent="0.2">
      <c r="A21" s="64" t="s">
        <v>441</v>
      </c>
      <c r="B21" s="32" t="s">
        <v>152</v>
      </c>
      <c r="C21" s="18">
        <f>D21/21.67</f>
        <v>983.94093216428234</v>
      </c>
      <c r="D21" s="18">
        <f>(18275+3047)</f>
        <v>21322</v>
      </c>
      <c r="E21" s="61">
        <v>45962</v>
      </c>
      <c r="F21" s="9"/>
      <c r="G21" s="62" t="s">
        <v>440</v>
      </c>
      <c r="H21" s="9"/>
    </row>
    <row r="22" spans="1:8" ht="15" x14ac:dyDescent="0.2">
      <c r="A22" s="64" t="s">
        <v>443</v>
      </c>
      <c r="B22" s="9" t="s">
        <v>155</v>
      </c>
      <c r="C22" s="18">
        <v>868.68</v>
      </c>
      <c r="D22" s="18">
        <v>18824</v>
      </c>
      <c r="E22" s="9" t="s">
        <v>436</v>
      </c>
      <c r="F22" s="61">
        <v>45961</v>
      </c>
      <c r="G22" s="2" t="s">
        <v>437</v>
      </c>
      <c r="H22" s="9"/>
    </row>
    <row r="23" spans="1:8" ht="15" x14ac:dyDescent="0.2">
      <c r="A23" s="64" t="s">
        <v>443</v>
      </c>
      <c r="B23" s="9" t="s">
        <v>155</v>
      </c>
      <c r="C23" s="18">
        <f t="shared" ref="C23:C33" si="1">D23/21.67</f>
        <v>877.34194739270879</v>
      </c>
      <c r="D23" s="18">
        <f>(17580+1432)</f>
        <v>19012</v>
      </c>
      <c r="E23" s="61">
        <v>45962</v>
      </c>
      <c r="F23" s="9"/>
      <c r="G23" s="62" t="s">
        <v>440</v>
      </c>
      <c r="H23" s="9"/>
    </row>
    <row r="24" spans="1:8" ht="15" x14ac:dyDescent="0.2">
      <c r="A24" s="64" t="s">
        <v>444</v>
      </c>
      <c r="B24" s="2" t="s">
        <v>160</v>
      </c>
      <c r="C24" s="18">
        <f t="shared" si="1"/>
        <v>914.85925242270412</v>
      </c>
      <c r="D24" s="18">
        <f>17000+2825</f>
        <v>19825</v>
      </c>
      <c r="E24" s="61">
        <v>45658</v>
      </c>
      <c r="F24" s="9"/>
      <c r="G24" s="2" t="s">
        <v>437</v>
      </c>
      <c r="H24" s="9"/>
    </row>
    <row r="25" spans="1:8" ht="15" x14ac:dyDescent="0.2">
      <c r="A25" s="66">
        <v>315536524</v>
      </c>
      <c r="B25" s="2" t="s">
        <v>163</v>
      </c>
      <c r="C25" s="17">
        <f t="shared" si="1"/>
        <v>812.22888786340559</v>
      </c>
      <c r="D25" s="18">
        <f>13430+3052+1119</f>
        <v>17601</v>
      </c>
      <c r="E25" s="25">
        <v>45292</v>
      </c>
      <c r="G25" s="2" t="s">
        <v>437</v>
      </c>
    </row>
    <row r="26" spans="1:8" ht="15" x14ac:dyDescent="0.2">
      <c r="A26" s="66">
        <v>25342445</v>
      </c>
      <c r="B26" s="2" t="s">
        <v>157</v>
      </c>
      <c r="C26" s="17">
        <f t="shared" si="1"/>
        <v>914.85925242270412</v>
      </c>
      <c r="D26" s="18">
        <f>(17000+1657+1168)</f>
        <v>19825</v>
      </c>
      <c r="E26" s="25">
        <v>45658</v>
      </c>
      <c r="F26" s="25">
        <v>45961</v>
      </c>
      <c r="G26" s="2" t="s">
        <v>437</v>
      </c>
      <c r="H26" t="s">
        <v>577</v>
      </c>
    </row>
    <row r="27" spans="1:8" ht="15" x14ac:dyDescent="0.2">
      <c r="A27" s="66">
        <v>32345035</v>
      </c>
      <c r="B27" s="2" t="s">
        <v>165</v>
      </c>
      <c r="C27" s="17">
        <f t="shared" si="1"/>
        <v>815.41301338255641</v>
      </c>
      <c r="D27" s="18">
        <f>(15725+1945)</f>
        <v>17670</v>
      </c>
      <c r="E27" s="25">
        <v>45658</v>
      </c>
      <c r="G27" s="2" t="s">
        <v>437</v>
      </c>
    </row>
    <row r="28" spans="1:8" ht="15" x14ac:dyDescent="0.2">
      <c r="A28" s="66">
        <v>206184806</v>
      </c>
      <c r="B28" s="2" t="s">
        <v>567</v>
      </c>
      <c r="C28" s="17">
        <f t="shared" si="1"/>
        <v>822.61190586063674</v>
      </c>
      <c r="D28" s="18">
        <f>(15300+926+750+850)</f>
        <v>17826</v>
      </c>
      <c r="E28" s="25">
        <v>45893</v>
      </c>
      <c r="G28" s="2" t="s">
        <v>437</v>
      </c>
    </row>
    <row r="29" spans="1:8" ht="15" x14ac:dyDescent="0.2">
      <c r="A29" s="66">
        <v>213026206</v>
      </c>
      <c r="B29" t="s">
        <v>579</v>
      </c>
      <c r="C29" s="17">
        <f t="shared" si="1"/>
        <v>730.318412551915</v>
      </c>
      <c r="D29" s="18">
        <f>(13600+750+626+850)</f>
        <v>15826</v>
      </c>
      <c r="E29" s="25">
        <v>45945</v>
      </c>
      <c r="G29" s="2" t="s">
        <v>437</v>
      </c>
    </row>
    <row r="30" spans="1:8" ht="15" x14ac:dyDescent="0.2">
      <c r="A30" s="66" t="s">
        <v>580</v>
      </c>
      <c r="B30" s="9" t="s">
        <v>581</v>
      </c>
      <c r="C30" s="17">
        <f t="shared" si="1"/>
        <v>1191.7858790955236</v>
      </c>
      <c r="D30" s="18">
        <f>(22100+2176+750+800)</f>
        <v>25826</v>
      </c>
      <c r="E30" s="25">
        <v>46001</v>
      </c>
      <c r="G30" s="2" t="s">
        <v>437</v>
      </c>
    </row>
    <row r="31" spans="1:8" ht="15" x14ac:dyDescent="0.2">
      <c r="A31" s="66" t="s">
        <v>583</v>
      </c>
      <c r="B31" s="9" t="s">
        <v>582</v>
      </c>
      <c r="C31" s="17">
        <f t="shared" si="1"/>
        <v>684.17166589755413</v>
      </c>
      <c r="D31" s="18">
        <f>(12750+750+476+850)</f>
        <v>14826</v>
      </c>
      <c r="E31" s="25">
        <v>45755</v>
      </c>
      <c r="G31" s="2" t="s">
        <v>437</v>
      </c>
    </row>
    <row r="32" spans="1:8" ht="15" x14ac:dyDescent="0.2">
      <c r="A32" s="66" t="s">
        <v>585</v>
      </c>
      <c r="B32" s="9" t="s">
        <v>584</v>
      </c>
      <c r="C32" s="17">
        <f t="shared" si="1"/>
        <v>692.20119981541291</v>
      </c>
      <c r="D32" s="18">
        <f>(12000+3000)</f>
        <v>15000</v>
      </c>
      <c r="E32" s="25">
        <v>45579</v>
      </c>
      <c r="G32" s="2" t="s">
        <v>437</v>
      </c>
    </row>
    <row r="33" spans="1:7" ht="15" x14ac:dyDescent="0.2">
      <c r="A33" s="66" t="s">
        <v>587</v>
      </c>
      <c r="B33" s="9" t="s">
        <v>586</v>
      </c>
      <c r="C33" s="17">
        <f t="shared" si="1"/>
        <v>776.6497461928933</v>
      </c>
      <c r="D33" s="18">
        <f>(14450+1580+800)</f>
        <v>16830</v>
      </c>
      <c r="E33" s="25">
        <v>45748</v>
      </c>
      <c r="G33" s="2" t="s">
        <v>437</v>
      </c>
    </row>
    <row r="34" spans="1:7" ht="15" x14ac:dyDescent="0.2">
      <c r="D34" s="18"/>
    </row>
    <row r="35" spans="1:7" ht="15" x14ac:dyDescent="0.2">
      <c r="D35" s="18"/>
    </row>
    <row r="36" spans="1:7" ht="15" x14ac:dyDescent="0.2">
      <c r="D36" s="18"/>
    </row>
    <row r="37" spans="1:7" ht="15" x14ac:dyDescent="0.2">
      <c r="D37" s="18"/>
    </row>
    <row r="38" spans="1:7" ht="15" x14ac:dyDescent="0.2">
      <c r="D38" s="18"/>
    </row>
    <row r="39" spans="1:7" ht="15" x14ac:dyDescent="0.2">
      <c r="D39" s="18"/>
    </row>
    <row r="40" spans="1:7" ht="15" x14ac:dyDescent="0.2">
      <c r="D40" s="18"/>
    </row>
    <row r="41" spans="1:7" ht="15" x14ac:dyDescent="0.2">
      <c r="D41" s="18"/>
    </row>
    <row r="42" spans="1:7" ht="15" x14ac:dyDescent="0.2">
      <c r="D42" s="18"/>
    </row>
    <row r="43" spans="1:7" ht="15" x14ac:dyDescent="0.2">
      <c r="D43" s="18"/>
    </row>
    <row r="44" spans="1:7" ht="15" x14ac:dyDescent="0.2">
      <c r="D44" s="18"/>
    </row>
    <row r="45" spans="1:7" ht="15" x14ac:dyDescent="0.2">
      <c r="D45" s="18"/>
    </row>
    <row r="46" spans="1:7" ht="15" x14ac:dyDescent="0.2">
      <c r="D46" s="18"/>
    </row>
    <row r="47" spans="1:7" ht="15" x14ac:dyDescent="0.2">
      <c r="D47" s="18"/>
    </row>
    <row r="48" spans="1:7" ht="15" x14ac:dyDescent="0.2">
      <c r="D48" s="18"/>
    </row>
    <row r="49" spans="4:4" ht="15" x14ac:dyDescent="0.2">
      <c r="D49" s="18"/>
    </row>
    <row r="50" spans="4:4" ht="15" x14ac:dyDescent="0.2">
      <c r="D50" s="18"/>
    </row>
    <row r="51" spans="4:4" ht="15" x14ac:dyDescent="0.2">
      <c r="D51" s="18"/>
    </row>
    <row r="52" spans="4:4" ht="15" x14ac:dyDescent="0.2">
      <c r="D52" s="18"/>
    </row>
    <row r="53" spans="4:4" ht="15" x14ac:dyDescent="0.2">
      <c r="D53" s="18"/>
    </row>
    <row r="54" spans="4:4" ht="15" x14ac:dyDescent="0.2">
      <c r="D54" s="18"/>
    </row>
    <row r="55" spans="4:4" ht="15" x14ac:dyDescent="0.2">
      <c r="D55" s="18"/>
    </row>
    <row r="56" spans="4:4" ht="15" x14ac:dyDescent="0.2">
      <c r="D56" s="18"/>
    </row>
    <row r="57" spans="4:4" ht="15" x14ac:dyDescent="0.2">
      <c r="D57" s="18"/>
    </row>
    <row r="58" spans="4:4" ht="15" x14ac:dyDescent="0.2">
      <c r="D58" s="18"/>
    </row>
    <row r="59" spans="4:4" ht="15" x14ac:dyDescent="0.2">
      <c r="D59" s="18"/>
    </row>
    <row r="60" spans="4:4" ht="15" x14ac:dyDescent="0.2">
      <c r="D60" s="18"/>
    </row>
    <row r="61" spans="4:4" ht="15" x14ac:dyDescent="0.2">
      <c r="D61" s="18"/>
    </row>
    <row r="62" spans="4:4" ht="15" x14ac:dyDescent="0.2">
      <c r="D62" s="18"/>
    </row>
    <row r="63" spans="4:4" ht="15" x14ac:dyDescent="0.2">
      <c r="D63" s="18"/>
    </row>
    <row r="64" spans="4:4" ht="15" x14ac:dyDescent="0.2">
      <c r="D64" s="18"/>
    </row>
    <row r="65" spans="4:4" ht="15" x14ac:dyDescent="0.2">
      <c r="D65" s="18"/>
    </row>
    <row r="66" spans="4:4" ht="15" x14ac:dyDescent="0.2">
      <c r="D66" s="18"/>
    </row>
    <row r="67" spans="4:4" ht="15" x14ac:dyDescent="0.2">
      <c r="D67" s="18"/>
    </row>
    <row r="68" spans="4:4" ht="15" x14ac:dyDescent="0.2">
      <c r="D68" s="18"/>
    </row>
    <row r="69" spans="4:4" ht="15" x14ac:dyDescent="0.2">
      <c r="D69" s="18"/>
    </row>
    <row r="70" spans="4:4" ht="15" x14ac:dyDescent="0.2">
      <c r="D70" s="18"/>
    </row>
    <row r="71" spans="4:4" ht="15" x14ac:dyDescent="0.2">
      <c r="D71" s="18"/>
    </row>
    <row r="72" spans="4:4" ht="15" x14ac:dyDescent="0.2">
      <c r="D72" s="18"/>
    </row>
    <row r="73" spans="4:4" ht="15" x14ac:dyDescent="0.2">
      <c r="D73" s="18"/>
    </row>
    <row r="74" spans="4:4" ht="15" x14ac:dyDescent="0.2">
      <c r="D74" s="18"/>
    </row>
    <row r="75" spans="4:4" ht="15" x14ac:dyDescent="0.2">
      <c r="D75" s="18"/>
    </row>
    <row r="76" spans="4:4" ht="15" x14ac:dyDescent="0.2">
      <c r="D76" s="18"/>
    </row>
    <row r="77" spans="4:4" ht="15" x14ac:dyDescent="0.2">
      <c r="D77" s="18"/>
    </row>
    <row r="78" spans="4:4" ht="15" x14ac:dyDescent="0.2">
      <c r="D78" s="18"/>
    </row>
    <row r="79" spans="4:4" ht="15" x14ac:dyDescent="0.2">
      <c r="D79" s="18"/>
    </row>
    <row r="80" spans="4:4" ht="15" x14ac:dyDescent="0.2">
      <c r="D80" s="18"/>
    </row>
    <row r="81" spans="4:4" ht="15" x14ac:dyDescent="0.2">
      <c r="D81" s="18"/>
    </row>
    <row r="82" spans="4:4" ht="15" x14ac:dyDescent="0.2">
      <c r="D82" s="18"/>
    </row>
    <row r="83" spans="4:4" ht="15" x14ac:dyDescent="0.2">
      <c r="D83" s="18"/>
    </row>
    <row r="84" spans="4:4" ht="15" x14ac:dyDescent="0.2">
      <c r="D84" s="18"/>
    </row>
    <row r="85" spans="4:4" ht="15" x14ac:dyDescent="0.2">
      <c r="D85" s="18"/>
    </row>
    <row r="86" spans="4:4" ht="15" x14ac:dyDescent="0.2">
      <c r="D86" s="18"/>
    </row>
    <row r="87" spans="4:4" ht="15" x14ac:dyDescent="0.2">
      <c r="D87" s="18"/>
    </row>
    <row r="88" spans="4:4" ht="15" x14ac:dyDescent="0.2">
      <c r="D88" s="18"/>
    </row>
    <row r="89" spans="4:4" ht="15" x14ac:dyDescent="0.2">
      <c r="D89" s="18"/>
    </row>
    <row r="90" spans="4:4" ht="15" x14ac:dyDescent="0.2">
      <c r="D90" s="18"/>
    </row>
    <row r="91" spans="4:4" ht="15" x14ac:dyDescent="0.2">
      <c r="D91" s="18"/>
    </row>
    <row r="92" spans="4:4" ht="15" x14ac:dyDescent="0.2">
      <c r="D92" s="18"/>
    </row>
    <row r="93" spans="4:4" ht="15" x14ac:dyDescent="0.2">
      <c r="D93" s="18"/>
    </row>
    <row r="94" spans="4:4" ht="15" x14ac:dyDescent="0.2">
      <c r="D94" s="18"/>
    </row>
    <row r="95" spans="4:4" ht="15" x14ac:dyDescent="0.2">
      <c r="D95" s="18"/>
    </row>
    <row r="96" spans="4:4" ht="15" x14ac:dyDescent="0.2">
      <c r="D96" s="18"/>
    </row>
    <row r="97" spans="4:4" ht="15" x14ac:dyDescent="0.2">
      <c r="D97" s="18"/>
    </row>
    <row r="98" spans="4:4" ht="15" x14ac:dyDescent="0.2">
      <c r="D98" s="18"/>
    </row>
    <row r="99" spans="4:4" ht="15" x14ac:dyDescent="0.2">
      <c r="D99" s="18"/>
    </row>
    <row r="100" spans="4:4" ht="15" x14ac:dyDescent="0.2">
      <c r="D100" s="18"/>
    </row>
    <row r="101" spans="4:4" ht="15" x14ac:dyDescent="0.2">
      <c r="D101" s="18"/>
    </row>
    <row r="102" spans="4:4" ht="15" x14ac:dyDescent="0.2">
      <c r="D102" s="18"/>
    </row>
    <row r="103" spans="4:4" ht="15" x14ac:dyDescent="0.2">
      <c r="D103" s="18"/>
    </row>
    <row r="104" spans="4:4" ht="15" x14ac:dyDescent="0.2">
      <c r="D104" s="18"/>
    </row>
    <row r="105" spans="4:4" ht="15" x14ac:dyDescent="0.2">
      <c r="D105" s="18"/>
    </row>
    <row r="106" spans="4:4" ht="15" x14ac:dyDescent="0.2">
      <c r="D106" s="18"/>
    </row>
    <row r="107" spans="4:4" ht="15" x14ac:dyDescent="0.2">
      <c r="D107" s="18"/>
    </row>
    <row r="108" spans="4:4" ht="15" x14ac:dyDescent="0.2">
      <c r="D108" s="18"/>
    </row>
    <row r="109" spans="4:4" ht="15" x14ac:dyDescent="0.2">
      <c r="D109" s="18"/>
    </row>
    <row r="110" spans="4:4" ht="15" x14ac:dyDescent="0.2">
      <c r="D110" s="18"/>
    </row>
    <row r="111" spans="4:4" ht="15" x14ac:dyDescent="0.2">
      <c r="D111" s="18"/>
    </row>
    <row r="112" spans="4:4" ht="15" x14ac:dyDescent="0.2">
      <c r="D112" s="18"/>
    </row>
    <row r="113" spans="4:4" ht="15" x14ac:dyDescent="0.2">
      <c r="D113" s="18"/>
    </row>
    <row r="114" spans="4:4" ht="15" x14ac:dyDescent="0.2">
      <c r="D114" s="18"/>
    </row>
    <row r="115" spans="4:4" ht="15" x14ac:dyDescent="0.2">
      <c r="D115" s="18"/>
    </row>
    <row r="116" spans="4:4" ht="15" x14ac:dyDescent="0.2">
      <c r="D116" s="18"/>
    </row>
    <row r="117" spans="4:4" ht="15" x14ac:dyDescent="0.2">
      <c r="D117" s="18"/>
    </row>
    <row r="118" spans="4:4" ht="15" x14ac:dyDescent="0.2">
      <c r="D118" s="18"/>
    </row>
    <row r="119" spans="4:4" ht="15" x14ac:dyDescent="0.2">
      <c r="D119" s="18"/>
    </row>
    <row r="120" spans="4:4" ht="15" x14ac:dyDescent="0.2">
      <c r="D120" s="18"/>
    </row>
    <row r="121" spans="4:4" ht="15" x14ac:dyDescent="0.2">
      <c r="D121" s="18"/>
    </row>
    <row r="122" spans="4:4" ht="15" x14ac:dyDescent="0.2">
      <c r="D122" s="18"/>
    </row>
    <row r="123" spans="4:4" ht="15" x14ac:dyDescent="0.2">
      <c r="D123" s="18"/>
    </row>
    <row r="124" spans="4:4" ht="15" x14ac:dyDescent="0.2">
      <c r="D124" s="18"/>
    </row>
    <row r="125" spans="4:4" ht="15" x14ac:dyDescent="0.2">
      <c r="D125" s="18"/>
    </row>
    <row r="126" spans="4:4" ht="15" x14ac:dyDescent="0.2">
      <c r="D126" s="18"/>
    </row>
    <row r="127" spans="4:4" ht="15" x14ac:dyDescent="0.2">
      <c r="D127" s="18"/>
    </row>
    <row r="128" spans="4:4" ht="15" x14ac:dyDescent="0.2">
      <c r="D128" s="18"/>
    </row>
    <row r="129" spans="4:4" ht="15" x14ac:dyDescent="0.2">
      <c r="D129" s="18"/>
    </row>
    <row r="130" spans="4:4" ht="15" x14ac:dyDescent="0.2">
      <c r="D130" s="18"/>
    </row>
    <row r="131" spans="4:4" ht="15" x14ac:dyDescent="0.2">
      <c r="D131" s="18"/>
    </row>
    <row r="132" spans="4:4" ht="15" x14ac:dyDescent="0.2">
      <c r="D132" s="18"/>
    </row>
    <row r="133" spans="4:4" ht="15" x14ac:dyDescent="0.2">
      <c r="D133" s="18"/>
    </row>
    <row r="134" spans="4:4" ht="15" x14ac:dyDescent="0.2">
      <c r="D134" s="18"/>
    </row>
    <row r="135" spans="4:4" ht="15" x14ac:dyDescent="0.2">
      <c r="D135" s="18"/>
    </row>
    <row r="136" spans="4:4" ht="15" x14ac:dyDescent="0.2">
      <c r="D136" s="18"/>
    </row>
    <row r="137" spans="4:4" ht="15" x14ac:dyDescent="0.2">
      <c r="D137" s="18"/>
    </row>
    <row r="138" spans="4:4" ht="15" x14ac:dyDescent="0.2">
      <c r="D138" s="18"/>
    </row>
    <row r="139" spans="4:4" ht="15" x14ac:dyDescent="0.2">
      <c r="D139" s="18"/>
    </row>
    <row r="140" spans="4:4" ht="15" x14ac:dyDescent="0.2">
      <c r="D140" s="18"/>
    </row>
    <row r="141" spans="4:4" ht="15" x14ac:dyDescent="0.2">
      <c r="D141" s="18"/>
    </row>
    <row r="142" spans="4:4" ht="15" x14ac:dyDescent="0.2">
      <c r="D142" s="18"/>
    </row>
    <row r="143" spans="4:4" ht="15" x14ac:dyDescent="0.2">
      <c r="D143" s="18"/>
    </row>
    <row r="144" spans="4:4" ht="15" x14ac:dyDescent="0.2">
      <c r="D144" s="18"/>
    </row>
    <row r="145" spans="4:4" ht="15" x14ac:dyDescent="0.2">
      <c r="D145" s="18"/>
    </row>
    <row r="146" spans="4:4" ht="15" x14ac:dyDescent="0.2">
      <c r="D146" s="18"/>
    </row>
    <row r="147" spans="4:4" ht="15" x14ac:dyDescent="0.2">
      <c r="D147" s="18"/>
    </row>
    <row r="148" spans="4:4" ht="15" x14ac:dyDescent="0.2">
      <c r="D148" s="18"/>
    </row>
    <row r="149" spans="4:4" ht="15" x14ac:dyDescent="0.2">
      <c r="D149" s="18"/>
    </row>
    <row r="150" spans="4:4" ht="15" x14ac:dyDescent="0.2">
      <c r="D150" s="18"/>
    </row>
    <row r="151" spans="4:4" ht="15" x14ac:dyDescent="0.2">
      <c r="D151" s="18"/>
    </row>
    <row r="152" spans="4:4" ht="15" x14ac:dyDescent="0.2">
      <c r="D152" s="18"/>
    </row>
    <row r="153" spans="4:4" ht="15" x14ac:dyDescent="0.2">
      <c r="D153" s="18"/>
    </row>
    <row r="154" spans="4:4" ht="15" x14ac:dyDescent="0.2">
      <c r="D154" s="18"/>
    </row>
    <row r="155" spans="4:4" ht="15" x14ac:dyDescent="0.2">
      <c r="D155" s="18"/>
    </row>
    <row r="156" spans="4:4" ht="15" x14ac:dyDescent="0.2">
      <c r="D156" s="18"/>
    </row>
    <row r="157" spans="4:4" ht="15" x14ac:dyDescent="0.2">
      <c r="D157" s="18"/>
    </row>
    <row r="158" spans="4:4" ht="15" x14ac:dyDescent="0.2">
      <c r="D158" s="18"/>
    </row>
    <row r="159" spans="4:4" ht="15" x14ac:dyDescent="0.2">
      <c r="D159" s="18"/>
    </row>
    <row r="160" spans="4:4" ht="15" x14ac:dyDescent="0.2">
      <c r="D160" s="18"/>
    </row>
    <row r="161" spans="4:4" ht="15" x14ac:dyDescent="0.2">
      <c r="D161" s="18"/>
    </row>
    <row r="162" spans="4:4" ht="15" x14ac:dyDescent="0.2">
      <c r="D162" s="18"/>
    </row>
    <row r="163" spans="4:4" ht="15" x14ac:dyDescent="0.2">
      <c r="D163" s="18"/>
    </row>
    <row r="164" spans="4:4" ht="15" x14ac:dyDescent="0.2">
      <c r="D164" s="18"/>
    </row>
    <row r="165" spans="4:4" ht="15" x14ac:dyDescent="0.2">
      <c r="D165" s="18"/>
    </row>
    <row r="166" spans="4:4" ht="15" x14ac:dyDescent="0.2">
      <c r="D166" s="18"/>
    </row>
    <row r="167" spans="4:4" ht="15" x14ac:dyDescent="0.2">
      <c r="D167" s="18"/>
    </row>
    <row r="168" spans="4:4" ht="15" x14ac:dyDescent="0.2">
      <c r="D168" s="18"/>
    </row>
    <row r="169" spans="4:4" ht="15" x14ac:dyDescent="0.2">
      <c r="D169" s="18"/>
    </row>
    <row r="170" spans="4:4" ht="15" x14ac:dyDescent="0.2">
      <c r="D170" s="18"/>
    </row>
    <row r="171" spans="4:4" ht="15" x14ac:dyDescent="0.2">
      <c r="D171" s="18"/>
    </row>
    <row r="172" spans="4:4" ht="15" x14ac:dyDescent="0.2">
      <c r="D172" s="18"/>
    </row>
    <row r="173" spans="4:4" ht="15" x14ac:dyDescent="0.2">
      <c r="D173" s="18"/>
    </row>
    <row r="174" spans="4:4" ht="15" x14ac:dyDescent="0.2">
      <c r="D174" s="18"/>
    </row>
    <row r="175" spans="4:4" ht="15" x14ac:dyDescent="0.2">
      <c r="D175" s="18"/>
    </row>
    <row r="176" spans="4:4" ht="15" x14ac:dyDescent="0.2">
      <c r="D176" s="18"/>
    </row>
    <row r="177" spans="4:4" ht="15" x14ac:dyDescent="0.2">
      <c r="D177" s="18"/>
    </row>
    <row r="178" spans="4:4" ht="15" x14ac:dyDescent="0.2">
      <c r="D178" s="18"/>
    </row>
    <row r="179" spans="4:4" ht="15" x14ac:dyDescent="0.2">
      <c r="D179" s="18"/>
    </row>
    <row r="180" spans="4:4" ht="15" x14ac:dyDescent="0.2">
      <c r="D180" s="18"/>
    </row>
    <row r="181" spans="4:4" ht="15" x14ac:dyDescent="0.2">
      <c r="D181" s="18"/>
    </row>
    <row r="182" spans="4:4" ht="15" x14ac:dyDescent="0.2">
      <c r="D182" s="18"/>
    </row>
    <row r="183" spans="4:4" ht="15" x14ac:dyDescent="0.2">
      <c r="D183" s="18"/>
    </row>
    <row r="184" spans="4:4" ht="15" x14ac:dyDescent="0.2">
      <c r="D184" s="18"/>
    </row>
    <row r="185" spans="4:4" ht="15" x14ac:dyDescent="0.2">
      <c r="D185" s="18"/>
    </row>
    <row r="186" spans="4:4" ht="15" x14ac:dyDescent="0.2">
      <c r="D186" s="18"/>
    </row>
    <row r="187" spans="4:4" ht="15" x14ac:dyDescent="0.2">
      <c r="D187" s="18"/>
    </row>
    <row r="188" spans="4:4" ht="15" x14ac:dyDescent="0.2">
      <c r="D188" s="18"/>
    </row>
    <row r="189" spans="4:4" ht="15" x14ac:dyDescent="0.2">
      <c r="D189" s="18"/>
    </row>
    <row r="190" spans="4:4" ht="15" x14ac:dyDescent="0.2">
      <c r="D190" s="18"/>
    </row>
    <row r="191" spans="4:4" ht="15" x14ac:dyDescent="0.2">
      <c r="D191" s="18"/>
    </row>
    <row r="192" spans="4:4" ht="15" x14ac:dyDescent="0.2">
      <c r="D192" s="18"/>
    </row>
    <row r="193" spans="2:4" ht="15" x14ac:dyDescent="0.2">
      <c r="D193" s="18"/>
    </row>
    <row r="194" spans="2:4" ht="15" x14ac:dyDescent="0.2">
      <c r="D194" s="18"/>
    </row>
    <row r="195" spans="2:4" ht="15" x14ac:dyDescent="0.2">
      <c r="D195" s="18"/>
    </row>
    <row r="196" spans="2:4" ht="15" x14ac:dyDescent="0.2">
      <c r="D196" s="18"/>
    </row>
    <row r="197" spans="2:4" ht="15" x14ac:dyDescent="0.2">
      <c r="D197" s="18"/>
    </row>
    <row r="198" spans="2:4" ht="15" x14ac:dyDescent="0.2">
      <c r="B198" s="18"/>
      <c r="D198" s="18"/>
    </row>
    <row r="199" spans="2:4" ht="15" x14ac:dyDescent="0.2">
      <c r="B199" s="18"/>
      <c r="D199" s="18"/>
    </row>
    <row r="200" spans="2:4" ht="15" x14ac:dyDescent="0.2">
      <c r="B200" s="18"/>
      <c r="D200" s="18"/>
    </row>
    <row r="201" spans="2:4" ht="15" x14ac:dyDescent="0.2">
      <c r="B201" s="18"/>
      <c r="D201" s="18"/>
    </row>
    <row r="202" spans="2:4" ht="15" x14ac:dyDescent="0.2">
      <c r="B202" s="18"/>
      <c r="D202" s="18"/>
    </row>
    <row r="203" spans="2:4" ht="15" x14ac:dyDescent="0.2">
      <c r="B203" s="18"/>
      <c r="D203" s="18"/>
    </row>
    <row r="204" spans="2:4" ht="15" x14ac:dyDescent="0.2">
      <c r="B204" s="18"/>
      <c r="D204" s="18"/>
    </row>
    <row r="205" spans="2:4" ht="15" x14ac:dyDescent="0.2">
      <c r="B205" s="18"/>
      <c r="D205" s="18"/>
    </row>
    <row r="206" spans="2:4" ht="15" x14ac:dyDescent="0.2">
      <c r="B206" s="18"/>
      <c r="D206" s="18"/>
    </row>
    <row r="207" spans="2:4" ht="15" x14ac:dyDescent="0.2">
      <c r="B207" s="18"/>
      <c r="D207" s="18"/>
    </row>
    <row r="208" spans="2:4" ht="15" x14ac:dyDescent="0.2">
      <c r="B208" s="18"/>
      <c r="D208" s="18"/>
    </row>
    <row r="209" spans="2:4" ht="15" x14ac:dyDescent="0.2">
      <c r="B209" s="18"/>
      <c r="D209" s="18"/>
    </row>
    <row r="210" spans="2:4" ht="15" x14ac:dyDescent="0.2">
      <c r="B210" s="18"/>
      <c r="D210" s="18"/>
    </row>
    <row r="211" spans="2:4" ht="15" x14ac:dyDescent="0.2">
      <c r="B211" s="18"/>
      <c r="D211" s="18"/>
    </row>
    <row r="212" spans="2:4" ht="15" x14ac:dyDescent="0.2">
      <c r="B212" s="18"/>
      <c r="D212" s="18"/>
    </row>
    <row r="213" spans="2:4" ht="15" x14ac:dyDescent="0.2">
      <c r="B213" s="18"/>
      <c r="D213" s="18"/>
    </row>
    <row r="214" spans="2:4" ht="15" x14ac:dyDescent="0.2">
      <c r="B214" s="18"/>
      <c r="D214" s="18"/>
    </row>
    <row r="215" spans="2:4" ht="15" x14ac:dyDescent="0.2">
      <c r="B215" s="18"/>
      <c r="D215" s="18"/>
    </row>
    <row r="216" spans="2:4" ht="15" x14ac:dyDescent="0.2">
      <c r="B216" s="18"/>
      <c r="D216" s="18"/>
    </row>
    <row r="217" spans="2:4" ht="15" x14ac:dyDescent="0.2">
      <c r="B217" s="18"/>
    </row>
    <row r="218" spans="2:4" ht="15" x14ac:dyDescent="0.2">
      <c r="B218" s="18"/>
    </row>
    <row r="219" spans="2:4" ht="15" x14ac:dyDescent="0.2">
      <c r="B219" s="18"/>
    </row>
    <row r="220" spans="2:4" ht="15" x14ac:dyDescent="0.2">
      <c r="B220" s="18"/>
    </row>
    <row r="221" spans="2:4" ht="15" x14ac:dyDescent="0.2">
      <c r="B221" s="18"/>
    </row>
    <row r="222" spans="2:4" ht="15" x14ac:dyDescent="0.2">
      <c r="B222" s="18"/>
    </row>
    <row r="223" spans="2:4" ht="15" x14ac:dyDescent="0.2">
      <c r="B223" s="18"/>
    </row>
    <row r="224" spans="2:4" ht="15" x14ac:dyDescent="0.2">
      <c r="B224" s="18"/>
    </row>
    <row r="225" spans="2:2" ht="15" x14ac:dyDescent="0.2">
      <c r="B225" s="18"/>
    </row>
    <row r="226" spans="2:2" ht="15" x14ac:dyDescent="0.2">
      <c r="B226" s="18"/>
    </row>
    <row r="227" spans="2:2" ht="15" x14ac:dyDescent="0.2">
      <c r="B227" s="18"/>
    </row>
    <row r="228" spans="2:2" ht="15" x14ac:dyDescent="0.2">
      <c r="B228" s="18"/>
    </row>
    <row r="229" spans="2:2" ht="15" x14ac:dyDescent="0.2">
      <c r="B229" s="18"/>
    </row>
    <row r="230" spans="2:2" ht="15" x14ac:dyDescent="0.2">
      <c r="B230" s="18"/>
    </row>
    <row r="231" spans="2:2" ht="15" x14ac:dyDescent="0.2">
      <c r="B231" s="18"/>
    </row>
    <row r="232" spans="2:2" ht="15" x14ac:dyDescent="0.2">
      <c r="B232" s="18"/>
    </row>
    <row r="233" spans="2:2" ht="15" x14ac:dyDescent="0.2">
      <c r="B233" s="18"/>
    </row>
    <row r="234" spans="2:2" ht="15" x14ac:dyDescent="0.2">
      <c r="B234" s="18"/>
    </row>
    <row r="235" spans="2:2" ht="15" x14ac:dyDescent="0.2">
      <c r="B235" s="18"/>
    </row>
    <row r="236" spans="2:2" ht="15" x14ac:dyDescent="0.2">
      <c r="B236" s="18"/>
    </row>
    <row r="237" spans="2:2" ht="15" x14ac:dyDescent="0.2">
      <c r="B237" s="18"/>
    </row>
    <row r="238" spans="2:2" ht="15" x14ac:dyDescent="0.2">
      <c r="B238" s="18"/>
    </row>
    <row r="239" spans="2:2" ht="15" x14ac:dyDescent="0.2">
      <c r="B239" s="18"/>
    </row>
    <row r="240" spans="2:2" ht="15" x14ac:dyDescent="0.2">
      <c r="B240" s="18"/>
    </row>
    <row r="241" spans="2:2" ht="15" x14ac:dyDescent="0.2">
      <c r="B241" s="18"/>
    </row>
    <row r="242" spans="2:2" ht="15" x14ac:dyDescent="0.2">
      <c r="B242" s="18"/>
    </row>
    <row r="243" spans="2:2" ht="15" x14ac:dyDescent="0.2">
      <c r="B243" s="18"/>
    </row>
    <row r="244" spans="2:2" ht="15" x14ac:dyDescent="0.2">
      <c r="B244" s="18"/>
    </row>
    <row r="245" spans="2:2" ht="15" x14ac:dyDescent="0.2">
      <c r="B245" s="18"/>
    </row>
    <row r="246" spans="2:2" ht="15" x14ac:dyDescent="0.2">
      <c r="B246" s="18"/>
    </row>
    <row r="247" spans="2:2" ht="15" x14ac:dyDescent="0.2">
      <c r="B247" s="18"/>
    </row>
    <row r="248" spans="2:2" ht="15" x14ac:dyDescent="0.2">
      <c r="B248" s="18"/>
    </row>
    <row r="249" spans="2:2" ht="15" x14ac:dyDescent="0.2">
      <c r="B249" s="18"/>
    </row>
    <row r="250" spans="2:2" ht="15" x14ac:dyDescent="0.2">
      <c r="B250" s="18"/>
    </row>
    <row r="251" spans="2:2" ht="15" x14ac:dyDescent="0.2">
      <c r="B251" s="18"/>
    </row>
    <row r="252" spans="2:2" ht="15" x14ac:dyDescent="0.2">
      <c r="B252" s="18"/>
    </row>
    <row r="253" spans="2:2" ht="15" x14ac:dyDescent="0.2">
      <c r="B253" s="18"/>
    </row>
    <row r="254" spans="2:2" ht="15" x14ac:dyDescent="0.2">
      <c r="B254" s="18"/>
    </row>
    <row r="255" spans="2:2" ht="15" x14ac:dyDescent="0.2">
      <c r="B255" s="18"/>
    </row>
    <row r="256" spans="2:2" ht="15" x14ac:dyDescent="0.2">
      <c r="B256" s="18"/>
    </row>
    <row r="257" spans="2:2" ht="15" x14ac:dyDescent="0.2">
      <c r="B257" s="18"/>
    </row>
    <row r="258" spans="2:2" ht="15" x14ac:dyDescent="0.2">
      <c r="B258" s="18"/>
    </row>
    <row r="259" spans="2:2" ht="15" x14ac:dyDescent="0.2">
      <c r="B259" s="18"/>
    </row>
    <row r="260" spans="2:2" ht="15" x14ac:dyDescent="0.2">
      <c r="B260" s="18"/>
    </row>
    <row r="261" spans="2:2" ht="15" x14ac:dyDescent="0.2">
      <c r="B261" s="18"/>
    </row>
    <row r="262" spans="2:2" ht="15" x14ac:dyDescent="0.2">
      <c r="B262" s="18"/>
    </row>
    <row r="263" spans="2:2" ht="15" x14ac:dyDescent="0.2">
      <c r="B263" s="18"/>
    </row>
    <row r="264" spans="2:2" ht="15" x14ac:dyDescent="0.2">
      <c r="B264" s="18"/>
    </row>
    <row r="265" spans="2:2" ht="15" x14ac:dyDescent="0.2">
      <c r="B265" s="18"/>
    </row>
    <row r="266" spans="2:2" ht="15" x14ac:dyDescent="0.2">
      <c r="B266" s="18"/>
    </row>
    <row r="267" spans="2:2" ht="15" x14ac:dyDescent="0.2">
      <c r="B267" s="18"/>
    </row>
    <row r="268" spans="2:2" ht="15" x14ac:dyDescent="0.2">
      <c r="B268" s="18"/>
    </row>
    <row r="269" spans="2:2" ht="15" x14ac:dyDescent="0.2">
      <c r="B269" s="18"/>
    </row>
    <row r="270" spans="2:2" ht="15" x14ac:dyDescent="0.2">
      <c r="B270" s="18"/>
    </row>
    <row r="271" spans="2:2" ht="15" x14ac:dyDescent="0.2">
      <c r="B271" s="18"/>
    </row>
    <row r="272" spans="2:2" ht="15" x14ac:dyDescent="0.2">
      <c r="B272" s="18"/>
    </row>
    <row r="273" spans="2:2" ht="15" x14ac:dyDescent="0.2">
      <c r="B273" s="18"/>
    </row>
    <row r="274" spans="2:2" ht="15" x14ac:dyDescent="0.2">
      <c r="B274" s="18"/>
    </row>
    <row r="275" spans="2:2" ht="15" x14ac:dyDescent="0.2">
      <c r="B275" s="18"/>
    </row>
    <row r="276" spans="2:2" ht="15" x14ac:dyDescent="0.2">
      <c r="B276" s="18"/>
    </row>
    <row r="277" spans="2:2" ht="15" x14ac:dyDescent="0.2">
      <c r="B277" s="18"/>
    </row>
    <row r="278" spans="2:2" ht="15" x14ac:dyDescent="0.2">
      <c r="B278" s="18"/>
    </row>
    <row r="279" spans="2:2" ht="15" x14ac:dyDescent="0.2">
      <c r="B279" s="18"/>
    </row>
    <row r="280" spans="2:2" ht="15" x14ac:dyDescent="0.2">
      <c r="B280" s="18"/>
    </row>
    <row r="281" spans="2:2" ht="15" x14ac:dyDescent="0.2">
      <c r="B281" s="18"/>
    </row>
    <row r="282" spans="2:2" ht="15" x14ac:dyDescent="0.2">
      <c r="B282" s="18"/>
    </row>
    <row r="283" spans="2:2" ht="15" x14ac:dyDescent="0.2">
      <c r="B283" s="18"/>
    </row>
    <row r="284" spans="2:2" ht="15" x14ac:dyDescent="0.2">
      <c r="B284" s="18"/>
    </row>
    <row r="285" spans="2:2" ht="15" x14ac:dyDescent="0.2">
      <c r="B285" s="18"/>
    </row>
    <row r="286" spans="2:2" ht="15" x14ac:dyDescent="0.2">
      <c r="B286" s="18"/>
    </row>
    <row r="287" spans="2:2" ht="15" x14ac:dyDescent="0.2">
      <c r="B287" s="18"/>
    </row>
    <row r="288" spans="2:2" ht="15" x14ac:dyDescent="0.2">
      <c r="B288" s="18"/>
    </row>
    <row r="289" spans="2:2" ht="15" x14ac:dyDescent="0.2">
      <c r="B289" s="18"/>
    </row>
    <row r="290" spans="2:2" ht="15" x14ac:dyDescent="0.2">
      <c r="B290" s="18"/>
    </row>
    <row r="291" spans="2:2" ht="15" x14ac:dyDescent="0.2">
      <c r="B291" s="18"/>
    </row>
    <row r="292" spans="2:2" ht="15" x14ac:dyDescent="0.2">
      <c r="B292" s="18"/>
    </row>
    <row r="293" spans="2:2" ht="15" x14ac:dyDescent="0.2">
      <c r="B293" s="18"/>
    </row>
    <row r="294" spans="2:2" ht="15" x14ac:dyDescent="0.2">
      <c r="B294" s="18"/>
    </row>
    <row r="295" spans="2:2" ht="15" x14ac:dyDescent="0.2">
      <c r="B295" s="18"/>
    </row>
    <row r="296" spans="2:2" ht="15" x14ac:dyDescent="0.2">
      <c r="B296" s="18"/>
    </row>
    <row r="297" spans="2:2" ht="15" x14ac:dyDescent="0.2">
      <c r="B297" s="18"/>
    </row>
    <row r="298" spans="2:2" ht="15" x14ac:dyDescent="0.2">
      <c r="B298" s="18"/>
    </row>
    <row r="299" spans="2:2" ht="15" x14ac:dyDescent="0.2">
      <c r="B299" s="18"/>
    </row>
    <row r="300" spans="2:2" ht="15" x14ac:dyDescent="0.2">
      <c r="B300" s="18"/>
    </row>
    <row r="301" spans="2:2" ht="15" x14ac:dyDescent="0.2">
      <c r="B301" s="18"/>
    </row>
    <row r="302" spans="2:2" ht="15" x14ac:dyDescent="0.2">
      <c r="B302" s="18"/>
    </row>
    <row r="303" spans="2:2" ht="15" x14ac:dyDescent="0.2">
      <c r="B303" s="18"/>
    </row>
    <row r="304" spans="2:2" ht="15" x14ac:dyDescent="0.2">
      <c r="B304" s="18"/>
    </row>
    <row r="305" spans="2:2" ht="15" x14ac:dyDescent="0.2">
      <c r="B305" s="18"/>
    </row>
    <row r="306" spans="2:2" ht="15" x14ac:dyDescent="0.2">
      <c r="B306" s="18"/>
    </row>
    <row r="307" spans="2:2" ht="15" x14ac:dyDescent="0.2">
      <c r="B307" s="18"/>
    </row>
    <row r="308" spans="2:2" ht="15" x14ac:dyDescent="0.2">
      <c r="B308" s="18"/>
    </row>
    <row r="309" spans="2:2" ht="15" x14ac:dyDescent="0.2">
      <c r="B309" s="18"/>
    </row>
    <row r="310" spans="2:2" ht="15" x14ac:dyDescent="0.2">
      <c r="B310" s="18"/>
    </row>
    <row r="311" spans="2:2" ht="15" x14ac:dyDescent="0.2">
      <c r="B311" s="18"/>
    </row>
    <row r="312" spans="2:2" ht="15" x14ac:dyDescent="0.2">
      <c r="B312" s="18"/>
    </row>
    <row r="313" spans="2:2" ht="15" x14ac:dyDescent="0.2">
      <c r="B313" s="18"/>
    </row>
    <row r="314" spans="2:2" ht="15" x14ac:dyDescent="0.2">
      <c r="B314" s="18"/>
    </row>
    <row r="315" spans="2:2" ht="15" x14ac:dyDescent="0.2">
      <c r="B315" s="18"/>
    </row>
    <row r="316" spans="2:2" ht="15" x14ac:dyDescent="0.2">
      <c r="B316" s="18"/>
    </row>
    <row r="317" spans="2:2" ht="15" x14ac:dyDescent="0.2">
      <c r="B317" s="18"/>
    </row>
    <row r="318" spans="2:2" ht="15" x14ac:dyDescent="0.2">
      <c r="B318" s="18"/>
    </row>
    <row r="319" spans="2:2" ht="15" x14ac:dyDescent="0.2">
      <c r="B319" s="18"/>
    </row>
    <row r="320" spans="2:2" ht="15" x14ac:dyDescent="0.2">
      <c r="B320" s="18"/>
    </row>
    <row r="321" spans="2:2" ht="15" x14ac:dyDescent="0.2">
      <c r="B321" s="18"/>
    </row>
    <row r="322" spans="2:2" ht="15" x14ac:dyDescent="0.2">
      <c r="B322" s="18"/>
    </row>
    <row r="323" spans="2:2" ht="15" x14ac:dyDescent="0.2">
      <c r="B323" s="18"/>
    </row>
    <row r="324" spans="2:2" ht="15" x14ac:dyDescent="0.2">
      <c r="B324" s="18"/>
    </row>
    <row r="325" spans="2:2" ht="15" x14ac:dyDescent="0.2">
      <c r="B325" s="18"/>
    </row>
    <row r="326" spans="2:2" ht="15" x14ac:dyDescent="0.2">
      <c r="B326" s="18"/>
    </row>
    <row r="327" spans="2:2" ht="15" x14ac:dyDescent="0.2">
      <c r="B327" s="18"/>
    </row>
    <row r="328" spans="2:2" ht="15" x14ac:dyDescent="0.2">
      <c r="B328" s="18"/>
    </row>
    <row r="329" spans="2:2" ht="15" x14ac:dyDescent="0.2">
      <c r="B329" s="18"/>
    </row>
    <row r="330" spans="2:2" ht="15" x14ac:dyDescent="0.2">
      <c r="B330" s="18"/>
    </row>
    <row r="331" spans="2:2" ht="15" x14ac:dyDescent="0.2">
      <c r="B331" s="18"/>
    </row>
    <row r="332" spans="2:2" ht="15" x14ac:dyDescent="0.2">
      <c r="B332" s="18"/>
    </row>
    <row r="333" spans="2:2" ht="15" x14ac:dyDescent="0.2">
      <c r="B333" s="18"/>
    </row>
    <row r="334" spans="2:2" ht="15" x14ac:dyDescent="0.2">
      <c r="B334" s="18"/>
    </row>
    <row r="335" spans="2:2" ht="15" x14ac:dyDescent="0.2">
      <c r="B335" s="18"/>
    </row>
    <row r="336" spans="2:2" ht="15" x14ac:dyDescent="0.2">
      <c r="B336" s="18"/>
    </row>
    <row r="337" spans="2:2" ht="15" x14ac:dyDescent="0.2">
      <c r="B337" s="18"/>
    </row>
    <row r="338" spans="2:2" ht="15" x14ac:dyDescent="0.2">
      <c r="B338" s="18"/>
    </row>
    <row r="339" spans="2:2" ht="15" x14ac:dyDescent="0.2">
      <c r="B339" s="18"/>
    </row>
    <row r="340" spans="2:2" ht="15" x14ac:dyDescent="0.2">
      <c r="B340" s="18"/>
    </row>
    <row r="341" spans="2:2" ht="15" x14ac:dyDescent="0.2">
      <c r="B341" s="18"/>
    </row>
    <row r="342" spans="2:2" ht="15" x14ac:dyDescent="0.2">
      <c r="B342" s="18"/>
    </row>
    <row r="343" spans="2:2" ht="15" x14ac:dyDescent="0.2">
      <c r="B343" s="18"/>
    </row>
    <row r="344" spans="2:2" ht="15" x14ac:dyDescent="0.2">
      <c r="B344" s="18"/>
    </row>
    <row r="345" spans="2:2" ht="15" x14ac:dyDescent="0.2">
      <c r="B345" s="18"/>
    </row>
    <row r="346" spans="2:2" ht="15" x14ac:dyDescent="0.2">
      <c r="B346" s="18"/>
    </row>
    <row r="347" spans="2:2" ht="15" x14ac:dyDescent="0.2">
      <c r="B347" s="18"/>
    </row>
    <row r="348" spans="2:2" ht="15" x14ac:dyDescent="0.2">
      <c r="B348" s="18"/>
    </row>
    <row r="349" spans="2:2" ht="15" x14ac:dyDescent="0.2">
      <c r="B349" s="18"/>
    </row>
    <row r="350" spans="2:2" ht="15" x14ac:dyDescent="0.2">
      <c r="B350" s="18"/>
    </row>
    <row r="351" spans="2:2" ht="15" x14ac:dyDescent="0.2">
      <c r="B351" s="18"/>
    </row>
    <row r="352" spans="2:2" ht="15" x14ac:dyDescent="0.2">
      <c r="B352" s="18"/>
    </row>
    <row r="353" spans="2:2" ht="15" x14ac:dyDescent="0.2">
      <c r="B353" s="18"/>
    </row>
    <row r="354" spans="2:2" ht="15" x14ac:dyDescent="0.2">
      <c r="B354" s="18"/>
    </row>
    <row r="355" spans="2:2" ht="15" x14ac:dyDescent="0.2">
      <c r="B355" s="18"/>
    </row>
    <row r="356" spans="2:2" ht="15" x14ac:dyDescent="0.2">
      <c r="B356" s="18"/>
    </row>
    <row r="357" spans="2:2" ht="15" x14ac:dyDescent="0.2">
      <c r="B357" s="18"/>
    </row>
    <row r="358" spans="2:2" ht="15" x14ac:dyDescent="0.2">
      <c r="B358" s="18"/>
    </row>
    <row r="359" spans="2:2" ht="15" x14ac:dyDescent="0.2">
      <c r="B359" s="18"/>
    </row>
    <row r="360" spans="2:2" ht="15" x14ac:dyDescent="0.2">
      <c r="B360" s="18"/>
    </row>
    <row r="361" spans="2:2" ht="15" x14ac:dyDescent="0.2">
      <c r="B361" s="18"/>
    </row>
    <row r="362" spans="2:2" ht="15" x14ac:dyDescent="0.2">
      <c r="B362" s="18"/>
    </row>
    <row r="363" spans="2:2" ht="15" x14ac:dyDescent="0.2">
      <c r="B363" s="18"/>
    </row>
    <row r="364" spans="2:2" ht="15" x14ac:dyDescent="0.2">
      <c r="B364" s="18"/>
    </row>
    <row r="365" spans="2:2" ht="15" x14ac:dyDescent="0.2">
      <c r="B365" s="18"/>
    </row>
    <row r="366" spans="2:2" ht="15" x14ac:dyDescent="0.2">
      <c r="B366" s="18"/>
    </row>
    <row r="367" spans="2:2" ht="15" x14ac:dyDescent="0.2">
      <c r="B367" s="18"/>
    </row>
    <row r="368" spans="2:2" ht="15" x14ac:dyDescent="0.2">
      <c r="B368" s="18"/>
    </row>
    <row r="369" spans="2:2" ht="15" x14ac:dyDescent="0.2">
      <c r="B369" s="18"/>
    </row>
    <row r="370" spans="2:2" ht="15" x14ac:dyDescent="0.2">
      <c r="B370" s="18"/>
    </row>
    <row r="371" spans="2:2" ht="15" x14ac:dyDescent="0.2">
      <c r="B371" s="18"/>
    </row>
    <row r="372" spans="2:2" ht="15" x14ac:dyDescent="0.2">
      <c r="B372" s="18"/>
    </row>
    <row r="373" spans="2:2" ht="15" x14ac:dyDescent="0.2">
      <c r="B373" s="18"/>
    </row>
    <row r="374" spans="2:2" ht="15" x14ac:dyDescent="0.2">
      <c r="B374" s="18"/>
    </row>
    <row r="375" spans="2:2" ht="15" x14ac:dyDescent="0.2">
      <c r="B375" s="18"/>
    </row>
    <row r="376" spans="2:2" ht="15" x14ac:dyDescent="0.2">
      <c r="B376" s="18"/>
    </row>
    <row r="377" spans="2:2" ht="15" x14ac:dyDescent="0.2">
      <c r="B377" s="18"/>
    </row>
    <row r="378" spans="2:2" ht="15" x14ac:dyDescent="0.2">
      <c r="B378" s="18"/>
    </row>
    <row r="379" spans="2:2" ht="15" x14ac:dyDescent="0.2">
      <c r="B379" s="18"/>
    </row>
    <row r="380" spans="2:2" ht="15" x14ac:dyDescent="0.2">
      <c r="B380" s="18"/>
    </row>
    <row r="381" spans="2:2" ht="15" x14ac:dyDescent="0.2">
      <c r="B381" s="18"/>
    </row>
    <row r="382" spans="2:2" ht="15" x14ac:dyDescent="0.2">
      <c r="B382" s="18"/>
    </row>
    <row r="383" spans="2:2" ht="15" x14ac:dyDescent="0.2">
      <c r="B383" s="18"/>
    </row>
    <row r="384" spans="2:2" ht="15" x14ac:dyDescent="0.2">
      <c r="B384" s="18"/>
    </row>
  </sheetData>
  <autoFilter ref="A4:H13" xr:uid="{00000000-0009-0000-0000-000007000000}">
    <sortState xmlns:xlrd2="http://schemas.microsoft.com/office/spreadsheetml/2017/richdata2" ref="A5:H23">
      <sortCondition ref="B4:B13"/>
    </sortState>
  </autoFilter>
  <mergeCells count="2">
    <mergeCell ref="A2:H2"/>
    <mergeCell ref="A1:H1"/>
  </mergeCells>
  <phoneticPr fontId="2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5D4-3D6E-491B-9091-C606FAC7DEA6}">
  <dimension ref="A1:T449"/>
  <sheetViews>
    <sheetView rightToLeft="1" tabSelected="1" workbookViewId="0">
      <pane ySplit="1" topLeftCell="A155" activePane="bottomLeft" state="frozen"/>
      <selection pane="bottomLeft" activeCell="K1" sqref="G1:K1048576"/>
    </sheetView>
  </sheetViews>
  <sheetFormatPr defaultRowHeight="14.25" x14ac:dyDescent="0.2"/>
  <cols>
    <col min="1" max="1" width="13" style="66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hidden="1" customWidth="1"/>
    <col min="8" max="8" width="10" hidden="1" customWidth="1"/>
    <col min="9" max="9" width="11" hidden="1" customWidth="1"/>
    <col min="10" max="10" width="9.625" hidden="1" customWidth="1"/>
    <col min="11" max="11" width="9" hidden="1" customWidth="1"/>
    <col min="12" max="12" width="13" customWidth="1"/>
    <col min="13" max="13" width="20.25" bestFit="1" customWidth="1"/>
    <col min="14" max="14" width="11" customWidth="1"/>
    <col min="15" max="15" width="11.625" customWidth="1"/>
    <col min="16" max="16" width="23.625" bestFit="1" customWidth="1"/>
    <col min="17" max="17" width="11.625" customWidth="1"/>
    <col min="18" max="18" width="12.25" customWidth="1"/>
    <col min="19" max="19" width="11.75" customWidth="1"/>
    <col min="20" max="20" width="23.125" customWidth="1"/>
  </cols>
  <sheetData>
    <row r="1" spans="1:20" ht="24.95" customHeight="1" x14ac:dyDescent="0.2">
      <c r="A1" s="121" t="s">
        <v>597</v>
      </c>
      <c r="B1" s="122" t="s">
        <v>166</v>
      </c>
      <c r="C1" s="122" t="s">
        <v>104</v>
      </c>
      <c r="D1" s="122" t="s">
        <v>167</v>
      </c>
      <c r="E1" s="122" t="s">
        <v>168</v>
      </c>
      <c r="F1" s="122" t="s">
        <v>287</v>
      </c>
      <c r="G1" s="122" t="s">
        <v>291</v>
      </c>
      <c r="H1" s="122" t="s">
        <v>292</v>
      </c>
      <c r="I1" s="122" t="s">
        <v>449</v>
      </c>
      <c r="J1" s="122" t="s">
        <v>450</v>
      </c>
      <c r="K1" s="122" t="s">
        <v>451</v>
      </c>
      <c r="L1" s="122" t="s">
        <v>106</v>
      </c>
      <c r="M1" s="122" t="s">
        <v>452</v>
      </c>
      <c r="N1" s="123" t="s">
        <v>591</v>
      </c>
      <c r="O1" s="124" t="s">
        <v>454</v>
      </c>
      <c r="P1" s="124" t="s">
        <v>455</v>
      </c>
      <c r="Q1" s="124" t="s">
        <v>560</v>
      </c>
      <c r="R1" s="124" t="s">
        <v>602</v>
      </c>
      <c r="S1" s="124" t="s">
        <v>456</v>
      </c>
      <c r="T1" s="125" t="s">
        <v>563</v>
      </c>
    </row>
    <row r="2" spans="1:20" ht="15" x14ac:dyDescent="0.2">
      <c r="A2" s="126">
        <v>211877550</v>
      </c>
      <c r="B2" s="127" t="s">
        <v>112</v>
      </c>
      <c r="C2" s="127" t="s">
        <v>113</v>
      </c>
      <c r="D2" s="128">
        <v>45735</v>
      </c>
      <c r="E2" s="128">
        <v>45735</v>
      </c>
      <c r="F2" s="129">
        <v>45717</v>
      </c>
      <c r="G2" s="127">
        <v>1</v>
      </c>
      <c r="H2" s="127">
        <v>1</v>
      </c>
      <c r="I2" s="127">
        <v>0</v>
      </c>
      <c r="J2" s="127">
        <v>0</v>
      </c>
      <c r="K2" s="127">
        <v>0</v>
      </c>
      <c r="L2" s="130">
        <f>'📈 היסטוריית שכר'!C5</f>
        <v>922.93493308721725</v>
      </c>
      <c r="M2" s="131">
        <f>L2*H2</f>
        <v>922.93493308721725</v>
      </c>
      <c r="N2" s="131"/>
      <c r="O2" s="132">
        <v>873</v>
      </c>
      <c r="P2" s="133">
        <v>45988</v>
      </c>
      <c r="Q2" s="134">
        <f>O2-M2</f>
        <v>-49.934933087217246</v>
      </c>
      <c r="R2" s="134"/>
      <c r="S2" s="135">
        <v>46023</v>
      </c>
      <c r="T2" s="136" t="s">
        <v>606</v>
      </c>
    </row>
    <row r="3" spans="1:20" ht="15" x14ac:dyDescent="0.2">
      <c r="A3" s="126">
        <v>37643772</v>
      </c>
      <c r="B3" s="127" t="s">
        <v>117</v>
      </c>
      <c r="C3" s="127" t="s">
        <v>118</v>
      </c>
      <c r="D3" s="128">
        <v>45901</v>
      </c>
      <c r="E3" s="128">
        <v>45917</v>
      </c>
      <c r="F3" s="129">
        <v>45901</v>
      </c>
      <c r="G3" s="127">
        <v>17</v>
      </c>
      <c r="H3" s="127">
        <v>13</v>
      </c>
      <c r="I3" s="127">
        <v>2</v>
      </c>
      <c r="J3" s="127">
        <v>2</v>
      </c>
      <c r="K3" s="127">
        <v>0</v>
      </c>
      <c r="L3" s="130">
        <f>'📈 היסטוריית שכר'!C6</f>
        <v>1108.7217351176741</v>
      </c>
      <c r="M3" s="131">
        <f t="shared" ref="M3:M67" si="0">L3*H3</f>
        <v>14413.382556529763</v>
      </c>
      <c r="N3" s="131">
        <v>1089</v>
      </c>
      <c r="O3" s="132">
        <v>15431</v>
      </c>
      <c r="P3" s="133">
        <v>45988</v>
      </c>
      <c r="Q3" s="137">
        <f>O3-M3+N3</f>
        <v>2106.617443470237</v>
      </c>
      <c r="R3" s="137"/>
      <c r="S3" s="135">
        <v>46023</v>
      </c>
      <c r="T3" s="136"/>
    </row>
    <row r="4" spans="1:20" ht="15" x14ac:dyDescent="0.2">
      <c r="A4" s="126">
        <v>37643772</v>
      </c>
      <c r="B4" s="127" t="s">
        <v>117</v>
      </c>
      <c r="C4" s="127" t="s">
        <v>118</v>
      </c>
      <c r="D4" s="128">
        <v>45943</v>
      </c>
      <c r="E4" s="128">
        <v>45943</v>
      </c>
      <c r="F4" s="129">
        <v>45931</v>
      </c>
      <c r="G4" s="127">
        <v>1</v>
      </c>
      <c r="H4" s="127">
        <v>1</v>
      </c>
      <c r="I4" s="127">
        <v>0</v>
      </c>
      <c r="J4" s="127">
        <v>0</v>
      </c>
      <c r="K4" s="127">
        <v>0</v>
      </c>
      <c r="L4" s="130">
        <v>1109</v>
      </c>
      <c r="M4" s="131">
        <f>L4*H4</f>
        <v>1109</v>
      </c>
      <c r="N4" s="131"/>
      <c r="O4" s="132">
        <v>1042</v>
      </c>
      <c r="P4" s="133">
        <v>45988</v>
      </c>
      <c r="Q4" s="134">
        <f>O4-M4</f>
        <v>-67</v>
      </c>
      <c r="R4" s="134"/>
      <c r="S4" s="135">
        <v>46023</v>
      </c>
      <c r="T4" s="136"/>
    </row>
    <row r="5" spans="1:20" ht="15" x14ac:dyDescent="0.2">
      <c r="A5" s="138" t="s">
        <v>435</v>
      </c>
      <c r="B5" s="127" t="s">
        <v>121</v>
      </c>
      <c r="C5" s="127" t="s">
        <v>113</v>
      </c>
      <c r="D5" s="128">
        <v>45658</v>
      </c>
      <c r="E5" s="128">
        <v>45660</v>
      </c>
      <c r="F5" s="129">
        <v>45658</v>
      </c>
      <c r="G5" s="127">
        <v>3</v>
      </c>
      <c r="H5" s="127">
        <v>2</v>
      </c>
      <c r="I5" s="127">
        <v>1</v>
      </c>
      <c r="J5" s="127">
        <v>0</v>
      </c>
      <c r="K5" s="127">
        <v>0</v>
      </c>
      <c r="L5" s="130">
        <f>'📈 היסטוריית שכר'!C7</f>
        <v>883.71019843101055</v>
      </c>
      <c r="M5" s="131">
        <f t="shared" si="0"/>
        <v>1767.4203968620211</v>
      </c>
      <c r="N5" s="131"/>
      <c r="O5" s="132">
        <v>2403.19</v>
      </c>
      <c r="P5" s="133">
        <v>45700</v>
      </c>
      <c r="Q5" s="137">
        <f>O5-M5</f>
        <v>635.76960313797895</v>
      </c>
      <c r="R5" s="137"/>
      <c r="S5" s="135">
        <v>46023</v>
      </c>
      <c r="T5" s="136"/>
    </row>
    <row r="6" spans="1:20" ht="15" x14ac:dyDescent="0.2">
      <c r="A6" s="138" t="s">
        <v>435</v>
      </c>
      <c r="B6" s="127" t="s">
        <v>121</v>
      </c>
      <c r="C6" s="127" t="s">
        <v>113</v>
      </c>
      <c r="D6" s="128">
        <v>45796</v>
      </c>
      <c r="E6" s="128">
        <v>45798</v>
      </c>
      <c r="F6" s="129">
        <v>45778</v>
      </c>
      <c r="G6" s="127">
        <v>3</v>
      </c>
      <c r="H6" s="127">
        <v>3</v>
      </c>
      <c r="I6" s="127">
        <v>0</v>
      </c>
      <c r="J6" s="127">
        <v>0</v>
      </c>
      <c r="K6" s="127">
        <v>0</v>
      </c>
      <c r="L6" s="130">
        <f>'📈 היסטוריית שכר'!C8</f>
        <v>946.00830641439768</v>
      </c>
      <c r="M6" s="131">
        <f t="shared" si="0"/>
        <v>2838.0249192431929</v>
      </c>
      <c r="N6" s="139">
        <v>963</v>
      </c>
      <c r="O6" s="132">
        <v>2408</v>
      </c>
      <c r="P6" s="133">
        <v>45988</v>
      </c>
      <c r="Q6" s="137">
        <f>O6-M6+N6</f>
        <v>532.97508075680707</v>
      </c>
      <c r="R6" s="137"/>
      <c r="S6" s="135">
        <v>46023</v>
      </c>
      <c r="T6" s="136"/>
    </row>
    <row r="7" spans="1:20" ht="15" x14ac:dyDescent="0.2">
      <c r="A7" s="138" t="s">
        <v>435</v>
      </c>
      <c r="B7" s="127" t="s">
        <v>121</v>
      </c>
      <c r="C7" s="127" t="s">
        <v>113</v>
      </c>
      <c r="D7" s="128">
        <v>45820</v>
      </c>
      <c r="E7" s="128">
        <v>45834</v>
      </c>
      <c r="F7" s="129">
        <v>45809</v>
      </c>
      <c r="G7" s="127">
        <v>15</v>
      </c>
      <c r="H7" s="127">
        <v>11</v>
      </c>
      <c r="I7" s="127">
        <v>2</v>
      </c>
      <c r="J7" s="127">
        <v>2</v>
      </c>
      <c r="K7" s="127">
        <v>0</v>
      </c>
      <c r="L7" s="130">
        <f>'📈 היסטוריית שכר'!C9</f>
        <v>876.93</v>
      </c>
      <c r="M7" s="131">
        <f t="shared" si="0"/>
        <v>9646.23</v>
      </c>
      <c r="N7" s="139">
        <v>321</v>
      </c>
      <c r="O7" s="132">
        <v>12039</v>
      </c>
      <c r="P7" s="133">
        <v>45988</v>
      </c>
      <c r="Q7" s="137">
        <f>O7-M7+N7</f>
        <v>2713.7700000000004</v>
      </c>
      <c r="R7" s="137"/>
      <c r="S7" s="135">
        <v>46023</v>
      </c>
      <c r="T7" s="136"/>
    </row>
    <row r="8" spans="1:20" ht="15" x14ac:dyDescent="0.2">
      <c r="A8" s="138" t="s">
        <v>435</v>
      </c>
      <c r="B8" s="127" t="s">
        <v>121</v>
      </c>
      <c r="C8" s="127" t="s">
        <v>113</v>
      </c>
      <c r="D8" s="128">
        <v>45867</v>
      </c>
      <c r="E8" s="128">
        <v>45869</v>
      </c>
      <c r="F8" s="129">
        <v>45839</v>
      </c>
      <c r="G8" s="127">
        <v>3</v>
      </c>
      <c r="H8" s="127">
        <v>3</v>
      </c>
      <c r="I8" s="127">
        <v>0</v>
      </c>
      <c r="J8" s="127">
        <v>0</v>
      </c>
      <c r="K8" s="127">
        <v>0</v>
      </c>
      <c r="L8" s="130">
        <f>'📈 היסטוריית שכר'!C10</f>
        <v>846.00830641439768</v>
      </c>
      <c r="M8" s="131">
        <f t="shared" si="0"/>
        <v>2538.0249192431929</v>
      </c>
      <c r="N8" s="139">
        <v>964</v>
      </c>
      <c r="O8" s="132">
        <v>2409</v>
      </c>
      <c r="P8" s="133">
        <v>45988</v>
      </c>
      <c r="Q8" s="137">
        <f>O8-M8+N8</f>
        <v>834.97508075680707</v>
      </c>
      <c r="R8" s="137"/>
      <c r="S8" s="135">
        <v>46023</v>
      </c>
      <c r="T8" s="136"/>
    </row>
    <row r="9" spans="1:20" ht="15" x14ac:dyDescent="0.2">
      <c r="A9" s="138" t="s">
        <v>435</v>
      </c>
      <c r="B9" s="127" t="s">
        <v>121</v>
      </c>
      <c r="C9" s="127" t="s">
        <v>113</v>
      </c>
      <c r="D9" s="128">
        <v>45911</v>
      </c>
      <c r="E9" s="128">
        <v>45914</v>
      </c>
      <c r="F9" s="129">
        <v>45901</v>
      </c>
      <c r="G9" s="127">
        <v>4</v>
      </c>
      <c r="H9" s="127">
        <v>2</v>
      </c>
      <c r="I9" s="127">
        <v>1</v>
      </c>
      <c r="J9" s="127">
        <v>1</v>
      </c>
      <c r="K9" s="127">
        <v>0</v>
      </c>
      <c r="L9" s="130">
        <f>'📈 היסטוריית שכר'!C8</f>
        <v>946.00830641439768</v>
      </c>
      <c r="M9" s="131">
        <f t="shared" si="0"/>
        <v>1892.0166128287954</v>
      </c>
      <c r="N9" s="139">
        <v>514</v>
      </c>
      <c r="O9" s="132">
        <v>1284</v>
      </c>
      <c r="P9" s="133">
        <v>45988</v>
      </c>
      <c r="Q9" s="137">
        <f>O9-M9+N9</f>
        <v>-94.01661282879536</v>
      </c>
      <c r="R9" s="137"/>
      <c r="S9" s="135">
        <v>46023</v>
      </c>
      <c r="T9" s="136"/>
    </row>
    <row r="10" spans="1:20" ht="15" x14ac:dyDescent="0.2">
      <c r="A10" s="138" t="s">
        <v>445</v>
      </c>
      <c r="B10" s="127" t="s">
        <v>125</v>
      </c>
      <c r="C10" s="127" t="s">
        <v>118</v>
      </c>
      <c r="D10" s="128">
        <v>45676</v>
      </c>
      <c r="E10" s="128">
        <v>45679</v>
      </c>
      <c r="F10" s="129">
        <v>45658</v>
      </c>
      <c r="G10" s="127">
        <v>4</v>
      </c>
      <c r="H10" s="127">
        <v>4</v>
      </c>
      <c r="I10" s="127">
        <v>0</v>
      </c>
      <c r="J10" s="127">
        <v>0</v>
      </c>
      <c r="K10" s="127">
        <v>0</v>
      </c>
      <c r="L10" s="140">
        <f>'📈 היסטוריית שכר'!C9</f>
        <v>876.93</v>
      </c>
      <c r="M10" s="131">
        <f t="shared" si="0"/>
        <v>3507.72</v>
      </c>
      <c r="N10" s="131"/>
      <c r="O10" s="132">
        <v>3710</v>
      </c>
      <c r="P10" s="133">
        <v>45697</v>
      </c>
      <c r="Q10" s="137">
        <f t="shared" ref="Q10:Q16" si="1">O10-M10</f>
        <v>202.2800000000002</v>
      </c>
      <c r="R10" s="137"/>
      <c r="S10" s="135">
        <v>45717</v>
      </c>
      <c r="T10" s="136"/>
    </row>
    <row r="11" spans="1:20" ht="15" x14ac:dyDescent="0.2">
      <c r="A11" s="138" t="s">
        <v>445</v>
      </c>
      <c r="B11" s="127" t="s">
        <v>125</v>
      </c>
      <c r="C11" s="127" t="s">
        <v>118</v>
      </c>
      <c r="D11" s="128">
        <v>45718</v>
      </c>
      <c r="E11" s="128">
        <v>45721</v>
      </c>
      <c r="F11" s="129">
        <v>45717</v>
      </c>
      <c r="G11" s="127">
        <v>4</v>
      </c>
      <c r="H11" s="127">
        <v>4</v>
      </c>
      <c r="I11" s="127">
        <v>0</v>
      </c>
      <c r="J11" s="127">
        <v>0</v>
      </c>
      <c r="K11" s="127">
        <v>0</v>
      </c>
      <c r="L11" s="130">
        <v>876.93</v>
      </c>
      <c r="M11" s="131">
        <f t="shared" si="0"/>
        <v>3507.72</v>
      </c>
      <c r="N11" s="131"/>
      <c r="O11" s="132">
        <v>3739</v>
      </c>
      <c r="P11" s="133">
        <v>45985</v>
      </c>
      <c r="Q11" s="137">
        <f t="shared" si="1"/>
        <v>231.2800000000002</v>
      </c>
      <c r="R11" s="137"/>
      <c r="S11" s="135">
        <v>46023</v>
      </c>
      <c r="T11" s="136"/>
    </row>
    <row r="12" spans="1:20" ht="15" x14ac:dyDescent="0.2">
      <c r="A12" s="138" t="s">
        <v>445</v>
      </c>
      <c r="B12" s="127" t="s">
        <v>125</v>
      </c>
      <c r="C12" s="127" t="s">
        <v>118</v>
      </c>
      <c r="D12" s="128">
        <v>45770</v>
      </c>
      <c r="E12" s="128">
        <v>45770</v>
      </c>
      <c r="F12" s="129">
        <v>45748</v>
      </c>
      <c r="G12" s="127">
        <v>1</v>
      </c>
      <c r="H12" s="127">
        <v>1</v>
      </c>
      <c r="I12" s="127">
        <v>0</v>
      </c>
      <c r="J12" s="127">
        <v>0</v>
      </c>
      <c r="K12" s="127">
        <v>0</v>
      </c>
      <c r="L12" s="130">
        <v>876.93</v>
      </c>
      <c r="M12" s="131">
        <f t="shared" si="0"/>
        <v>876.93</v>
      </c>
      <c r="N12" s="131"/>
      <c r="O12" s="132">
        <v>691</v>
      </c>
      <c r="P12" s="133">
        <v>45985</v>
      </c>
      <c r="Q12" s="137">
        <f t="shared" si="1"/>
        <v>-185.92999999999995</v>
      </c>
      <c r="R12" s="137"/>
      <c r="S12" s="135">
        <v>46023</v>
      </c>
      <c r="T12" s="136"/>
    </row>
    <row r="13" spans="1:20" ht="15" x14ac:dyDescent="0.2">
      <c r="A13" s="138" t="s">
        <v>445</v>
      </c>
      <c r="B13" s="127" t="s">
        <v>125</v>
      </c>
      <c r="C13" s="127" t="s">
        <v>118</v>
      </c>
      <c r="D13" s="128">
        <v>45774</v>
      </c>
      <c r="E13" s="128">
        <v>45774</v>
      </c>
      <c r="F13" s="129">
        <v>45748</v>
      </c>
      <c r="G13" s="127">
        <v>1</v>
      </c>
      <c r="H13" s="127">
        <v>1</v>
      </c>
      <c r="I13" s="127">
        <v>0</v>
      </c>
      <c r="J13" s="127">
        <v>0</v>
      </c>
      <c r="K13" s="127">
        <v>0</v>
      </c>
      <c r="L13" s="130">
        <v>876.93</v>
      </c>
      <c r="M13" s="131">
        <f t="shared" si="0"/>
        <v>876.93</v>
      </c>
      <c r="N13" s="131"/>
      <c r="O13" s="132">
        <v>691</v>
      </c>
      <c r="P13" s="133">
        <v>45985</v>
      </c>
      <c r="Q13" s="137">
        <f t="shared" si="1"/>
        <v>-185.92999999999995</v>
      </c>
      <c r="R13" s="137"/>
      <c r="S13" s="135">
        <v>46023</v>
      </c>
      <c r="T13" s="136"/>
    </row>
    <row r="14" spans="1:20" ht="15" x14ac:dyDescent="0.2">
      <c r="A14" s="138" t="s">
        <v>445</v>
      </c>
      <c r="B14" s="127" t="s">
        <v>125</v>
      </c>
      <c r="C14" s="127" t="s">
        <v>118</v>
      </c>
      <c r="D14" s="128">
        <v>45781</v>
      </c>
      <c r="E14" s="128">
        <v>45801</v>
      </c>
      <c r="F14" s="129">
        <v>45778</v>
      </c>
      <c r="G14" s="127">
        <v>21</v>
      </c>
      <c r="H14" s="127">
        <v>15</v>
      </c>
      <c r="I14" s="127">
        <v>3</v>
      </c>
      <c r="J14" s="127">
        <v>3</v>
      </c>
      <c r="K14" s="127">
        <v>0</v>
      </c>
      <c r="L14" s="130">
        <v>876.93</v>
      </c>
      <c r="M14" s="131">
        <f t="shared" si="0"/>
        <v>13153.949999999999</v>
      </c>
      <c r="N14" s="131"/>
      <c r="O14" s="132">
        <v>14425</v>
      </c>
      <c r="P14" s="133">
        <v>45985</v>
      </c>
      <c r="Q14" s="137">
        <f t="shared" si="1"/>
        <v>1271.0500000000011</v>
      </c>
      <c r="R14" s="137"/>
      <c r="S14" s="135">
        <v>46023</v>
      </c>
      <c r="T14" s="136"/>
    </row>
    <row r="15" spans="1:20" ht="15" x14ac:dyDescent="0.2">
      <c r="A15" s="138" t="s">
        <v>445</v>
      </c>
      <c r="B15" s="127" t="s">
        <v>125</v>
      </c>
      <c r="C15" s="127" t="s">
        <v>118</v>
      </c>
      <c r="D15" s="128">
        <v>45886</v>
      </c>
      <c r="E15" s="128">
        <v>45890</v>
      </c>
      <c r="F15" s="129">
        <v>45870</v>
      </c>
      <c r="G15" s="127">
        <v>5</v>
      </c>
      <c r="H15" s="127">
        <v>5</v>
      </c>
      <c r="I15" s="127">
        <v>0</v>
      </c>
      <c r="J15" s="127">
        <v>0</v>
      </c>
      <c r="K15" s="127">
        <v>0</v>
      </c>
      <c r="L15" s="130">
        <v>876.93</v>
      </c>
      <c r="M15" s="131">
        <f t="shared" si="0"/>
        <v>4384.6499999999996</v>
      </c>
      <c r="N15" s="131"/>
      <c r="O15" s="132">
        <f>288+M15</f>
        <v>4672.6499999999996</v>
      </c>
      <c r="P15" s="133">
        <v>45985</v>
      </c>
      <c r="Q15" s="137">
        <f t="shared" si="1"/>
        <v>288</v>
      </c>
      <c r="R15" s="137"/>
      <c r="S15" s="135">
        <v>46023</v>
      </c>
      <c r="T15" s="136" t="s">
        <v>593</v>
      </c>
    </row>
    <row r="16" spans="1:20" ht="15" x14ac:dyDescent="0.2">
      <c r="A16" s="138" t="s">
        <v>447</v>
      </c>
      <c r="B16" s="127" t="s">
        <v>128</v>
      </c>
      <c r="C16" s="127" t="s">
        <v>118</v>
      </c>
      <c r="D16" s="128">
        <v>45683</v>
      </c>
      <c r="E16" s="128">
        <v>45687</v>
      </c>
      <c r="F16" s="129">
        <v>45658</v>
      </c>
      <c r="G16" s="127">
        <v>5</v>
      </c>
      <c r="H16" s="127">
        <v>5</v>
      </c>
      <c r="I16" s="127">
        <v>0</v>
      </c>
      <c r="J16" s="127">
        <v>0</v>
      </c>
      <c r="K16" s="127">
        <v>0</v>
      </c>
      <c r="L16" s="140">
        <f>'📈 היסטוריית שכר'!C11</f>
        <v>670.28149515459154</v>
      </c>
      <c r="M16" s="131">
        <f t="shared" si="0"/>
        <v>3351.4074757729577</v>
      </c>
      <c r="N16" s="131"/>
      <c r="O16" s="132">
        <v>3981</v>
      </c>
      <c r="P16" s="133">
        <v>45697</v>
      </c>
      <c r="Q16" s="141">
        <f t="shared" si="1"/>
        <v>629.5925242270423</v>
      </c>
      <c r="R16" s="141"/>
      <c r="S16" s="135">
        <v>45717</v>
      </c>
      <c r="T16" s="136"/>
    </row>
    <row r="17" spans="1:20" ht="15" x14ac:dyDescent="0.2">
      <c r="A17" s="138" t="s">
        <v>447</v>
      </c>
      <c r="B17" s="127" t="s">
        <v>128</v>
      </c>
      <c r="C17" s="127" t="s">
        <v>118</v>
      </c>
      <c r="D17" s="128">
        <v>45769</v>
      </c>
      <c r="E17" s="128">
        <v>45777</v>
      </c>
      <c r="F17" s="129">
        <v>45748</v>
      </c>
      <c r="G17" s="127">
        <v>9</v>
      </c>
      <c r="H17" s="127">
        <v>7</v>
      </c>
      <c r="I17" s="127">
        <v>1</v>
      </c>
      <c r="J17" s="127">
        <v>1</v>
      </c>
      <c r="K17" s="127">
        <v>0</v>
      </c>
      <c r="L17" s="130">
        <v>670.28149515459154</v>
      </c>
      <c r="M17" s="131">
        <f t="shared" si="0"/>
        <v>4691.9704660821408</v>
      </c>
      <c r="N17" s="131">
        <v>677</v>
      </c>
      <c r="O17" s="132">
        <v>5078</v>
      </c>
      <c r="P17" s="133">
        <v>45988</v>
      </c>
      <c r="Q17" s="137">
        <f>O17-M17+N17</f>
        <v>1063.0295339178592</v>
      </c>
      <c r="R17" s="142"/>
      <c r="S17" s="135">
        <v>46023</v>
      </c>
      <c r="T17" s="136"/>
    </row>
    <row r="18" spans="1:20" ht="15" x14ac:dyDescent="0.2">
      <c r="A18" s="138" t="s">
        <v>447</v>
      </c>
      <c r="B18" s="127" t="s">
        <v>128</v>
      </c>
      <c r="C18" s="127" t="s">
        <v>118</v>
      </c>
      <c r="D18" s="128">
        <v>45778</v>
      </c>
      <c r="E18" s="128">
        <v>45806</v>
      </c>
      <c r="F18" s="129">
        <v>45778</v>
      </c>
      <c r="G18" s="127">
        <v>29</v>
      </c>
      <c r="H18" s="127">
        <f>G18-4*2</f>
        <v>21</v>
      </c>
      <c r="I18" s="127">
        <v>4</v>
      </c>
      <c r="J18" s="127">
        <v>4</v>
      </c>
      <c r="K18" s="127">
        <v>0</v>
      </c>
      <c r="L18" s="130">
        <v>670</v>
      </c>
      <c r="M18" s="131">
        <f t="shared" si="0"/>
        <v>14070</v>
      </c>
      <c r="N18" s="131"/>
      <c r="O18" s="132">
        <v>16362</v>
      </c>
      <c r="P18" s="133">
        <v>45988</v>
      </c>
      <c r="Q18" s="137">
        <f>O18-M18+N18</f>
        <v>2292</v>
      </c>
      <c r="R18" s="142"/>
      <c r="S18" s="135">
        <v>46023</v>
      </c>
      <c r="T18" s="136"/>
    </row>
    <row r="19" spans="1:20" ht="15" x14ac:dyDescent="0.2">
      <c r="A19" s="138" t="s">
        <v>447</v>
      </c>
      <c r="B19" s="127" t="s">
        <v>128</v>
      </c>
      <c r="C19" s="127" t="s">
        <v>118</v>
      </c>
      <c r="D19" s="128">
        <v>45811</v>
      </c>
      <c r="E19" s="128">
        <v>45838</v>
      </c>
      <c r="F19" s="129">
        <v>45809</v>
      </c>
      <c r="G19" s="127">
        <v>28</v>
      </c>
      <c r="H19" s="127">
        <v>20</v>
      </c>
      <c r="I19" s="127">
        <v>4</v>
      </c>
      <c r="J19" s="127">
        <v>4</v>
      </c>
      <c r="K19" s="127">
        <v>0</v>
      </c>
      <c r="L19" s="130">
        <v>670.28149515459154</v>
      </c>
      <c r="M19" s="131">
        <f t="shared" si="0"/>
        <v>13405.629903091831</v>
      </c>
      <c r="N19" s="131"/>
      <c r="O19" s="132">
        <v>15114</v>
      </c>
      <c r="P19" s="133">
        <v>45988</v>
      </c>
      <c r="Q19" s="137">
        <f>O19-M19+N19</f>
        <v>1708.3700969081692</v>
      </c>
      <c r="R19" s="142"/>
      <c r="S19" s="135">
        <v>46023</v>
      </c>
      <c r="T19" s="136"/>
    </row>
    <row r="20" spans="1:20" ht="15" x14ac:dyDescent="0.2">
      <c r="A20" s="138" t="s">
        <v>447</v>
      </c>
      <c r="B20" s="127" t="s">
        <v>128</v>
      </c>
      <c r="C20" s="127" t="s">
        <v>118</v>
      </c>
      <c r="D20" s="128">
        <v>45845</v>
      </c>
      <c r="E20" s="128">
        <v>45845</v>
      </c>
      <c r="F20" s="129">
        <v>45839</v>
      </c>
      <c r="G20" s="127">
        <v>1</v>
      </c>
      <c r="H20" s="127">
        <v>1</v>
      </c>
      <c r="I20" s="127">
        <v>0</v>
      </c>
      <c r="J20" s="127">
        <v>0</v>
      </c>
      <c r="K20" s="127">
        <v>0</v>
      </c>
      <c r="L20" s="130">
        <v>670.28149515459154</v>
      </c>
      <c r="M20" s="131">
        <f t="shared" si="0"/>
        <v>670.28149515459154</v>
      </c>
      <c r="N20" s="131">
        <v>216</v>
      </c>
      <c r="O20" s="132">
        <v>540</v>
      </c>
      <c r="P20" s="133">
        <v>45988</v>
      </c>
      <c r="Q20" s="137">
        <f>O20-M20+N20</f>
        <v>85.718504845408461</v>
      </c>
      <c r="R20" s="142"/>
      <c r="S20" s="135">
        <v>46023</v>
      </c>
      <c r="T20" s="136"/>
    </row>
    <row r="21" spans="1:20" ht="15" x14ac:dyDescent="0.2">
      <c r="A21" s="138" t="s">
        <v>447</v>
      </c>
      <c r="B21" s="127" t="s">
        <v>128</v>
      </c>
      <c r="C21" s="127" t="s">
        <v>118</v>
      </c>
      <c r="D21" s="128">
        <v>45865</v>
      </c>
      <c r="E21" s="128">
        <v>45866</v>
      </c>
      <c r="F21" s="129">
        <v>45839</v>
      </c>
      <c r="G21" s="127">
        <v>2</v>
      </c>
      <c r="H21" s="127">
        <v>2</v>
      </c>
      <c r="I21" s="127">
        <v>0</v>
      </c>
      <c r="J21" s="127">
        <v>0</v>
      </c>
      <c r="K21" s="127">
        <v>0</v>
      </c>
      <c r="L21" s="130">
        <v>670.28149515459154</v>
      </c>
      <c r="M21" s="131">
        <f t="shared" si="0"/>
        <v>1340.5629903091831</v>
      </c>
      <c r="N21" s="131">
        <v>432</v>
      </c>
      <c r="O21" s="132">
        <v>1080</v>
      </c>
      <c r="P21" s="133">
        <v>45988</v>
      </c>
      <c r="Q21" s="137">
        <f>O21-M21+N21</f>
        <v>171.43700969081692</v>
      </c>
      <c r="R21" s="142"/>
      <c r="S21" s="135">
        <v>46023</v>
      </c>
      <c r="T21" s="136"/>
    </row>
    <row r="22" spans="1:20" ht="15" x14ac:dyDescent="0.2">
      <c r="A22" s="138" t="s">
        <v>447</v>
      </c>
      <c r="B22" s="127" t="s">
        <v>128</v>
      </c>
      <c r="C22" s="127" t="s">
        <v>118</v>
      </c>
      <c r="D22" s="128">
        <v>45875</v>
      </c>
      <c r="E22" s="128">
        <v>45876</v>
      </c>
      <c r="F22" s="129">
        <v>45870</v>
      </c>
      <c r="G22" s="127">
        <v>2</v>
      </c>
      <c r="H22" s="127">
        <v>2</v>
      </c>
      <c r="I22" s="127">
        <v>0</v>
      </c>
      <c r="J22" s="127">
        <v>0</v>
      </c>
      <c r="K22" s="127">
        <v>0</v>
      </c>
      <c r="L22" s="130">
        <v>670.28149515459154</v>
      </c>
      <c r="M22" s="131">
        <f t="shared" si="0"/>
        <v>1340.5629903091831</v>
      </c>
      <c r="N22" s="131"/>
      <c r="O22" s="132">
        <v>1511</v>
      </c>
      <c r="P22" s="133">
        <v>46054</v>
      </c>
      <c r="Q22" s="137">
        <f t="shared" ref="Q22:Q27" si="2">O22-M22</f>
        <v>170.43700969081692</v>
      </c>
      <c r="R22" s="142"/>
      <c r="S22" s="135">
        <v>46023</v>
      </c>
      <c r="T22" s="136"/>
    </row>
    <row r="23" spans="1:20" ht="15" x14ac:dyDescent="0.2">
      <c r="A23" s="138" t="s">
        <v>447</v>
      </c>
      <c r="B23" s="127" t="s">
        <v>128</v>
      </c>
      <c r="C23" s="127" t="s">
        <v>118</v>
      </c>
      <c r="D23" s="128">
        <v>45909</v>
      </c>
      <c r="E23" s="128">
        <v>45911</v>
      </c>
      <c r="F23" s="129">
        <v>45901</v>
      </c>
      <c r="G23" s="127">
        <v>3</v>
      </c>
      <c r="H23" s="127">
        <v>3</v>
      </c>
      <c r="I23" s="127">
        <v>0</v>
      </c>
      <c r="J23" s="127">
        <v>0</v>
      </c>
      <c r="K23" s="127">
        <v>0</v>
      </c>
      <c r="L23" s="130">
        <v>670.28149515459154</v>
      </c>
      <c r="M23" s="131">
        <f t="shared" si="0"/>
        <v>2010.8444854637746</v>
      </c>
      <c r="N23" s="131"/>
      <c r="O23" s="132">
        <v>2267</v>
      </c>
      <c r="P23" s="133">
        <v>46054</v>
      </c>
      <c r="Q23" s="137">
        <f t="shared" si="2"/>
        <v>256.15551453622538</v>
      </c>
      <c r="R23" s="142"/>
      <c r="S23" s="135">
        <v>46023</v>
      </c>
      <c r="T23" s="136"/>
    </row>
    <row r="24" spans="1:20" ht="15" x14ac:dyDescent="0.2">
      <c r="A24" s="138" t="s">
        <v>447</v>
      </c>
      <c r="B24" s="127" t="s">
        <v>128</v>
      </c>
      <c r="C24" s="127" t="s">
        <v>118</v>
      </c>
      <c r="D24" s="128">
        <v>45930</v>
      </c>
      <c r="E24" s="128">
        <v>45930</v>
      </c>
      <c r="F24" s="129">
        <v>45901</v>
      </c>
      <c r="G24" s="127">
        <v>1</v>
      </c>
      <c r="H24" s="127">
        <v>1</v>
      </c>
      <c r="I24" s="127">
        <v>0</v>
      </c>
      <c r="J24" s="127">
        <v>0</v>
      </c>
      <c r="K24" s="127">
        <v>0</v>
      </c>
      <c r="L24" s="130">
        <v>670.28149515459154</v>
      </c>
      <c r="M24" s="131">
        <f t="shared" si="0"/>
        <v>670.28149515459154</v>
      </c>
      <c r="N24" s="131"/>
      <c r="O24" s="132">
        <v>540</v>
      </c>
      <c r="P24" s="133">
        <v>46054</v>
      </c>
      <c r="Q24" s="137">
        <f t="shared" si="2"/>
        <v>-130.28149515459154</v>
      </c>
      <c r="R24" s="142"/>
      <c r="S24" s="135">
        <v>46023</v>
      </c>
      <c r="T24" s="136"/>
    </row>
    <row r="25" spans="1:20" ht="15" x14ac:dyDescent="0.2">
      <c r="A25" s="138" t="s">
        <v>131</v>
      </c>
      <c r="B25" s="127" t="s">
        <v>131</v>
      </c>
      <c r="C25" s="127" t="s">
        <v>118</v>
      </c>
      <c r="D25" s="128">
        <v>45813</v>
      </c>
      <c r="E25" s="128">
        <v>45813</v>
      </c>
      <c r="F25" s="129">
        <v>45809</v>
      </c>
      <c r="G25" s="127">
        <v>1</v>
      </c>
      <c r="H25" s="127">
        <v>1</v>
      </c>
      <c r="I25" s="127">
        <v>0</v>
      </c>
      <c r="J25" s="127">
        <v>0</v>
      </c>
      <c r="K25" s="127">
        <v>0</v>
      </c>
      <c r="L25" s="130">
        <f>'📈 היסטוריית שכר'!C12</f>
        <v>1084.402399630826</v>
      </c>
      <c r="M25" s="131">
        <f t="shared" si="0"/>
        <v>1084.402399630826</v>
      </c>
      <c r="N25" s="131"/>
      <c r="O25" s="132">
        <v>1497</v>
      </c>
      <c r="P25" s="133">
        <v>45988</v>
      </c>
      <c r="Q25" s="137">
        <f t="shared" si="2"/>
        <v>412.59760036917396</v>
      </c>
      <c r="R25" s="137"/>
      <c r="S25" s="135">
        <v>46023</v>
      </c>
      <c r="T25" s="136"/>
    </row>
    <row r="26" spans="1:20" ht="15" x14ac:dyDescent="0.2">
      <c r="A26" s="144">
        <v>25474677</v>
      </c>
      <c r="B26" s="145" t="s">
        <v>134</v>
      </c>
      <c r="C26" s="146" t="s">
        <v>135</v>
      </c>
      <c r="D26" s="147">
        <v>45708</v>
      </c>
      <c r="E26" s="147">
        <v>45708</v>
      </c>
      <c r="F26" s="148">
        <v>45689</v>
      </c>
      <c r="G26" s="146">
        <v>1</v>
      </c>
      <c r="H26" s="146">
        <v>1</v>
      </c>
      <c r="I26" s="146">
        <v>0</v>
      </c>
      <c r="J26" s="146">
        <v>0</v>
      </c>
      <c r="K26" s="146">
        <v>0</v>
      </c>
      <c r="L26" s="149">
        <f>'📈 היסטוריית שכר'!C13</f>
        <v>1180.1107521919703</v>
      </c>
      <c r="M26" s="131">
        <f t="shared" si="0"/>
        <v>1180.1107521919703</v>
      </c>
      <c r="N26" s="131"/>
      <c r="O26" s="132">
        <v>1598</v>
      </c>
      <c r="P26" s="133">
        <v>46054</v>
      </c>
      <c r="Q26" s="137">
        <f t="shared" si="2"/>
        <v>417.88924780802972</v>
      </c>
      <c r="R26" s="150"/>
      <c r="S26" s="151"/>
      <c r="T26" s="143" t="s">
        <v>594</v>
      </c>
    </row>
    <row r="27" spans="1:20" ht="15" x14ac:dyDescent="0.2">
      <c r="A27" s="152">
        <v>25474677</v>
      </c>
      <c r="B27" s="145" t="s">
        <v>134</v>
      </c>
      <c r="C27" s="146" t="s">
        <v>135</v>
      </c>
      <c r="D27" s="147">
        <v>45711</v>
      </c>
      <c r="E27" s="147">
        <v>45711</v>
      </c>
      <c r="F27" s="148">
        <v>45689</v>
      </c>
      <c r="G27" s="146">
        <v>1</v>
      </c>
      <c r="H27" s="146">
        <v>1</v>
      </c>
      <c r="I27" s="146">
        <v>0</v>
      </c>
      <c r="J27" s="146">
        <v>0</v>
      </c>
      <c r="K27" s="146">
        <v>0</v>
      </c>
      <c r="L27" s="149">
        <v>1180.1107521919703</v>
      </c>
      <c r="M27" s="153">
        <f t="shared" si="0"/>
        <v>1180.1107521919703</v>
      </c>
      <c r="N27" s="153"/>
      <c r="O27" s="132">
        <v>1598</v>
      </c>
      <c r="P27" s="154">
        <v>46054</v>
      </c>
      <c r="Q27" s="150">
        <f t="shared" si="2"/>
        <v>417.88924780802972</v>
      </c>
      <c r="R27" s="150"/>
      <c r="S27" s="151"/>
      <c r="T27" s="143" t="s">
        <v>594</v>
      </c>
    </row>
    <row r="28" spans="1:20" ht="15" x14ac:dyDescent="0.2">
      <c r="A28" s="138">
        <v>25474677</v>
      </c>
      <c r="B28" s="127" t="s">
        <v>134</v>
      </c>
      <c r="C28" s="146" t="s">
        <v>135</v>
      </c>
      <c r="D28" s="147">
        <v>45820</v>
      </c>
      <c r="E28" s="147">
        <v>45837</v>
      </c>
      <c r="F28" s="148">
        <v>45809</v>
      </c>
      <c r="G28" s="146">
        <v>18</v>
      </c>
      <c r="H28" s="146">
        <v>12</v>
      </c>
      <c r="I28" s="146">
        <v>3</v>
      </c>
      <c r="J28" s="146">
        <v>3</v>
      </c>
      <c r="K28" s="146">
        <v>0</v>
      </c>
      <c r="L28" s="149">
        <v>1180.1107521919703</v>
      </c>
      <c r="M28" s="153">
        <f>L28*H28</f>
        <v>14161.329026303643</v>
      </c>
      <c r="N28" s="153">
        <v>630</v>
      </c>
      <c r="O28" s="155">
        <f>5458+1624</f>
        <v>7082</v>
      </c>
      <c r="P28" s="156">
        <v>45988</v>
      </c>
      <c r="Q28" s="150">
        <f>O28-M28+N28</f>
        <v>-6449.3290263036433</v>
      </c>
      <c r="R28" s="150"/>
      <c r="S28" s="143"/>
      <c r="T28" s="143" t="s">
        <v>594</v>
      </c>
    </row>
    <row r="29" spans="1:20" ht="15" x14ac:dyDescent="0.2">
      <c r="A29" s="138" t="s">
        <v>442</v>
      </c>
      <c r="B29" s="127" t="s">
        <v>139</v>
      </c>
      <c r="C29" s="127" t="s">
        <v>135</v>
      </c>
      <c r="D29" s="128">
        <v>45658</v>
      </c>
      <c r="E29" s="128">
        <v>45658</v>
      </c>
      <c r="F29" s="129">
        <v>45658</v>
      </c>
      <c r="G29" s="127">
        <v>1</v>
      </c>
      <c r="H29" s="127">
        <v>1</v>
      </c>
      <c r="I29" s="127">
        <v>0</v>
      </c>
      <c r="J29" s="127">
        <v>0</v>
      </c>
      <c r="K29" s="127">
        <v>0</v>
      </c>
      <c r="L29" s="130">
        <f>'📈 היסטוריית שכר'!C15</f>
        <v>1107.3373327180434</v>
      </c>
      <c r="M29" s="131">
        <f t="shared" si="0"/>
        <v>1107.3373327180434</v>
      </c>
      <c r="N29" s="131"/>
      <c r="O29" s="132">
        <v>1051</v>
      </c>
      <c r="P29" s="133">
        <v>45697</v>
      </c>
      <c r="Q29" s="150">
        <f>O29-M29</f>
        <v>-56.337332718043399</v>
      </c>
      <c r="R29" s="150"/>
      <c r="S29" s="135">
        <v>45809</v>
      </c>
      <c r="T29" s="136"/>
    </row>
    <row r="30" spans="1:20" ht="15" x14ac:dyDescent="0.2">
      <c r="A30" s="138" t="s">
        <v>442</v>
      </c>
      <c r="B30" s="127" t="s">
        <v>139</v>
      </c>
      <c r="C30" s="127" t="s">
        <v>135</v>
      </c>
      <c r="D30" s="128">
        <v>45658</v>
      </c>
      <c r="E30" s="128">
        <v>45658</v>
      </c>
      <c r="F30" s="129">
        <v>45658</v>
      </c>
      <c r="G30" s="127">
        <v>1</v>
      </c>
      <c r="H30" s="127">
        <v>0</v>
      </c>
      <c r="I30" s="127">
        <v>0</v>
      </c>
      <c r="J30" s="127">
        <v>0</v>
      </c>
      <c r="K30" s="127">
        <v>0</v>
      </c>
      <c r="L30" s="130">
        <v>1107.3373327180434</v>
      </c>
      <c r="M30" s="131">
        <f t="shared" si="0"/>
        <v>0</v>
      </c>
      <c r="N30" s="131">
        <v>420</v>
      </c>
      <c r="O30" s="132"/>
      <c r="P30" s="133">
        <v>45775</v>
      </c>
      <c r="Q30" s="137">
        <f>N30-M30</f>
        <v>420</v>
      </c>
      <c r="R30" s="137"/>
      <c r="S30" s="135">
        <v>45809</v>
      </c>
      <c r="T30" s="136"/>
    </row>
    <row r="31" spans="1:20" ht="15" x14ac:dyDescent="0.2">
      <c r="A31" s="138" t="s">
        <v>442</v>
      </c>
      <c r="B31" s="127" t="s">
        <v>139</v>
      </c>
      <c r="C31" s="127" t="s">
        <v>135</v>
      </c>
      <c r="D31" s="128">
        <v>45676</v>
      </c>
      <c r="E31" s="128">
        <v>45680</v>
      </c>
      <c r="F31" s="129">
        <v>45658</v>
      </c>
      <c r="G31" s="127">
        <v>5</v>
      </c>
      <c r="H31" s="127">
        <v>5</v>
      </c>
      <c r="I31" s="127">
        <v>0</v>
      </c>
      <c r="J31" s="127">
        <v>0</v>
      </c>
      <c r="K31" s="127">
        <v>0</v>
      </c>
      <c r="L31" s="130">
        <v>1107.3373327180434</v>
      </c>
      <c r="M31" s="131">
        <f t="shared" si="0"/>
        <v>5536.686663590217</v>
      </c>
      <c r="N31" s="131"/>
      <c r="O31" s="132">
        <v>5257</v>
      </c>
      <c r="P31" s="133">
        <v>45697</v>
      </c>
      <c r="Q31" s="137">
        <f>O31-M31</f>
        <v>-279.68666359021699</v>
      </c>
      <c r="R31" s="137"/>
      <c r="S31" s="135">
        <v>45809</v>
      </c>
      <c r="T31" s="136"/>
    </row>
    <row r="32" spans="1:20" ht="15" x14ac:dyDescent="0.2">
      <c r="A32" s="138" t="s">
        <v>442</v>
      </c>
      <c r="B32" s="127" t="s">
        <v>139</v>
      </c>
      <c r="C32" s="127" t="s">
        <v>135</v>
      </c>
      <c r="D32" s="128">
        <v>45676</v>
      </c>
      <c r="E32" s="128">
        <v>45680</v>
      </c>
      <c r="F32" s="129">
        <v>45658</v>
      </c>
      <c r="G32" s="127">
        <v>5</v>
      </c>
      <c r="H32" s="127">
        <v>0</v>
      </c>
      <c r="I32" s="127">
        <v>0</v>
      </c>
      <c r="J32" s="127">
        <v>1</v>
      </c>
      <c r="K32" s="127">
        <v>0</v>
      </c>
      <c r="L32" s="130">
        <v>1107.3373327180434</v>
      </c>
      <c r="M32" s="131">
        <f t="shared" si="0"/>
        <v>0</v>
      </c>
      <c r="N32" s="131">
        <v>2103</v>
      </c>
      <c r="O32" s="132"/>
      <c r="P32" s="133">
        <v>45775</v>
      </c>
      <c r="Q32" s="137">
        <f>N32-M32</f>
        <v>2103</v>
      </c>
      <c r="R32" s="137">
        <v>-3352</v>
      </c>
      <c r="S32" s="135">
        <v>45809</v>
      </c>
      <c r="T32" s="136"/>
    </row>
    <row r="33" spans="1:20" ht="15" x14ac:dyDescent="0.2">
      <c r="A33" s="138" t="s">
        <v>442</v>
      </c>
      <c r="B33" s="127" t="s">
        <v>139</v>
      </c>
      <c r="C33" s="127" t="s">
        <v>135</v>
      </c>
      <c r="D33" s="128">
        <v>45698</v>
      </c>
      <c r="E33" s="128">
        <v>45698</v>
      </c>
      <c r="F33" s="129">
        <v>45689</v>
      </c>
      <c r="G33" s="127">
        <v>1</v>
      </c>
      <c r="H33" s="127">
        <v>1</v>
      </c>
      <c r="I33" s="127">
        <v>0</v>
      </c>
      <c r="J33" s="127">
        <v>0</v>
      </c>
      <c r="K33" s="127">
        <v>0</v>
      </c>
      <c r="L33" s="130">
        <v>1107.3373327180434</v>
      </c>
      <c r="M33" s="131">
        <f t="shared" si="0"/>
        <v>1107.3373327180434</v>
      </c>
      <c r="N33" s="131"/>
      <c r="O33" s="132">
        <v>1174</v>
      </c>
      <c r="P33" s="133">
        <v>45770</v>
      </c>
      <c r="Q33" s="137">
        <f>O33-M33</f>
        <v>66.662667281956601</v>
      </c>
      <c r="R33" s="137"/>
      <c r="S33" s="136"/>
      <c r="T33" s="136"/>
    </row>
    <row r="34" spans="1:20" ht="15" x14ac:dyDescent="0.2">
      <c r="A34" s="138" t="s">
        <v>442</v>
      </c>
      <c r="B34" s="127" t="s">
        <v>139</v>
      </c>
      <c r="C34" s="127" t="s">
        <v>135</v>
      </c>
      <c r="D34" s="128">
        <v>45698</v>
      </c>
      <c r="E34" s="128">
        <v>45698</v>
      </c>
      <c r="F34" s="129">
        <v>45689</v>
      </c>
      <c r="G34" s="127">
        <v>1</v>
      </c>
      <c r="H34" s="127">
        <v>0</v>
      </c>
      <c r="I34" s="127">
        <v>0</v>
      </c>
      <c r="J34" s="127">
        <v>0</v>
      </c>
      <c r="K34" s="127">
        <v>0</v>
      </c>
      <c r="L34" s="130">
        <v>1107.3373327180434</v>
      </c>
      <c r="M34" s="131">
        <f t="shared" si="0"/>
        <v>0</v>
      </c>
      <c r="N34" s="131">
        <v>666</v>
      </c>
      <c r="O34" s="132"/>
      <c r="P34" s="133">
        <v>45800</v>
      </c>
      <c r="Q34" s="137">
        <f>N34-M34</f>
        <v>666</v>
      </c>
      <c r="R34" s="137"/>
      <c r="S34" s="136"/>
      <c r="T34" s="136"/>
    </row>
    <row r="35" spans="1:20" ht="15" x14ac:dyDescent="0.2">
      <c r="A35" s="138" t="s">
        <v>442</v>
      </c>
      <c r="B35" s="127" t="s">
        <v>139</v>
      </c>
      <c r="C35" s="127" t="s">
        <v>135</v>
      </c>
      <c r="D35" s="128">
        <v>45706</v>
      </c>
      <c r="E35" s="128">
        <v>45707</v>
      </c>
      <c r="F35" s="129">
        <v>45689</v>
      </c>
      <c r="G35" s="127">
        <v>2</v>
      </c>
      <c r="H35" s="127">
        <v>2</v>
      </c>
      <c r="I35" s="127">
        <v>0</v>
      </c>
      <c r="J35" s="127">
        <v>0</v>
      </c>
      <c r="K35" s="127">
        <v>0</v>
      </c>
      <c r="L35" s="130">
        <v>1107.3373327180434</v>
      </c>
      <c r="M35" s="131">
        <f t="shared" si="0"/>
        <v>2214.6746654360868</v>
      </c>
      <c r="N35" s="131"/>
      <c r="O35" s="132">
        <v>3287</v>
      </c>
      <c r="P35" s="133">
        <v>45770</v>
      </c>
      <c r="Q35" s="137">
        <f>O35-M35</f>
        <v>1072.3253345639132</v>
      </c>
      <c r="R35" s="137"/>
      <c r="S35" s="136"/>
      <c r="T35" s="136"/>
    </row>
    <row r="36" spans="1:20" ht="15" x14ac:dyDescent="0.2">
      <c r="A36" s="138" t="s">
        <v>442</v>
      </c>
      <c r="B36" s="127" t="s">
        <v>139</v>
      </c>
      <c r="C36" s="127" t="s">
        <v>135</v>
      </c>
      <c r="D36" s="128">
        <v>45714</v>
      </c>
      <c r="E36" s="128">
        <v>45714</v>
      </c>
      <c r="F36" s="129">
        <v>45689</v>
      </c>
      <c r="G36" s="127">
        <v>1</v>
      </c>
      <c r="H36" s="127">
        <v>1</v>
      </c>
      <c r="I36" s="127">
        <v>0</v>
      </c>
      <c r="J36" s="127">
        <v>0</v>
      </c>
      <c r="K36" s="127">
        <v>0</v>
      </c>
      <c r="L36" s="130">
        <v>1107.3373327180434</v>
      </c>
      <c r="M36" s="131">
        <f t="shared" si="0"/>
        <v>1107.3373327180434</v>
      </c>
      <c r="N36" s="131"/>
      <c r="O36" s="132">
        <v>1174</v>
      </c>
      <c r="P36" s="133">
        <v>45770</v>
      </c>
      <c r="Q36" s="137">
        <f>O36-M36</f>
        <v>66.662667281956601</v>
      </c>
      <c r="R36" s="137"/>
      <c r="S36" s="136"/>
      <c r="T36" s="136"/>
    </row>
    <row r="37" spans="1:20" ht="15" x14ac:dyDescent="0.2">
      <c r="A37" s="138" t="s">
        <v>442</v>
      </c>
      <c r="B37" s="127" t="s">
        <v>139</v>
      </c>
      <c r="C37" s="127" t="s">
        <v>135</v>
      </c>
      <c r="D37" s="128">
        <v>45714</v>
      </c>
      <c r="E37" s="128">
        <v>45714</v>
      </c>
      <c r="F37" s="129">
        <v>45689</v>
      </c>
      <c r="G37" s="127">
        <v>1</v>
      </c>
      <c r="H37" s="127">
        <v>0</v>
      </c>
      <c r="I37" s="127">
        <v>0</v>
      </c>
      <c r="J37" s="127">
        <v>0</v>
      </c>
      <c r="K37" s="127">
        <v>0</v>
      </c>
      <c r="L37" s="130">
        <v>1107.3373327180434</v>
      </c>
      <c r="M37" s="131">
        <f t="shared" si="0"/>
        <v>0</v>
      </c>
      <c r="N37" s="131">
        <v>666</v>
      </c>
      <c r="O37" s="132"/>
      <c r="P37" s="133">
        <v>45800</v>
      </c>
      <c r="Q37" s="137">
        <f>N37-M37</f>
        <v>666</v>
      </c>
      <c r="R37" s="137"/>
      <c r="S37" s="136"/>
      <c r="T37" s="136"/>
    </row>
    <row r="38" spans="1:20" ht="15" x14ac:dyDescent="0.2">
      <c r="A38" s="138" t="s">
        <v>442</v>
      </c>
      <c r="B38" s="127" t="s">
        <v>139</v>
      </c>
      <c r="C38" s="127" t="s">
        <v>135</v>
      </c>
      <c r="D38" s="128">
        <v>45720</v>
      </c>
      <c r="E38" s="128">
        <v>45720</v>
      </c>
      <c r="F38" s="129">
        <v>45717</v>
      </c>
      <c r="G38" s="127">
        <v>1</v>
      </c>
      <c r="H38" s="127">
        <v>1</v>
      </c>
      <c r="I38" s="127">
        <v>0</v>
      </c>
      <c r="J38" s="127">
        <v>0</v>
      </c>
      <c r="K38" s="127">
        <v>0</v>
      </c>
      <c r="L38" s="130">
        <v>1107.3373327180434</v>
      </c>
      <c r="M38" s="131">
        <f t="shared" si="0"/>
        <v>1107.3373327180434</v>
      </c>
      <c r="N38" s="131"/>
      <c r="O38" s="132">
        <v>1233</v>
      </c>
      <c r="P38" s="133">
        <v>45770</v>
      </c>
      <c r="Q38" s="137">
        <f>O38-M38</f>
        <v>125.6626672819566</v>
      </c>
      <c r="R38" s="137"/>
      <c r="S38" s="136"/>
      <c r="T38" s="136"/>
    </row>
    <row r="39" spans="1:20" ht="15" x14ac:dyDescent="0.2">
      <c r="A39" s="138" t="s">
        <v>442</v>
      </c>
      <c r="B39" s="127" t="s">
        <v>139</v>
      </c>
      <c r="C39" s="127" t="s">
        <v>135</v>
      </c>
      <c r="D39" s="128">
        <v>45720</v>
      </c>
      <c r="E39" s="128">
        <v>45720</v>
      </c>
      <c r="F39" s="129">
        <v>45717</v>
      </c>
      <c r="G39" s="127">
        <v>1</v>
      </c>
      <c r="H39" s="127">
        <v>0</v>
      </c>
      <c r="I39" s="127">
        <v>0</v>
      </c>
      <c r="J39" s="127">
        <v>0</v>
      </c>
      <c r="K39" s="127">
        <v>0</v>
      </c>
      <c r="L39" s="130">
        <v>1107.3373327180434</v>
      </c>
      <c r="M39" s="131">
        <f t="shared" si="0"/>
        <v>0</v>
      </c>
      <c r="N39" s="131">
        <v>666</v>
      </c>
      <c r="O39" s="132"/>
      <c r="P39" s="133">
        <v>45834</v>
      </c>
      <c r="Q39" s="137">
        <f>N39-M39</f>
        <v>666</v>
      </c>
      <c r="R39" s="137"/>
      <c r="S39" s="136"/>
      <c r="T39" s="136"/>
    </row>
    <row r="40" spans="1:20" ht="15" x14ac:dyDescent="0.2">
      <c r="A40" s="138" t="s">
        <v>442</v>
      </c>
      <c r="B40" s="127" t="s">
        <v>139</v>
      </c>
      <c r="C40" s="127" t="s">
        <v>135</v>
      </c>
      <c r="D40" s="128">
        <v>45733</v>
      </c>
      <c r="E40" s="128">
        <v>45734</v>
      </c>
      <c r="F40" s="129">
        <v>45717</v>
      </c>
      <c r="G40" s="127">
        <v>2</v>
      </c>
      <c r="H40" s="127">
        <v>2</v>
      </c>
      <c r="I40" s="127">
        <v>0</v>
      </c>
      <c r="J40" s="127">
        <v>0</v>
      </c>
      <c r="K40" s="127">
        <v>0</v>
      </c>
      <c r="L40" s="130">
        <v>1107.3373327180434</v>
      </c>
      <c r="M40" s="131">
        <f t="shared" si="0"/>
        <v>2214.6746654360868</v>
      </c>
      <c r="N40" s="131"/>
      <c r="O40" s="132">
        <f>1233+2466</f>
        <v>3699</v>
      </c>
      <c r="P40" s="133">
        <v>45770</v>
      </c>
      <c r="Q40" s="137">
        <f>O40-M40</f>
        <v>1484.3253345639132</v>
      </c>
      <c r="R40" s="137"/>
      <c r="S40" s="136"/>
      <c r="T40" s="136"/>
    </row>
    <row r="41" spans="1:20" ht="15" x14ac:dyDescent="0.2">
      <c r="A41" s="138" t="s">
        <v>442</v>
      </c>
      <c r="B41" s="127" t="s">
        <v>139</v>
      </c>
      <c r="C41" s="127" t="s">
        <v>135</v>
      </c>
      <c r="D41" s="128">
        <v>45733</v>
      </c>
      <c r="E41" s="128">
        <v>45734</v>
      </c>
      <c r="F41" s="129">
        <v>45717</v>
      </c>
      <c r="G41" s="127">
        <v>2</v>
      </c>
      <c r="H41" s="127">
        <v>0</v>
      </c>
      <c r="I41" s="127">
        <v>0</v>
      </c>
      <c r="J41" s="127">
        <v>0</v>
      </c>
      <c r="K41" s="127">
        <v>0</v>
      </c>
      <c r="L41" s="130">
        <v>1107.3373327180434</v>
      </c>
      <c r="M41" s="131">
        <f t="shared" si="0"/>
        <v>0</v>
      </c>
      <c r="N41" s="131">
        <v>1999</v>
      </c>
      <c r="O41" s="132"/>
      <c r="P41" s="133">
        <v>45834</v>
      </c>
      <c r="Q41" s="137">
        <f>N41-M41</f>
        <v>1999</v>
      </c>
      <c r="R41" s="137"/>
      <c r="S41" s="136"/>
      <c r="T41" s="136"/>
    </row>
    <row r="42" spans="1:20" ht="15" x14ac:dyDescent="0.2">
      <c r="A42" s="138" t="s">
        <v>442</v>
      </c>
      <c r="B42" s="127" t="s">
        <v>139</v>
      </c>
      <c r="C42" s="127" t="s">
        <v>135</v>
      </c>
      <c r="D42" s="128">
        <v>45746</v>
      </c>
      <c r="E42" s="128">
        <v>45747</v>
      </c>
      <c r="F42" s="129">
        <v>45717</v>
      </c>
      <c r="G42" s="127">
        <v>2</v>
      </c>
      <c r="H42" s="127">
        <v>2</v>
      </c>
      <c r="I42" s="127">
        <v>0</v>
      </c>
      <c r="J42" s="127">
        <v>0</v>
      </c>
      <c r="K42" s="127">
        <v>0</v>
      </c>
      <c r="L42" s="130">
        <v>1107.3373327180434</v>
      </c>
      <c r="M42" s="131">
        <f t="shared" si="0"/>
        <v>2214.6746654360868</v>
      </c>
      <c r="N42" s="131"/>
      <c r="O42" s="132">
        <v>2466</v>
      </c>
      <c r="P42" s="133">
        <v>45770</v>
      </c>
      <c r="Q42" s="137">
        <f t="shared" ref="Q42:Q65" si="3">O42-M42</f>
        <v>251.3253345639132</v>
      </c>
      <c r="R42" s="137"/>
      <c r="S42" s="136"/>
      <c r="T42" s="136"/>
    </row>
    <row r="43" spans="1:20" ht="15" x14ac:dyDescent="0.2">
      <c r="A43" s="138" t="s">
        <v>442</v>
      </c>
      <c r="B43" s="127" t="s">
        <v>139</v>
      </c>
      <c r="C43" s="127" t="s">
        <v>135</v>
      </c>
      <c r="D43" s="133">
        <v>45748</v>
      </c>
      <c r="E43" s="133">
        <v>45750</v>
      </c>
      <c r="F43" s="157">
        <v>45748</v>
      </c>
      <c r="G43" s="127">
        <v>3</v>
      </c>
      <c r="H43" s="127">
        <v>3</v>
      </c>
      <c r="I43" s="127">
        <v>0</v>
      </c>
      <c r="J43" s="127">
        <v>0</v>
      </c>
      <c r="K43" s="127">
        <v>0</v>
      </c>
      <c r="L43" s="130">
        <v>1107.3373327180434</v>
      </c>
      <c r="M43" s="131">
        <f t="shared" si="0"/>
        <v>3322.0119981541302</v>
      </c>
      <c r="N43" s="127"/>
      <c r="O43" s="132">
        <v>4998</v>
      </c>
      <c r="P43" s="133">
        <v>45877</v>
      </c>
      <c r="Q43" s="137">
        <f t="shared" si="3"/>
        <v>1675.9880018458698</v>
      </c>
      <c r="R43" s="137"/>
      <c r="S43" s="136"/>
      <c r="T43" s="136"/>
    </row>
    <row r="44" spans="1:20" ht="15" x14ac:dyDescent="0.2">
      <c r="A44" s="138" t="s">
        <v>442</v>
      </c>
      <c r="B44" s="127" t="s">
        <v>139</v>
      </c>
      <c r="C44" s="127" t="s">
        <v>135</v>
      </c>
      <c r="D44" s="128">
        <v>45756</v>
      </c>
      <c r="E44" s="128">
        <v>45757</v>
      </c>
      <c r="F44" s="129">
        <v>45748</v>
      </c>
      <c r="G44" s="127">
        <v>2</v>
      </c>
      <c r="H44" s="127">
        <v>2</v>
      </c>
      <c r="I44" s="127">
        <v>0</v>
      </c>
      <c r="J44" s="127">
        <v>0</v>
      </c>
      <c r="K44" s="127">
        <v>0</v>
      </c>
      <c r="L44" s="130">
        <v>1107.3373327180434</v>
      </c>
      <c r="M44" s="131">
        <f t="shared" si="0"/>
        <v>2214.6746654360868</v>
      </c>
      <c r="N44" s="131"/>
      <c r="O44" s="132">
        <v>3332</v>
      </c>
      <c r="P44" s="133">
        <v>45877</v>
      </c>
      <c r="Q44" s="137">
        <f t="shared" si="3"/>
        <v>1117.3253345639132</v>
      </c>
      <c r="R44" s="137"/>
      <c r="S44" s="136"/>
      <c r="T44" s="136"/>
    </row>
    <row r="45" spans="1:20" ht="15" x14ac:dyDescent="0.2">
      <c r="A45" s="138" t="s">
        <v>442</v>
      </c>
      <c r="B45" s="127" t="s">
        <v>139</v>
      </c>
      <c r="C45" s="127" t="s">
        <v>135</v>
      </c>
      <c r="D45" s="128">
        <v>45782</v>
      </c>
      <c r="E45" s="128">
        <v>45785</v>
      </c>
      <c r="F45" s="129">
        <v>45778</v>
      </c>
      <c r="G45" s="127">
        <v>4</v>
      </c>
      <c r="H45" s="127">
        <v>4</v>
      </c>
      <c r="I45" s="127">
        <v>0</v>
      </c>
      <c r="J45" s="127">
        <v>0</v>
      </c>
      <c r="K45" s="127">
        <v>0</v>
      </c>
      <c r="L45" s="130">
        <v>1107.3373327180434</v>
      </c>
      <c r="M45" s="131">
        <f t="shared" si="0"/>
        <v>4429.3493308721736</v>
      </c>
      <c r="N45" s="131"/>
      <c r="O45" s="132">
        <v>8775</v>
      </c>
      <c r="P45" s="133">
        <v>45877</v>
      </c>
      <c r="Q45" s="137">
        <f t="shared" si="3"/>
        <v>4345.6506691278264</v>
      </c>
      <c r="R45" s="137"/>
      <c r="S45" s="136"/>
      <c r="T45" s="136"/>
    </row>
    <row r="46" spans="1:20" ht="15" x14ac:dyDescent="0.2">
      <c r="A46" s="138" t="s">
        <v>442</v>
      </c>
      <c r="B46" s="127" t="s">
        <v>139</v>
      </c>
      <c r="C46" s="127" t="s">
        <v>135</v>
      </c>
      <c r="D46" s="128">
        <v>45789</v>
      </c>
      <c r="E46" s="128">
        <v>45789</v>
      </c>
      <c r="F46" s="129">
        <v>45778</v>
      </c>
      <c r="G46" s="127">
        <v>1</v>
      </c>
      <c r="H46" s="127">
        <v>1</v>
      </c>
      <c r="I46" s="127">
        <v>0</v>
      </c>
      <c r="J46" s="127">
        <v>0</v>
      </c>
      <c r="K46" s="127">
        <v>0</v>
      </c>
      <c r="L46" s="130">
        <v>1107.3373327180434</v>
      </c>
      <c r="M46" s="131">
        <f t="shared" si="0"/>
        <v>1107.3373327180434</v>
      </c>
      <c r="N46" s="131"/>
      <c r="O46" s="132">
        <v>1254</v>
      </c>
      <c r="P46" s="133">
        <v>45877</v>
      </c>
      <c r="Q46" s="137">
        <f t="shared" si="3"/>
        <v>146.6626672819566</v>
      </c>
      <c r="R46" s="137"/>
      <c r="S46" s="136"/>
      <c r="T46" s="136"/>
    </row>
    <row r="47" spans="1:20" ht="15" x14ac:dyDescent="0.2">
      <c r="A47" s="138" t="s">
        <v>442</v>
      </c>
      <c r="B47" s="127" t="s">
        <v>139</v>
      </c>
      <c r="C47" s="127" t="s">
        <v>135</v>
      </c>
      <c r="D47" s="128">
        <v>45805</v>
      </c>
      <c r="E47" s="128">
        <v>45805</v>
      </c>
      <c r="F47" s="129">
        <v>45778</v>
      </c>
      <c r="G47" s="127">
        <v>1</v>
      </c>
      <c r="H47" s="127">
        <v>1</v>
      </c>
      <c r="I47" s="127">
        <v>0</v>
      </c>
      <c r="J47" s="127">
        <v>0</v>
      </c>
      <c r="K47" s="127">
        <v>0</v>
      </c>
      <c r="L47" s="130">
        <v>1107.3373327180434</v>
      </c>
      <c r="M47" s="131">
        <f t="shared" si="0"/>
        <v>1107.3373327180434</v>
      </c>
      <c r="N47" s="131"/>
      <c r="O47" s="132">
        <v>1254</v>
      </c>
      <c r="P47" s="133">
        <v>45877</v>
      </c>
      <c r="Q47" s="137">
        <f t="shared" si="3"/>
        <v>146.6626672819566</v>
      </c>
      <c r="R47" s="137"/>
      <c r="S47" s="136"/>
      <c r="T47" s="136"/>
    </row>
    <row r="48" spans="1:20" ht="15" x14ac:dyDescent="0.2">
      <c r="A48" s="138" t="s">
        <v>442</v>
      </c>
      <c r="B48" s="127" t="s">
        <v>139</v>
      </c>
      <c r="C48" s="127" t="s">
        <v>135</v>
      </c>
      <c r="D48" s="128">
        <v>45813</v>
      </c>
      <c r="E48" s="128">
        <v>45813</v>
      </c>
      <c r="F48" s="129">
        <v>45809</v>
      </c>
      <c r="G48" s="127">
        <v>1</v>
      </c>
      <c r="H48" s="127">
        <v>1</v>
      </c>
      <c r="I48" s="127">
        <v>0</v>
      </c>
      <c r="J48" s="127">
        <v>0</v>
      </c>
      <c r="K48" s="127">
        <v>0</v>
      </c>
      <c r="L48" s="130">
        <v>1107.3373327180434</v>
      </c>
      <c r="M48" s="131">
        <f t="shared" si="0"/>
        <v>1107.3373327180434</v>
      </c>
      <c r="N48" s="131"/>
      <c r="O48" s="132">
        <v>1811</v>
      </c>
      <c r="P48" s="133">
        <v>45877</v>
      </c>
      <c r="Q48" s="137">
        <f t="shared" si="3"/>
        <v>703.6626672819566</v>
      </c>
      <c r="R48" s="137"/>
      <c r="S48" s="136"/>
      <c r="T48" s="136"/>
    </row>
    <row r="49" spans="1:20" ht="15" x14ac:dyDescent="0.2">
      <c r="A49" s="138" t="s">
        <v>442</v>
      </c>
      <c r="B49" s="127" t="s">
        <v>139</v>
      </c>
      <c r="C49" s="127" t="s">
        <v>135</v>
      </c>
      <c r="D49" s="128">
        <v>45819</v>
      </c>
      <c r="E49" s="128">
        <v>45820</v>
      </c>
      <c r="F49" s="129">
        <v>45809</v>
      </c>
      <c r="G49" s="127">
        <v>2</v>
      </c>
      <c r="H49" s="127">
        <v>2</v>
      </c>
      <c r="I49" s="127">
        <v>0</v>
      </c>
      <c r="J49" s="127">
        <v>0</v>
      </c>
      <c r="K49" s="127">
        <v>0</v>
      </c>
      <c r="L49" s="130">
        <v>1107.3373327180434</v>
      </c>
      <c r="M49" s="131">
        <f t="shared" si="0"/>
        <v>2214.6746654360868</v>
      </c>
      <c r="N49" s="131"/>
      <c r="O49" s="132">
        <v>2587</v>
      </c>
      <c r="P49" s="133">
        <v>45877</v>
      </c>
      <c r="Q49" s="137">
        <f t="shared" si="3"/>
        <v>372.3253345639132</v>
      </c>
      <c r="R49" s="137"/>
      <c r="S49" s="136"/>
      <c r="T49" s="136"/>
    </row>
    <row r="50" spans="1:20" ht="15" x14ac:dyDescent="0.2">
      <c r="A50" s="138" t="s">
        <v>442</v>
      </c>
      <c r="B50" s="127" t="s">
        <v>139</v>
      </c>
      <c r="C50" s="127" t="s">
        <v>135</v>
      </c>
      <c r="D50" s="128">
        <v>45866</v>
      </c>
      <c r="E50" s="128">
        <v>45869</v>
      </c>
      <c r="F50" s="129">
        <v>45839</v>
      </c>
      <c r="G50" s="127">
        <v>4</v>
      </c>
      <c r="H50" s="127">
        <v>4</v>
      </c>
      <c r="I50" s="127">
        <v>0</v>
      </c>
      <c r="J50" s="127">
        <v>0</v>
      </c>
      <c r="K50" s="127">
        <v>0</v>
      </c>
      <c r="L50" s="130">
        <v>1107.3373327180434</v>
      </c>
      <c r="M50" s="131">
        <f t="shared" si="0"/>
        <v>4429.3493308721736</v>
      </c>
      <c r="N50" s="131"/>
      <c r="O50" s="132">
        <v>7592</v>
      </c>
      <c r="P50" s="133">
        <v>45895</v>
      </c>
      <c r="Q50" s="137">
        <f t="shared" si="3"/>
        <v>3162.6506691278264</v>
      </c>
      <c r="R50" s="137"/>
      <c r="S50" s="136"/>
      <c r="T50" s="136"/>
    </row>
    <row r="51" spans="1:20" ht="15" x14ac:dyDescent="0.2">
      <c r="A51" s="138" t="s">
        <v>442</v>
      </c>
      <c r="B51" s="127" t="s">
        <v>139</v>
      </c>
      <c r="C51" s="127" t="s">
        <v>135</v>
      </c>
      <c r="D51" s="128">
        <v>45917</v>
      </c>
      <c r="E51" s="128">
        <v>45917</v>
      </c>
      <c r="F51" s="129">
        <v>45901</v>
      </c>
      <c r="G51" s="127">
        <v>1</v>
      </c>
      <c r="H51" s="127">
        <v>1</v>
      </c>
      <c r="I51" s="127">
        <v>0</v>
      </c>
      <c r="J51" s="127">
        <v>0</v>
      </c>
      <c r="K51" s="127">
        <v>0</v>
      </c>
      <c r="L51" s="130">
        <v>1107.3373327180434</v>
      </c>
      <c r="M51" s="131">
        <f t="shared" si="0"/>
        <v>1107.3373327180434</v>
      </c>
      <c r="N51" s="131"/>
      <c r="O51" s="132">
        <v>1898</v>
      </c>
      <c r="P51" s="133">
        <v>45988</v>
      </c>
      <c r="Q51" s="137">
        <f t="shared" si="3"/>
        <v>790.6626672819566</v>
      </c>
      <c r="R51" s="137"/>
      <c r="S51" s="136"/>
      <c r="T51" s="136"/>
    </row>
    <row r="52" spans="1:20" ht="15" x14ac:dyDescent="0.2">
      <c r="A52" s="126">
        <v>322131285</v>
      </c>
      <c r="B52" s="127" t="s">
        <v>142</v>
      </c>
      <c r="C52" s="127" t="s">
        <v>113</v>
      </c>
      <c r="D52" s="128">
        <v>45859</v>
      </c>
      <c r="E52" s="128">
        <v>45859</v>
      </c>
      <c r="F52" s="129">
        <v>45839</v>
      </c>
      <c r="G52" s="127">
        <v>1</v>
      </c>
      <c r="H52" s="127">
        <v>1</v>
      </c>
      <c r="I52" s="127">
        <v>0</v>
      </c>
      <c r="J52" s="127">
        <v>0</v>
      </c>
      <c r="K52" s="127">
        <v>0</v>
      </c>
      <c r="L52" s="130">
        <f>'📈 היסטוריית שכר'!C16</f>
        <v>868.80479926165197</v>
      </c>
      <c r="M52" s="131">
        <f t="shared" si="0"/>
        <v>868.80479926165197</v>
      </c>
      <c r="N52" s="131"/>
      <c r="O52" s="132">
        <v>450</v>
      </c>
      <c r="P52" s="133">
        <v>45988</v>
      </c>
      <c r="Q52" s="134">
        <f t="shared" si="3"/>
        <v>-418.80479926165197</v>
      </c>
      <c r="R52" s="134"/>
      <c r="S52" s="135">
        <v>46023</v>
      </c>
      <c r="T52" s="136"/>
    </row>
    <row r="53" spans="1:20" ht="15" x14ac:dyDescent="0.2">
      <c r="A53" s="138">
        <v>322131285</v>
      </c>
      <c r="B53" s="127" t="s">
        <v>142</v>
      </c>
      <c r="C53" s="127" t="s">
        <v>113</v>
      </c>
      <c r="D53" s="128">
        <v>45861</v>
      </c>
      <c r="E53" s="128">
        <v>45862</v>
      </c>
      <c r="F53" s="129">
        <v>45839</v>
      </c>
      <c r="G53" s="127">
        <v>2</v>
      </c>
      <c r="H53" s="127">
        <v>2</v>
      </c>
      <c r="I53" s="127">
        <v>0</v>
      </c>
      <c r="J53" s="127">
        <v>0</v>
      </c>
      <c r="K53" s="127">
        <v>0</v>
      </c>
      <c r="L53" s="130">
        <v>868.80479926165197</v>
      </c>
      <c r="M53" s="131">
        <f t="shared" si="0"/>
        <v>1737.6095985233039</v>
      </c>
      <c r="N53" s="131"/>
      <c r="O53" s="132">
        <v>899</v>
      </c>
      <c r="P53" s="133">
        <v>45988</v>
      </c>
      <c r="Q53" s="134">
        <f t="shared" si="3"/>
        <v>-838.60959852330393</v>
      </c>
      <c r="R53" s="134"/>
      <c r="S53" s="135">
        <v>46023</v>
      </c>
      <c r="T53" s="136"/>
    </row>
    <row r="54" spans="1:20" ht="15" x14ac:dyDescent="0.2">
      <c r="A54" s="138">
        <v>322131285</v>
      </c>
      <c r="B54" s="127" t="s">
        <v>142</v>
      </c>
      <c r="C54" s="127" t="s">
        <v>113</v>
      </c>
      <c r="D54" s="128">
        <v>45866</v>
      </c>
      <c r="E54" s="128">
        <v>45868</v>
      </c>
      <c r="F54" s="129">
        <v>45839</v>
      </c>
      <c r="G54" s="127">
        <v>3</v>
      </c>
      <c r="H54" s="127">
        <v>3</v>
      </c>
      <c r="I54" s="127">
        <v>0</v>
      </c>
      <c r="J54" s="127">
        <v>0</v>
      </c>
      <c r="K54" s="127">
        <v>0</v>
      </c>
      <c r="L54" s="130">
        <v>868.80479926165197</v>
      </c>
      <c r="M54" s="131">
        <f t="shared" si="0"/>
        <v>2606.4143977849558</v>
      </c>
      <c r="N54" s="131"/>
      <c r="O54" s="132">
        <v>1348</v>
      </c>
      <c r="P54" s="133">
        <v>45988</v>
      </c>
      <c r="Q54" s="134">
        <f t="shared" si="3"/>
        <v>-1258.4143977849558</v>
      </c>
      <c r="R54" s="134"/>
      <c r="S54" s="135">
        <v>46023</v>
      </c>
      <c r="T54" s="136"/>
    </row>
    <row r="55" spans="1:20" ht="15" x14ac:dyDescent="0.2">
      <c r="A55" s="138">
        <v>322131285</v>
      </c>
      <c r="B55" s="127" t="s">
        <v>142</v>
      </c>
      <c r="C55" s="127" t="s">
        <v>113</v>
      </c>
      <c r="D55" s="128">
        <v>45873</v>
      </c>
      <c r="E55" s="128">
        <v>45873</v>
      </c>
      <c r="F55" s="129">
        <v>45870</v>
      </c>
      <c r="G55" s="127">
        <v>1</v>
      </c>
      <c r="H55" s="127">
        <v>1</v>
      </c>
      <c r="I55" s="127">
        <v>0</v>
      </c>
      <c r="J55" s="127">
        <v>0</v>
      </c>
      <c r="K55" s="127">
        <v>0</v>
      </c>
      <c r="L55" s="130">
        <v>868.80479926165197</v>
      </c>
      <c r="M55" s="131">
        <f t="shared" si="0"/>
        <v>868.80479926165197</v>
      </c>
      <c r="N55" s="131"/>
      <c r="O55" s="132">
        <v>495</v>
      </c>
      <c r="P55" s="133">
        <v>46054</v>
      </c>
      <c r="Q55" s="134">
        <f t="shared" si="3"/>
        <v>-373.80479926165197</v>
      </c>
      <c r="R55" s="134"/>
      <c r="S55" s="135">
        <v>46023</v>
      </c>
      <c r="T55" s="136"/>
    </row>
    <row r="56" spans="1:20" ht="15" x14ac:dyDescent="0.2">
      <c r="A56" s="138">
        <v>322131285</v>
      </c>
      <c r="B56" s="127" t="s">
        <v>142</v>
      </c>
      <c r="C56" s="127" t="s">
        <v>113</v>
      </c>
      <c r="D56" s="128">
        <v>45876</v>
      </c>
      <c r="E56" s="128">
        <v>45876</v>
      </c>
      <c r="F56" s="129">
        <v>45870</v>
      </c>
      <c r="G56" s="127">
        <v>1</v>
      </c>
      <c r="H56" s="127">
        <v>1</v>
      </c>
      <c r="I56" s="127">
        <v>0</v>
      </c>
      <c r="J56" s="127">
        <v>0</v>
      </c>
      <c r="K56" s="127">
        <v>0</v>
      </c>
      <c r="L56" s="130">
        <v>868.80479926165197</v>
      </c>
      <c r="M56" s="131">
        <f t="shared" si="0"/>
        <v>868.80479926165197</v>
      </c>
      <c r="N56" s="131"/>
      <c r="O56" s="132">
        <v>495</v>
      </c>
      <c r="P56" s="133">
        <v>46054</v>
      </c>
      <c r="Q56" s="134">
        <f t="shared" si="3"/>
        <v>-373.80479926165197</v>
      </c>
      <c r="R56" s="134"/>
      <c r="S56" s="135">
        <v>46023</v>
      </c>
      <c r="T56" s="136"/>
    </row>
    <row r="57" spans="1:20" ht="15" x14ac:dyDescent="0.2">
      <c r="A57" s="138">
        <v>322131285</v>
      </c>
      <c r="B57" s="127" t="s">
        <v>142</v>
      </c>
      <c r="C57" s="127" t="s">
        <v>113</v>
      </c>
      <c r="D57" s="128">
        <v>45881</v>
      </c>
      <c r="E57" s="128">
        <v>45881</v>
      </c>
      <c r="F57" s="129">
        <v>45870</v>
      </c>
      <c r="G57" s="127">
        <v>1</v>
      </c>
      <c r="H57" s="127">
        <v>1</v>
      </c>
      <c r="I57" s="127">
        <v>0</v>
      </c>
      <c r="J57" s="127">
        <v>0</v>
      </c>
      <c r="K57" s="127">
        <v>0</v>
      </c>
      <c r="L57" s="130">
        <v>868.80479926165197</v>
      </c>
      <c r="M57" s="131">
        <f t="shared" si="0"/>
        <v>868.80479926165197</v>
      </c>
      <c r="N57" s="131"/>
      <c r="O57" s="132">
        <v>495</v>
      </c>
      <c r="P57" s="133">
        <v>46054</v>
      </c>
      <c r="Q57" s="134">
        <f t="shared" si="3"/>
        <v>-373.80479926165197</v>
      </c>
      <c r="R57" s="134"/>
      <c r="S57" s="135">
        <v>46023</v>
      </c>
      <c r="T57" s="136"/>
    </row>
    <row r="58" spans="1:20" ht="15" x14ac:dyDescent="0.2">
      <c r="A58" s="138">
        <v>322131285</v>
      </c>
      <c r="B58" s="127" t="s">
        <v>142</v>
      </c>
      <c r="C58" s="127" t="s">
        <v>113</v>
      </c>
      <c r="D58" s="128">
        <v>45915</v>
      </c>
      <c r="E58" s="128">
        <v>45916</v>
      </c>
      <c r="F58" s="129">
        <v>45901</v>
      </c>
      <c r="G58" s="127">
        <v>2</v>
      </c>
      <c r="H58" s="127">
        <v>2</v>
      </c>
      <c r="I58" s="127">
        <v>0</v>
      </c>
      <c r="J58" s="127">
        <v>0</v>
      </c>
      <c r="K58" s="127">
        <v>0</v>
      </c>
      <c r="L58" s="130">
        <v>868.80479926165197</v>
      </c>
      <c r="M58" s="131">
        <f t="shared" si="0"/>
        <v>1737.6095985233039</v>
      </c>
      <c r="N58" s="131"/>
      <c r="O58" s="132">
        <v>990</v>
      </c>
      <c r="P58" s="133">
        <v>46054</v>
      </c>
      <c r="Q58" s="134">
        <f t="shared" si="3"/>
        <v>-747.60959852330393</v>
      </c>
      <c r="R58" s="134"/>
      <c r="S58" s="135">
        <v>46023</v>
      </c>
      <c r="T58" s="136"/>
    </row>
    <row r="59" spans="1:20" ht="15" x14ac:dyDescent="0.2">
      <c r="A59" s="138">
        <v>322131285</v>
      </c>
      <c r="B59" s="127" t="s">
        <v>142</v>
      </c>
      <c r="C59" s="127" t="s">
        <v>113</v>
      </c>
      <c r="D59" s="128">
        <v>45921</v>
      </c>
      <c r="E59" s="128">
        <v>45921</v>
      </c>
      <c r="F59" s="129">
        <v>45901</v>
      </c>
      <c r="G59" s="127">
        <v>1</v>
      </c>
      <c r="H59" s="127">
        <v>0</v>
      </c>
      <c r="I59" s="127">
        <v>0</v>
      </c>
      <c r="J59" s="127">
        <v>1</v>
      </c>
      <c r="K59" s="127">
        <v>0</v>
      </c>
      <c r="L59" s="130">
        <v>868.80479926165197</v>
      </c>
      <c r="M59" s="131">
        <f t="shared" si="0"/>
        <v>0</v>
      </c>
      <c r="N59" s="131"/>
      <c r="O59" s="132">
        <v>495</v>
      </c>
      <c r="P59" s="133">
        <v>46054</v>
      </c>
      <c r="Q59" s="137">
        <f t="shared" si="3"/>
        <v>495</v>
      </c>
      <c r="R59" s="134"/>
      <c r="S59" s="135">
        <v>46023</v>
      </c>
      <c r="T59" s="136"/>
    </row>
    <row r="60" spans="1:20" ht="15" x14ac:dyDescent="0.2">
      <c r="A60" s="138">
        <v>209501998</v>
      </c>
      <c r="B60" s="127" t="s">
        <v>145</v>
      </c>
      <c r="C60" s="127" t="s">
        <v>135</v>
      </c>
      <c r="D60" s="128">
        <v>45740</v>
      </c>
      <c r="E60" s="128">
        <v>45740</v>
      </c>
      <c r="F60" s="129">
        <v>45717</v>
      </c>
      <c r="G60" s="127">
        <v>1</v>
      </c>
      <c r="H60" s="127">
        <v>1</v>
      </c>
      <c r="I60" s="127">
        <v>0</v>
      </c>
      <c r="J60" s="127">
        <v>0</v>
      </c>
      <c r="K60" s="127">
        <v>0</v>
      </c>
      <c r="L60" s="130">
        <f>'📈 היסטוריית שכר'!C17</f>
        <v>599.86</v>
      </c>
      <c r="M60" s="131">
        <f t="shared" si="0"/>
        <v>599.86</v>
      </c>
      <c r="N60" s="131"/>
      <c r="O60" s="132">
        <v>853</v>
      </c>
      <c r="P60" s="133">
        <v>45988</v>
      </c>
      <c r="Q60" s="137">
        <f t="shared" si="3"/>
        <v>253.14</v>
      </c>
      <c r="R60" s="137"/>
      <c r="S60" s="135">
        <v>45992</v>
      </c>
      <c r="T60" s="136"/>
    </row>
    <row r="61" spans="1:20" ht="15" x14ac:dyDescent="0.2">
      <c r="A61" s="138">
        <v>209501998</v>
      </c>
      <c r="B61" s="127" t="s">
        <v>145</v>
      </c>
      <c r="C61" s="127" t="s">
        <v>135</v>
      </c>
      <c r="D61" s="128">
        <v>45802</v>
      </c>
      <c r="E61" s="128">
        <v>45804</v>
      </c>
      <c r="F61" s="129">
        <v>45778</v>
      </c>
      <c r="G61" s="127">
        <v>3</v>
      </c>
      <c r="H61" s="127">
        <v>3</v>
      </c>
      <c r="I61" s="127">
        <v>0</v>
      </c>
      <c r="J61" s="127">
        <v>0</v>
      </c>
      <c r="K61" s="127">
        <v>0</v>
      </c>
      <c r="L61" s="130">
        <v>599.86</v>
      </c>
      <c r="M61" s="131">
        <f t="shared" si="0"/>
        <v>1799.58</v>
      </c>
      <c r="N61" s="131"/>
      <c r="O61" s="132">
        <v>2605</v>
      </c>
      <c r="P61" s="133">
        <v>45988</v>
      </c>
      <c r="Q61" s="137">
        <f t="shared" si="3"/>
        <v>805.42000000000007</v>
      </c>
      <c r="R61" s="137"/>
      <c r="S61" s="135">
        <v>45992</v>
      </c>
      <c r="T61" s="136"/>
    </row>
    <row r="62" spans="1:20" ht="15" x14ac:dyDescent="0.2">
      <c r="A62" s="138">
        <v>209501998</v>
      </c>
      <c r="B62" s="127" t="s">
        <v>145</v>
      </c>
      <c r="C62" s="127" t="s">
        <v>135</v>
      </c>
      <c r="D62" s="128">
        <v>45824</v>
      </c>
      <c r="E62" s="128">
        <v>45831</v>
      </c>
      <c r="F62" s="129">
        <v>45809</v>
      </c>
      <c r="G62" s="127">
        <v>8</v>
      </c>
      <c r="H62" s="127">
        <v>6</v>
      </c>
      <c r="I62" s="127">
        <v>1</v>
      </c>
      <c r="J62" s="127">
        <v>1</v>
      </c>
      <c r="K62" s="127">
        <v>0</v>
      </c>
      <c r="L62" s="130">
        <v>599.86</v>
      </c>
      <c r="M62" s="131">
        <f t="shared" si="0"/>
        <v>3599.16</v>
      </c>
      <c r="N62" s="131">
        <v>248</v>
      </c>
      <c r="O62" s="132">
        <v>4961</v>
      </c>
      <c r="P62" s="133">
        <v>45988</v>
      </c>
      <c r="Q62" s="137">
        <f t="shared" si="3"/>
        <v>1361.8400000000001</v>
      </c>
      <c r="R62" s="137"/>
      <c r="S62" s="135">
        <v>45992</v>
      </c>
      <c r="T62" s="136"/>
    </row>
    <row r="63" spans="1:20" ht="15" x14ac:dyDescent="0.2">
      <c r="A63" s="138">
        <v>209501998</v>
      </c>
      <c r="B63" s="127" t="s">
        <v>145</v>
      </c>
      <c r="C63" s="127" t="s">
        <v>135</v>
      </c>
      <c r="D63" s="128">
        <v>45865</v>
      </c>
      <c r="E63" s="128">
        <v>45867</v>
      </c>
      <c r="F63" s="129">
        <v>45839</v>
      </c>
      <c r="G63" s="127">
        <v>3</v>
      </c>
      <c r="H63" s="127">
        <v>3</v>
      </c>
      <c r="I63" s="127">
        <v>0</v>
      </c>
      <c r="J63" s="127">
        <v>0</v>
      </c>
      <c r="K63" s="127">
        <v>0</v>
      </c>
      <c r="L63" s="130">
        <f>'📈 היסטוריית שכר'!C18</f>
        <v>738.34794646977377</v>
      </c>
      <c r="M63" s="131">
        <f t="shared" si="0"/>
        <v>2215.0438394093212</v>
      </c>
      <c r="N63" s="131"/>
      <c r="O63" s="132">
        <v>2546</v>
      </c>
      <c r="P63" s="133">
        <v>45988</v>
      </c>
      <c r="Q63" s="137">
        <f t="shared" si="3"/>
        <v>330.95616059067879</v>
      </c>
      <c r="R63" s="137"/>
      <c r="S63" s="135">
        <v>45992</v>
      </c>
      <c r="T63" s="136"/>
    </row>
    <row r="64" spans="1:20" ht="15" x14ac:dyDescent="0.2">
      <c r="A64" s="138">
        <v>209501998</v>
      </c>
      <c r="B64" s="127" t="s">
        <v>145</v>
      </c>
      <c r="C64" s="127" t="s">
        <v>135</v>
      </c>
      <c r="D64" s="128">
        <v>45886</v>
      </c>
      <c r="E64" s="128">
        <v>45889</v>
      </c>
      <c r="F64" s="129">
        <v>45870</v>
      </c>
      <c r="G64" s="127">
        <v>4</v>
      </c>
      <c r="H64" s="127">
        <v>4</v>
      </c>
      <c r="I64" s="127">
        <v>0</v>
      </c>
      <c r="J64" s="127">
        <v>0</v>
      </c>
      <c r="K64" s="127">
        <v>0</v>
      </c>
      <c r="L64" s="130">
        <v>738.34794646977377</v>
      </c>
      <c r="M64" s="131">
        <f t="shared" si="0"/>
        <v>2953.3917858790951</v>
      </c>
      <c r="N64" s="131"/>
      <c r="O64" s="132">
        <v>3350</v>
      </c>
      <c r="P64" s="133">
        <v>45988</v>
      </c>
      <c r="Q64" s="137">
        <f t="shared" si="3"/>
        <v>396.6082141209049</v>
      </c>
      <c r="R64" s="137"/>
      <c r="S64" s="135">
        <v>45992</v>
      </c>
      <c r="T64" s="136"/>
    </row>
    <row r="65" spans="1:20" ht="15" x14ac:dyDescent="0.2">
      <c r="A65" s="138" t="s">
        <v>446</v>
      </c>
      <c r="B65" s="127" t="s">
        <v>149</v>
      </c>
      <c r="C65" s="127" t="s">
        <v>113</v>
      </c>
      <c r="D65" s="128">
        <v>45679</v>
      </c>
      <c r="E65" s="128">
        <v>45687</v>
      </c>
      <c r="F65" s="129">
        <v>45658</v>
      </c>
      <c r="G65" s="127">
        <v>9</v>
      </c>
      <c r="H65" s="127">
        <v>7</v>
      </c>
      <c r="I65" s="127">
        <v>1</v>
      </c>
      <c r="J65" s="127">
        <v>1</v>
      </c>
      <c r="K65" s="127">
        <v>0</v>
      </c>
      <c r="L65" s="130">
        <f>'📈 היסטוריית שכר'!C19</f>
        <v>744.35</v>
      </c>
      <c r="M65" s="131">
        <f t="shared" si="0"/>
        <v>5210.45</v>
      </c>
      <c r="N65" s="131"/>
      <c r="O65" s="132">
        <v>6992</v>
      </c>
      <c r="P65" s="133">
        <v>45697</v>
      </c>
      <c r="Q65" s="137">
        <f t="shared" si="3"/>
        <v>1781.5500000000002</v>
      </c>
      <c r="R65" s="137"/>
      <c r="S65" s="135">
        <v>45717</v>
      </c>
      <c r="T65" s="136"/>
    </row>
    <row r="66" spans="1:20" ht="15" x14ac:dyDescent="0.2">
      <c r="A66" s="138" t="s">
        <v>446</v>
      </c>
      <c r="B66" s="127" t="s">
        <v>149</v>
      </c>
      <c r="C66" s="127" t="s">
        <v>113</v>
      </c>
      <c r="D66" s="128">
        <v>45769</v>
      </c>
      <c r="E66" s="128">
        <v>45771</v>
      </c>
      <c r="F66" s="129">
        <v>45748</v>
      </c>
      <c r="G66" s="127">
        <v>3</v>
      </c>
      <c r="H66" s="127">
        <v>3</v>
      </c>
      <c r="I66" s="127">
        <v>0</v>
      </c>
      <c r="J66" s="127">
        <v>0</v>
      </c>
      <c r="K66" s="127">
        <v>0</v>
      </c>
      <c r="L66" s="130">
        <v>744.35</v>
      </c>
      <c r="M66" s="131">
        <f t="shared" si="0"/>
        <v>2233.0500000000002</v>
      </c>
      <c r="N66" s="158">
        <v>919</v>
      </c>
      <c r="O66" s="132">
        <v>2297</v>
      </c>
      <c r="P66" s="133">
        <v>45988</v>
      </c>
      <c r="Q66" s="137">
        <f t="shared" ref="Q66:Q72" si="4">O66-M66+N66</f>
        <v>982.94999999999982</v>
      </c>
      <c r="R66" s="137"/>
      <c r="S66" s="135">
        <v>46023</v>
      </c>
      <c r="T66" s="136"/>
    </row>
    <row r="67" spans="1:20" ht="15" x14ac:dyDescent="0.2">
      <c r="A67" s="138" t="s">
        <v>446</v>
      </c>
      <c r="B67" s="127" t="s">
        <v>149</v>
      </c>
      <c r="C67" s="127" t="s">
        <v>113</v>
      </c>
      <c r="D67" s="128">
        <v>45797</v>
      </c>
      <c r="E67" s="128">
        <v>45799</v>
      </c>
      <c r="F67" s="129">
        <v>45778</v>
      </c>
      <c r="G67" s="127">
        <v>3</v>
      </c>
      <c r="H67" s="127">
        <v>3</v>
      </c>
      <c r="I67" s="127">
        <v>0</v>
      </c>
      <c r="J67" s="127">
        <v>0</v>
      </c>
      <c r="K67" s="127">
        <v>0</v>
      </c>
      <c r="L67" s="130">
        <v>744.35</v>
      </c>
      <c r="M67" s="131">
        <f t="shared" si="0"/>
        <v>2233.0500000000002</v>
      </c>
      <c r="N67" s="158">
        <v>1018</v>
      </c>
      <c r="O67" s="132">
        <v>2546</v>
      </c>
      <c r="P67" s="133">
        <v>45988</v>
      </c>
      <c r="Q67" s="137">
        <f t="shared" si="4"/>
        <v>1330.9499999999998</v>
      </c>
      <c r="R67" s="137"/>
      <c r="S67" s="135">
        <v>46023</v>
      </c>
      <c r="T67" s="136"/>
    </row>
    <row r="68" spans="1:20" ht="15" x14ac:dyDescent="0.2">
      <c r="A68" s="138" t="s">
        <v>446</v>
      </c>
      <c r="B68" s="127" t="s">
        <v>149</v>
      </c>
      <c r="C68" s="127" t="s">
        <v>113</v>
      </c>
      <c r="D68" s="128">
        <v>45803</v>
      </c>
      <c r="E68" s="128">
        <v>45807</v>
      </c>
      <c r="F68" s="129">
        <v>45778</v>
      </c>
      <c r="G68" s="127">
        <v>5</v>
      </c>
      <c r="H68" s="127">
        <v>4</v>
      </c>
      <c r="I68" s="127">
        <v>0</v>
      </c>
      <c r="J68" s="127">
        <v>0</v>
      </c>
      <c r="K68" s="127">
        <v>0</v>
      </c>
      <c r="L68" s="130">
        <v>744.35</v>
      </c>
      <c r="M68" s="131">
        <f t="shared" ref="M68:M112" si="5">L68*H68</f>
        <v>2977.4</v>
      </c>
      <c r="N68" s="158">
        <v>1697</v>
      </c>
      <c r="O68" s="132">
        <v>4243</v>
      </c>
      <c r="P68" s="133">
        <v>45988</v>
      </c>
      <c r="Q68" s="137">
        <f t="shared" si="4"/>
        <v>2962.6</v>
      </c>
      <c r="R68" s="137"/>
      <c r="S68" s="135">
        <v>46023</v>
      </c>
      <c r="T68" s="136"/>
    </row>
    <row r="69" spans="1:20" ht="15" x14ac:dyDescent="0.2">
      <c r="A69" s="138" t="s">
        <v>446</v>
      </c>
      <c r="B69" s="127" t="s">
        <v>149</v>
      </c>
      <c r="C69" s="127" t="s">
        <v>113</v>
      </c>
      <c r="D69" s="128">
        <v>45826</v>
      </c>
      <c r="E69" s="128">
        <v>45830</v>
      </c>
      <c r="F69" s="129">
        <v>45809</v>
      </c>
      <c r="G69" s="127">
        <v>5</v>
      </c>
      <c r="H69" s="127">
        <v>3</v>
      </c>
      <c r="I69" s="127">
        <v>1</v>
      </c>
      <c r="J69" s="127">
        <v>1</v>
      </c>
      <c r="K69" s="127">
        <v>0</v>
      </c>
      <c r="L69" s="130">
        <v>744.35</v>
      </c>
      <c r="M69" s="131">
        <f t="shared" si="5"/>
        <v>2233.0500000000002</v>
      </c>
      <c r="N69" s="158">
        <v>1697</v>
      </c>
      <c r="O69" s="132">
        <v>4243</v>
      </c>
      <c r="P69" s="133">
        <v>45988</v>
      </c>
      <c r="Q69" s="137">
        <f t="shared" si="4"/>
        <v>3706.95</v>
      </c>
      <c r="R69" s="137"/>
      <c r="S69" s="135">
        <v>46023</v>
      </c>
      <c r="T69" s="136"/>
    </row>
    <row r="70" spans="1:20" ht="15" x14ac:dyDescent="0.2">
      <c r="A70" s="138" t="s">
        <v>446</v>
      </c>
      <c r="B70" s="127" t="s">
        <v>149</v>
      </c>
      <c r="C70" s="127" t="s">
        <v>113</v>
      </c>
      <c r="D70" s="128">
        <v>45860</v>
      </c>
      <c r="E70" s="128">
        <v>45860</v>
      </c>
      <c r="F70" s="129">
        <v>45839</v>
      </c>
      <c r="G70" s="127">
        <v>1</v>
      </c>
      <c r="H70" s="127">
        <v>1</v>
      </c>
      <c r="I70" s="127">
        <v>0</v>
      </c>
      <c r="J70" s="127">
        <v>0</v>
      </c>
      <c r="K70" s="127">
        <v>0</v>
      </c>
      <c r="L70" s="130">
        <v>744.35</v>
      </c>
      <c r="M70" s="131">
        <f t="shared" si="5"/>
        <v>744.35</v>
      </c>
      <c r="N70" s="131"/>
      <c r="O70" s="132">
        <v>424</v>
      </c>
      <c r="P70" s="133">
        <v>45988</v>
      </c>
      <c r="Q70" s="137">
        <f t="shared" si="4"/>
        <v>-320.35000000000002</v>
      </c>
      <c r="R70" s="137"/>
      <c r="S70" s="135">
        <v>46023</v>
      </c>
      <c r="T70" s="159" t="s">
        <v>601</v>
      </c>
    </row>
    <row r="71" spans="1:20" ht="15" x14ac:dyDescent="0.2">
      <c r="A71" s="138" t="s">
        <v>446</v>
      </c>
      <c r="B71" s="127" t="s">
        <v>149</v>
      </c>
      <c r="C71" s="127" t="s">
        <v>113</v>
      </c>
      <c r="D71" s="128">
        <v>45874</v>
      </c>
      <c r="E71" s="128">
        <v>45876</v>
      </c>
      <c r="F71" s="129">
        <v>45870</v>
      </c>
      <c r="G71" s="127">
        <v>3</v>
      </c>
      <c r="H71" s="127">
        <v>3</v>
      </c>
      <c r="I71" s="127">
        <v>0</v>
      </c>
      <c r="J71" s="127">
        <v>0</v>
      </c>
      <c r="K71" s="127">
        <v>0</v>
      </c>
      <c r="L71" s="130">
        <v>744.35</v>
      </c>
      <c r="M71" s="131">
        <f t="shared" si="5"/>
        <v>2233.0500000000002</v>
      </c>
      <c r="N71" s="131"/>
      <c r="O71" s="132">
        <v>2546</v>
      </c>
      <c r="P71" s="133">
        <v>46054</v>
      </c>
      <c r="Q71" s="137">
        <f t="shared" si="4"/>
        <v>312.94999999999982</v>
      </c>
      <c r="R71" s="137"/>
      <c r="S71" s="135">
        <v>46023</v>
      </c>
      <c r="T71" s="159"/>
    </row>
    <row r="72" spans="1:20" ht="15" x14ac:dyDescent="0.2">
      <c r="A72" s="138" t="s">
        <v>446</v>
      </c>
      <c r="B72" s="127" t="s">
        <v>149</v>
      </c>
      <c r="C72" s="127" t="s">
        <v>113</v>
      </c>
      <c r="D72" s="128">
        <v>45888</v>
      </c>
      <c r="E72" s="128">
        <v>45890</v>
      </c>
      <c r="F72" s="129">
        <v>45870</v>
      </c>
      <c r="G72" s="127">
        <v>3</v>
      </c>
      <c r="H72" s="127">
        <v>3</v>
      </c>
      <c r="I72" s="127">
        <v>0</v>
      </c>
      <c r="J72" s="127">
        <v>0</v>
      </c>
      <c r="K72" s="127">
        <v>0</v>
      </c>
      <c r="L72" s="130">
        <v>744.35</v>
      </c>
      <c r="M72" s="131">
        <f t="shared" si="5"/>
        <v>2233.0500000000002</v>
      </c>
      <c r="N72" s="131"/>
      <c r="O72" s="132">
        <v>2546</v>
      </c>
      <c r="P72" s="133">
        <v>46054</v>
      </c>
      <c r="Q72" s="137">
        <f t="shared" si="4"/>
        <v>312.94999999999982</v>
      </c>
      <c r="R72" s="137"/>
      <c r="S72" s="135">
        <v>46023</v>
      </c>
      <c r="T72" s="159"/>
    </row>
    <row r="73" spans="1:20" ht="15" x14ac:dyDescent="0.2">
      <c r="A73" s="138" t="s">
        <v>441</v>
      </c>
      <c r="B73" s="127" t="s">
        <v>152</v>
      </c>
      <c r="C73" s="127" t="s">
        <v>113</v>
      </c>
      <c r="D73" s="128">
        <v>45664</v>
      </c>
      <c r="E73" s="128">
        <v>45664</v>
      </c>
      <c r="F73" s="129">
        <v>45658</v>
      </c>
      <c r="G73" s="127">
        <v>1</v>
      </c>
      <c r="H73" s="127">
        <v>1</v>
      </c>
      <c r="I73" s="127">
        <v>0</v>
      </c>
      <c r="J73" s="127">
        <v>0</v>
      </c>
      <c r="K73" s="127">
        <v>0</v>
      </c>
      <c r="L73" s="130">
        <f>'📈 היסטוריית שכר'!C20</f>
        <v>845.92</v>
      </c>
      <c r="M73" s="131">
        <f t="shared" si="5"/>
        <v>845.92</v>
      </c>
      <c r="N73" s="131"/>
      <c r="O73" s="132">
        <f>2874/2</f>
        <v>1437</v>
      </c>
      <c r="P73" s="133">
        <v>45697</v>
      </c>
      <c r="Q73" s="137">
        <f>O73-M73</f>
        <v>591.08000000000004</v>
      </c>
      <c r="R73" s="137"/>
      <c r="S73" s="135">
        <v>45717</v>
      </c>
      <c r="T73" s="136"/>
    </row>
    <row r="74" spans="1:20" ht="15" x14ac:dyDescent="0.2">
      <c r="A74" s="138" t="s">
        <v>441</v>
      </c>
      <c r="B74" s="127" t="s">
        <v>152</v>
      </c>
      <c r="C74" s="127" t="s">
        <v>113</v>
      </c>
      <c r="D74" s="128">
        <v>45664</v>
      </c>
      <c r="E74" s="128">
        <v>45664</v>
      </c>
      <c r="F74" s="129">
        <v>45658</v>
      </c>
      <c r="G74" s="127">
        <v>1</v>
      </c>
      <c r="H74" s="127"/>
      <c r="I74" s="127">
        <v>0</v>
      </c>
      <c r="J74" s="127">
        <v>0</v>
      </c>
      <c r="K74" s="127">
        <v>0</v>
      </c>
      <c r="L74" s="130">
        <v>845.92</v>
      </c>
      <c r="M74" s="131">
        <f t="shared" si="5"/>
        <v>0</v>
      </c>
      <c r="N74" s="131">
        <v>575</v>
      </c>
      <c r="O74" s="132"/>
      <c r="P74" s="133">
        <v>45775</v>
      </c>
      <c r="Q74" s="137">
        <f>N74-M74</f>
        <v>575</v>
      </c>
      <c r="R74" s="137"/>
      <c r="S74" s="135">
        <v>45717</v>
      </c>
      <c r="T74" s="136"/>
    </row>
    <row r="75" spans="1:20" ht="15" x14ac:dyDescent="0.2">
      <c r="A75" s="138" t="s">
        <v>441</v>
      </c>
      <c r="B75" s="127" t="s">
        <v>152</v>
      </c>
      <c r="C75" s="127" t="s">
        <v>113</v>
      </c>
      <c r="D75" s="128">
        <v>45673</v>
      </c>
      <c r="E75" s="128">
        <v>45673</v>
      </c>
      <c r="F75" s="129">
        <v>45658</v>
      </c>
      <c r="G75" s="127">
        <v>1</v>
      </c>
      <c r="H75" s="127">
        <v>1</v>
      </c>
      <c r="I75" s="127">
        <v>0</v>
      </c>
      <c r="J75" s="127">
        <v>0</v>
      </c>
      <c r="K75" s="127">
        <v>0</v>
      </c>
      <c r="L75" s="130">
        <v>845.92</v>
      </c>
      <c r="M75" s="131">
        <f t="shared" si="5"/>
        <v>845.92</v>
      </c>
      <c r="N75" s="131"/>
      <c r="O75" s="132">
        <f>2874/2</f>
        <v>1437</v>
      </c>
      <c r="P75" s="133">
        <v>45697</v>
      </c>
      <c r="Q75" s="137">
        <f>O75-M75</f>
        <v>591.08000000000004</v>
      </c>
      <c r="R75" s="137"/>
      <c r="S75" s="135">
        <v>45717</v>
      </c>
      <c r="T75" s="136"/>
    </row>
    <row r="76" spans="1:20" ht="15" x14ac:dyDescent="0.2">
      <c r="A76" s="138" t="s">
        <v>441</v>
      </c>
      <c r="B76" s="127" t="s">
        <v>152</v>
      </c>
      <c r="C76" s="127" t="s">
        <v>113</v>
      </c>
      <c r="D76" s="128">
        <v>45673</v>
      </c>
      <c r="E76" s="128">
        <v>45673</v>
      </c>
      <c r="F76" s="129">
        <v>45658</v>
      </c>
      <c r="G76" s="127">
        <v>1</v>
      </c>
      <c r="H76" s="127"/>
      <c r="I76" s="127">
        <v>0</v>
      </c>
      <c r="J76" s="127">
        <v>0</v>
      </c>
      <c r="K76" s="127">
        <v>0</v>
      </c>
      <c r="L76" s="130">
        <v>845.92</v>
      </c>
      <c r="M76" s="131">
        <f t="shared" si="5"/>
        <v>0</v>
      </c>
      <c r="N76" s="131">
        <v>575</v>
      </c>
      <c r="O76" s="132"/>
      <c r="P76" s="133">
        <v>45775</v>
      </c>
      <c r="Q76" s="137">
        <f>N76-M76</f>
        <v>575</v>
      </c>
      <c r="R76" s="137"/>
      <c r="S76" s="135">
        <v>45717</v>
      </c>
      <c r="T76" s="136"/>
    </row>
    <row r="77" spans="1:20" ht="15" x14ac:dyDescent="0.2">
      <c r="A77" s="138" t="s">
        <v>441</v>
      </c>
      <c r="B77" s="127" t="s">
        <v>152</v>
      </c>
      <c r="C77" s="127" t="s">
        <v>113</v>
      </c>
      <c r="D77" s="128">
        <v>45712</v>
      </c>
      <c r="E77" s="128">
        <v>45716</v>
      </c>
      <c r="F77" s="129">
        <v>45689</v>
      </c>
      <c r="G77" s="127">
        <v>5</v>
      </c>
      <c r="H77" s="127">
        <v>4</v>
      </c>
      <c r="I77" s="127">
        <v>1</v>
      </c>
      <c r="J77" s="127">
        <v>0</v>
      </c>
      <c r="K77" s="127">
        <v>0</v>
      </c>
      <c r="L77" s="130">
        <v>845.92</v>
      </c>
      <c r="M77" s="131">
        <f t="shared" si="5"/>
        <v>3383.68</v>
      </c>
      <c r="N77" s="131"/>
      <c r="O77" s="132">
        <v>7184</v>
      </c>
      <c r="P77" s="133">
        <v>45770</v>
      </c>
      <c r="Q77" s="137">
        <f>O77-M77</f>
        <v>3800.32</v>
      </c>
      <c r="R77" s="137"/>
      <c r="S77" s="135">
        <v>46023</v>
      </c>
      <c r="T77" s="136"/>
    </row>
    <row r="78" spans="1:20" ht="15" x14ac:dyDescent="0.2">
      <c r="A78" s="138" t="s">
        <v>441</v>
      </c>
      <c r="B78" s="127" t="s">
        <v>152</v>
      </c>
      <c r="C78" s="127" t="s">
        <v>113</v>
      </c>
      <c r="D78" s="128">
        <v>45735</v>
      </c>
      <c r="E78" s="128">
        <v>45736</v>
      </c>
      <c r="F78" s="129">
        <v>45717</v>
      </c>
      <c r="G78" s="127">
        <v>2</v>
      </c>
      <c r="H78" s="127">
        <v>2</v>
      </c>
      <c r="I78" s="127">
        <v>0</v>
      </c>
      <c r="J78" s="127">
        <v>0</v>
      </c>
      <c r="K78" s="127">
        <v>0</v>
      </c>
      <c r="L78" s="130">
        <v>845.92</v>
      </c>
      <c r="M78" s="131">
        <f t="shared" si="5"/>
        <v>1691.84</v>
      </c>
      <c r="N78" s="131"/>
      <c r="O78" s="132">
        <v>2873</v>
      </c>
      <c r="P78" s="133">
        <v>45770</v>
      </c>
      <c r="Q78" s="137">
        <f>O78-M78</f>
        <v>1181.1600000000001</v>
      </c>
      <c r="R78" s="137"/>
      <c r="S78" s="135">
        <v>46023</v>
      </c>
      <c r="T78" s="136"/>
    </row>
    <row r="79" spans="1:20" ht="15" x14ac:dyDescent="0.2">
      <c r="A79" s="138" t="s">
        <v>441</v>
      </c>
      <c r="B79" s="127" t="s">
        <v>152</v>
      </c>
      <c r="C79" s="127" t="s">
        <v>113</v>
      </c>
      <c r="D79" s="128">
        <v>45735</v>
      </c>
      <c r="E79" s="128">
        <v>45736</v>
      </c>
      <c r="F79" s="129">
        <v>45717</v>
      </c>
      <c r="G79" s="127">
        <v>2</v>
      </c>
      <c r="H79" s="127"/>
      <c r="I79" s="127">
        <v>0</v>
      </c>
      <c r="J79" s="127">
        <v>0</v>
      </c>
      <c r="K79" s="127">
        <v>0</v>
      </c>
      <c r="L79" s="130">
        <v>845.92</v>
      </c>
      <c r="M79" s="131">
        <f t="shared" si="5"/>
        <v>0</v>
      </c>
      <c r="N79" s="131">
        <v>1149</v>
      </c>
      <c r="O79" s="132"/>
      <c r="P79" s="133">
        <v>45834</v>
      </c>
      <c r="Q79" s="137">
        <f>N79-M79</f>
        <v>1149</v>
      </c>
      <c r="R79" s="137"/>
      <c r="S79" s="135">
        <v>46023</v>
      </c>
      <c r="T79" s="136"/>
    </row>
    <row r="80" spans="1:20" ht="15" x14ac:dyDescent="0.2">
      <c r="A80" s="138" t="s">
        <v>441</v>
      </c>
      <c r="B80" s="127" t="s">
        <v>152</v>
      </c>
      <c r="C80" s="127" t="s">
        <v>113</v>
      </c>
      <c r="D80" s="128">
        <v>45742</v>
      </c>
      <c r="E80" s="128">
        <v>45742</v>
      </c>
      <c r="F80" s="129">
        <v>45717</v>
      </c>
      <c r="G80" s="127">
        <v>1</v>
      </c>
      <c r="H80" s="127">
        <v>1</v>
      </c>
      <c r="I80" s="127">
        <v>0</v>
      </c>
      <c r="J80" s="127">
        <v>0</v>
      </c>
      <c r="K80" s="127">
        <v>0</v>
      </c>
      <c r="L80" s="130">
        <v>845.92</v>
      </c>
      <c r="M80" s="131">
        <f t="shared" si="5"/>
        <v>845.92</v>
      </c>
      <c r="N80" s="131"/>
      <c r="O80" s="132">
        <v>1437</v>
      </c>
      <c r="P80" s="133">
        <v>45770</v>
      </c>
      <c r="Q80" s="137">
        <f>O80-M80</f>
        <v>591.08000000000004</v>
      </c>
      <c r="R80" s="137"/>
      <c r="S80" s="135">
        <v>46023</v>
      </c>
      <c r="T80" s="136"/>
    </row>
    <row r="81" spans="1:20" ht="15" x14ac:dyDescent="0.2">
      <c r="A81" s="138" t="s">
        <v>441</v>
      </c>
      <c r="B81" s="127" t="s">
        <v>152</v>
      </c>
      <c r="C81" s="127" t="s">
        <v>113</v>
      </c>
      <c r="D81" s="128">
        <v>45742</v>
      </c>
      <c r="E81" s="128">
        <v>45742</v>
      </c>
      <c r="F81" s="129">
        <v>45717</v>
      </c>
      <c r="G81" s="127">
        <v>1</v>
      </c>
      <c r="H81" s="127">
        <v>0</v>
      </c>
      <c r="I81" s="127">
        <v>0</v>
      </c>
      <c r="J81" s="127">
        <v>0</v>
      </c>
      <c r="K81" s="127">
        <v>0</v>
      </c>
      <c r="L81" s="130">
        <v>845.92</v>
      </c>
      <c r="M81" s="131">
        <f t="shared" si="5"/>
        <v>0</v>
      </c>
      <c r="N81" s="131">
        <v>575</v>
      </c>
      <c r="O81" s="132"/>
      <c r="P81" s="133">
        <v>45834</v>
      </c>
      <c r="Q81" s="137">
        <f>N81-M81</f>
        <v>575</v>
      </c>
      <c r="R81" s="137"/>
      <c r="S81" s="135">
        <v>46023</v>
      </c>
      <c r="T81" s="136"/>
    </row>
    <row r="82" spans="1:20" ht="15" x14ac:dyDescent="0.2">
      <c r="A82" s="138" t="s">
        <v>441</v>
      </c>
      <c r="B82" s="127" t="s">
        <v>152</v>
      </c>
      <c r="C82" s="127" t="s">
        <v>113</v>
      </c>
      <c r="D82" s="128">
        <v>45749</v>
      </c>
      <c r="E82" s="128">
        <v>45749</v>
      </c>
      <c r="F82" s="129">
        <v>45748</v>
      </c>
      <c r="G82" s="127">
        <v>1</v>
      </c>
      <c r="H82" s="127">
        <v>1</v>
      </c>
      <c r="I82" s="127">
        <v>0</v>
      </c>
      <c r="J82" s="127">
        <v>0</v>
      </c>
      <c r="K82" s="127">
        <v>0</v>
      </c>
      <c r="L82" s="130">
        <v>845.92</v>
      </c>
      <c r="M82" s="131">
        <f t="shared" si="5"/>
        <v>845.92</v>
      </c>
      <c r="N82" s="131"/>
      <c r="O82" s="132">
        <v>1437</v>
      </c>
      <c r="P82" s="133">
        <v>45877</v>
      </c>
      <c r="Q82" s="137">
        <f t="shared" ref="Q82:Q91" si="6">O82-M82</f>
        <v>591.08000000000004</v>
      </c>
      <c r="R82" s="137"/>
      <c r="S82" s="135">
        <v>45931</v>
      </c>
      <c r="T82" s="136"/>
    </row>
    <row r="83" spans="1:20" ht="15" x14ac:dyDescent="0.2">
      <c r="A83" s="138" t="s">
        <v>441</v>
      </c>
      <c r="B83" s="127" t="s">
        <v>152</v>
      </c>
      <c r="C83" s="127" t="s">
        <v>113</v>
      </c>
      <c r="D83" s="128">
        <v>45755</v>
      </c>
      <c r="E83" s="128">
        <v>45755</v>
      </c>
      <c r="F83" s="129">
        <v>45748</v>
      </c>
      <c r="G83" s="127">
        <v>1</v>
      </c>
      <c r="H83" s="127">
        <v>1</v>
      </c>
      <c r="I83" s="127">
        <v>0</v>
      </c>
      <c r="J83" s="127">
        <v>0</v>
      </c>
      <c r="K83" s="127">
        <v>0</v>
      </c>
      <c r="L83" s="130">
        <v>845.92</v>
      </c>
      <c r="M83" s="131">
        <f t="shared" si="5"/>
        <v>845.92</v>
      </c>
      <c r="N83" s="131"/>
      <c r="O83" s="132">
        <v>1437</v>
      </c>
      <c r="P83" s="133">
        <v>45877</v>
      </c>
      <c r="Q83" s="137">
        <f t="shared" si="6"/>
        <v>591.08000000000004</v>
      </c>
      <c r="R83" s="137"/>
      <c r="S83" s="135">
        <v>45931</v>
      </c>
      <c r="T83" s="136"/>
    </row>
    <row r="84" spans="1:20" ht="15" x14ac:dyDescent="0.2">
      <c r="A84" s="138" t="s">
        <v>441</v>
      </c>
      <c r="B84" s="127" t="s">
        <v>152</v>
      </c>
      <c r="C84" s="127" t="s">
        <v>113</v>
      </c>
      <c r="D84" s="128">
        <v>45781</v>
      </c>
      <c r="E84" s="128">
        <v>45781</v>
      </c>
      <c r="F84" s="129">
        <v>45778</v>
      </c>
      <c r="G84" s="127">
        <v>1</v>
      </c>
      <c r="H84" s="127">
        <v>1</v>
      </c>
      <c r="I84" s="127">
        <v>0</v>
      </c>
      <c r="J84" s="127">
        <v>0</v>
      </c>
      <c r="K84" s="127">
        <v>0</v>
      </c>
      <c r="L84" s="130">
        <v>845.92</v>
      </c>
      <c r="M84" s="131">
        <f t="shared" si="5"/>
        <v>845.92</v>
      </c>
      <c r="N84" s="131"/>
      <c r="O84" s="132">
        <v>891</v>
      </c>
      <c r="P84" s="133">
        <v>45877</v>
      </c>
      <c r="Q84" s="137">
        <f t="shared" si="6"/>
        <v>45.080000000000041</v>
      </c>
      <c r="R84" s="137"/>
      <c r="S84" s="135">
        <v>45931</v>
      </c>
      <c r="T84" s="136"/>
    </row>
    <row r="85" spans="1:20" ht="15" x14ac:dyDescent="0.2">
      <c r="A85" s="138" t="s">
        <v>441</v>
      </c>
      <c r="B85" s="127" t="s">
        <v>152</v>
      </c>
      <c r="C85" s="127" t="s">
        <v>113</v>
      </c>
      <c r="D85" s="128">
        <v>45784</v>
      </c>
      <c r="E85" s="128">
        <v>45784</v>
      </c>
      <c r="F85" s="129">
        <v>45778</v>
      </c>
      <c r="G85" s="127">
        <v>1</v>
      </c>
      <c r="H85" s="127">
        <v>1</v>
      </c>
      <c r="I85" s="127">
        <v>0</v>
      </c>
      <c r="J85" s="127">
        <v>0</v>
      </c>
      <c r="K85" s="127">
        <v>0</v>
      </c>
      <c r="L85" s="130">
        <v>845.92</v>
      </c>
      <c r="M85" s="131">
        <f t="shared" si="5"/>
        <v>845.92</v>
      </c>
      <c r="N85" s="131"/>
      <c r="O85" s="132">
        <v>891</v>
      </c>
      <c r="P85" s="133">
        <v>45877</v>
      </c>
      <c r="Q85" s="137">
        <f t="shared" si="6"/>
        <v>45.080000000000041</v>
      </c>
      <c r="R85" s="137"/>
      <c r="S85" s="135">
        <v>45931</v>
      </c>
      <c r="T85" s="136"/>
    </row>
    <row r="86" spans="1:20" ht="15" x14ac:dyDescent="0.2">
      <c r="A86" s="138" t="s">
        <v>441</v>
      </c>
      <c r="B86" s="127" t="s">
        <v>152</v>
      </c>
      <c r="C86" s="127" t="s">
        <v>113</v>
      </c>
      <c r="D86" s="128">
        <v>45789</v>
      </c>
      <c r="E86" s="128">
        <v>45789</v>
      </c>
      <c r="F86" s="129">
        <v>45778</v>
      </c>
      <c r="G86" s="127">
        <v>1</v>
      </c>
      <c r="H86" s="127">
        <v>1</v>
      </c>
      <c r="I86" s="127">
        <v>0</v>
      </c>
      <c r="J86" s="127">
        <v>0</v>
      </c>
      <c r="K86" s="127">
        <v>0</v>
      </c>
      <c r="L86" s="130">
        <v>845.92</v>
      </c>
      <c r="M86" s="131">
        <f t="shared" si="5"/>
        <v>845.92</v>
      </c>
      <c r="N86" s="131"/>
      <c r="O86" s="132">
        <v>891</v>
      </c>
      <c r="P86" s="133">
        <v>45877</v>
      </c>
      <c r="Q86" s="137">
        <f t="shared" si="6"/>
        <v>45.080000000000041</v>
      </c>
      <c r="R86" s="137"/>
      <c r="S86" s="135">
        <v>45931</v>
      </c>
      <c r="T86" s="136"/>
    </row>
    <row r="87" spans="1:20" ht="15" x14ac:dyDescent="0.2">
      <c r="A87" s="138" t="s">
        <v>441</v>
      </c>
      <c r="B87" s="127" t="s">
        <v>152</v>
      </c>
      <c r="C87" s="127" t="s">
        <v>113</v>
      </c>
      <c r="D87" s="128">
        <v>45801</v>
      </c>
      <c r="E87" s="128">
        <v>45801</v>
      </c>
      <c r="F87" s="129">
        <v>45778</v>
      </c>
      <c r="G87" s="127">
        <v>1</v>
      </c>
      <c r="H87" s="127">
        <v>1</v>
      </c>
      <c r="I87" s="127">
        <v>0</v>
      </c>
      <c r="J87" s="127">
        <v>0</v>
      </c>
      <c r="K87" s="127">
        <v>0</v>
      </c>
      <c r="L87" s="130">
        <v>845.92</v>
      </c>
      <c r="M87" s="131">
        <f t="shared" si="5"/>
        <v>845.92</v>
      </c>
      <c r="N87" s="131"/>
      <c r="O87" s="132">
        <v>891</v>
      </c>
      <c r="P87" s="133">
        <v>45877</v>
      </c>
      <c r="Q87" s="137">
        <f t="shared" si="6"/>
        <v>45.080000000000041</v>
      </c>
      <c r="R87" s="137"/>
      <c r="S87" s="135">
        <v>45931</v>
      </c>
      <c r="T87" s="136"/>
    </row>
    <row r="88" spans="1:20" ht="15" x14ac:dyDescent="0.2">
      <c r="A88" s="138" t="s">
        <v>441</v>
      </c>
      <c r="B88" s="127" t="s">
        <v>152</v>
      </c>
      <c r="C88" s="127" t="s">
        <v>113</v>
      </c>
      <c r="D88" s="133">
        <v>45802</v>
      </c>
      <c r="E88" s="133">
        <v>45808</v>
      </c>
      <c r="F88" s="129">
        <v>45778</v>
      </c>
      <c r="G88" s="127">
        <v>7</v>
      </c>
      <c r="H88" s="127">
        <v>5</v>
      </c>
      <c r="I88" s="127">
        <v>1</v>
      </c>
      <c r="J88" s="127">
        <v>1</v>
      </c>
      <c r="K88" s="127">
        <v>0</v>
      </c>
      <c r="L88" s="130">
        <v>845.92</v>
      </c>
      <c r="M88" s="131">
        <f t="shared" si="5"/>
        <v>4229.5999999999995</v>
      </c>
      <c r="N88" s="131"/>
      <c r="O88" s="160">
        <v>6234</v>
      </c>
      <c r="P88" s="133">
        <v>45877</v>
      </c>
      <c r="Q88" s="137">
        <f t="shared" si="6"/>
        <v>2004.4000000000005</v>
      </c>
      <c r="R88" s="137"/>
      <c r="S88" s="135">
        <v>45931</v>
      </c>
      <c r="T88" s="136"/>
    </row>
    <row r="89" spans="1:20" ht="15" x14ac:dyDescent="0.2">
      <c r="A89" s="138" t="s">
        <v>441</v>
      </c>
      <c r="B89" s="127" t="s">
        <v>152</v>
      </c>
      <c r="C89" s="127" t="s">
        <v>113</v>
      </c>
      <c r="D89" s="133">
        <v>45809</v>
      </c>
      <c r="E89" s="133">
        <v>45838</v>
      </c>
      <c r="F89" s="129">
        <v>45809</v>
      </c>
      <c r="G89" s="127">
        <v>30</v>
      </c>
      <c r="H89" s="127">
        <v>22</v>
      </c>
      <c r="I89" s="127">
        <v>4</v>
      </c>
      <c r="J89" s="127">
        <v>4</v>
      </c>
      <c r="K89" s="127">
        <v>0</v>
      </c>
      <c r="L89" s="130">
        <v>845.92</v>
      </c>
      <c r="M89" s="131">
        <f t="shared" si="5"/>
        <v>18610.239999999998</v>
      </c>
      <c r="N89" s="131"/>
      <c r="O89" s="160">
        <v>26717</v>
      </c>
      <c r="P89" s="133">
        <v>45877</v>
      </c>
      <c r="Q89" s="137">
        <f t="shared" si="6"/>
        <v>8106.760000000002</v>
      </c>
      <c r="R89" s="137"/>
      <c r="S89" s="135">
        <v>45931</v>
      </c>
      <c r="T89" s="136"/>
    </row>
    <row r="90" spans="1:20" ht="15" x14ac:dyDescent="0.2">
      <c r="A90" s="138" t="s">
        <v>441</v>
      </c>
      <c r="B90" s="127" t="s">
        <v>152</v>
      </c>
      <c r="C90" s="127" t="s">
        <v>113</v>
      </c>
      <c r="D90" s="133">
        <v>45839</v>
      </c>
      <c r="E90" s="133">
        <v>45869</v>
      </c>
      <c r="F90" s="129">
        <v>45839</v>
      </c>
      <c r="G90" s="127">
        <v>31</v>
      </c>
      <c r="H90" s="127">
        <v>23</v>
      </c>
      <c r="I90" s="127">
        <v>4</v>
      </c>
      <c r="J90" s="127">
        <v>4</v>
      </c>
      <c r="K90" s="127">
        <v>0</v>
      </c>
      <c r="L90" s="130">
        <v>845.92</v>
      </c>
      <c r="M90" s="131">
        <f t="shared" si="5"/>
        <v>19456.16</v>
      </c>
      <c r="N90" s="131"/>
      <c r="O90" s="160">
        <v>27607</v>
      </c>
      <c r="P90" s="133">
        <v>45877</v>
      </c>
      <c r="Q90" s="137">
        <f t="shared" si="6"/>
        <v>8150.84</v>
      </c>
      <c r="R90" s="137"/>
      <c r="S90" s="135">
        <v>45931</v>
      </c>
      <c r="T90" s="136"/>
    </row>
    <row r="91" spans="1:20" ht="15" x14ac:dyDescent="0.2">
      <c r="A91" s="138" t="s">
        <v>443</v>
      </c>
      <c r="B91" s="127" t="s">
        <v>155</v>
      </c>
      <c r="C91" s="127" t="s">
        <v>113</v>
      </c>
      <c r="D91" s="128">
        <v>45666</v>
      </c>
      <c r="E91" s="128">
        <v>45666</v>
      </c>
      <c r="F91" s="129">
        <v>45658</v>
      </c>
      <c r="G91" s="127">
        <v>1</v>
      </c>
      <c r="H91" s="127">
        <v>1</v>
      </c>
      <c r="I91" s="127">
        <v>0</v>
      </c>
      <c r="J91" s="127">
        <v>0</v>
      </c>
      <c r="K91" s="127">
        <v>0</v>
      </c>
      <c r="L91" s="130">
        <f>'📈 היסטוריית שכר'!C22</f>
        <v>868.68</v>
      </c>
      <c r="M91" s="131">
        <f t="shared" si="5"/>
        <v>868.68</v>
      </c>
      <c r="N91" s="131"/>
      <c r="O91" s="132">
        <v>763</v>
      </c>
      <c r="P91" s="133">
        <v>45708</v>
      </c>
      <c r="Q91" s="134">
        <f t="shared" si="6"/>
        <v>-105.67999999999995</v>
      </c>
      <c r="R91" s="134"/>
      <c r="S91" s="135">
        <v>45717</v>
      </c>
      <c r="T91" s="136"/>
    </row>
    <row r="92" spans="1:20" ht="15" x14ac:dyDescent="0.2">
      <c r="A92" s="138" t="s">
        <v>443</v>
      </c>
      <c r="B92" s="127" t="s">
        <v>155</v>
      </c>
      <c r="C92" s="127" t="s">
        <v>113</v>
      </c>
      <c r="D92" s="128">
        <v>45666</v>
      </c>
      <c r="E92" s="128">
        <v>45666</v>
      </c>
      <c r="F92" s="129">
        <v>45658</v>
      </c>
      <c r="G92" s="127">
        <v>1</v>
      </c>
      <c r="H92" s="127"/>
      <c r="I92" s="127">
        <v>0</v>
      </c>
      <c r="J92" s="127">
        <v>0</v>
      </c>
      <c r="K92" s="127">
        <v>0</v>
      </c>
      <c r="L92" s="130">
        <v>868.68</v>
      </c>
      <c r="M92" s="131">
        <f t="shared" si="5"/>
        <v>0</v>
      </c>
      <c r="N92" s="131">
        <v>305</v>
      </c>
      <c r="O92" s="132">
        <v>763</v>
      </c>
      <c r="P92" s="133">
        <v>45775</v>
      </c>
      <c r="Q92" s="137">
        <f>N92-M92</f>
        <v>305</v>
      </c>
      <c r="R92" s="137"/>
      <c r="S92" s="136"/>
      <c r="T92" s="136" t="s">
        <v>592</v>
      </c>
    </row>
    <row r="93" spans="1:20" ht="15" x14ac:dyDescent="0.2">
      <c r="A93" s="138" t="s">
        <v>443</v>
      </c>
      <c r="B93" s="127" t="s">
        <v>155</v>
      </c>
      <c r="C93" s="127" t="s">
        <v>113</v>
      </c>
      <c r="D93" s="128">
        <v>45686</v>
      </c>
      <c r="E93" s="128">
        <v>45687</v>
      </c>
      <c r="F93" s="129">
        <v>45658</v>
      </c>
      <c r="G93" s="127">
        <v>2</v>
      </c>
      <c r="H93" s="127">
        <v>2</v>
      </c>
      <c r="I93" s="127">
        <v>0</v>
      </c>
      <c r="J93" s="127">
        <v>0</v>
      </c>
      <c r="K93" s="127">
        <v>0</v>
      </c>
      <c r="L93" s="130">
        <v>868.68</v>
      </c>
      <c r="M93" s="131">
        <f t="shared" si="5"/>
        <v>1737.36</v>
      </c>
      <c r="N93" s="131"/>
      <c r="O93" s="132">
        <v>2137</v>
      </c>
      <c r="P93" s="133">
        <v>45700</v>
      </c>
      <c r="Q93" s="137">
        <f t="shared" ref="Q93:Q115" si="7">O93-M93</f>
        <v>399.6400000000001</v>
      </c>
      <c r="R93" s="137"/>
      <c r="S93" s="135">
        <v>45717</v>
      </c>
      <c r="T93" s="136" t="s">
        <v>592</v>
      </c>
    </row>
    <row r="94" spans="1:20" ht="15" x14ac:dyDescent="0.2">
      <c r="A94" s="138" t="s">
        <v>443</v>
      </c>
      <c r="B94" s="127" t="s">
        <v>155</v>
      </c>
      <c r="C94" s="127" t="s">
        <v>113</v>
      </c>
      <c r="D94" s="128">
        <v>45711</v>
      </c>
      <c r="E94" s="128">
        <v>45711</v>
      </c>
      <c r="F94" s="129">
        <v>45689</v>
      </c>
      <c r="G94" s="127">
        <v>1</v>
      </c>
      <c r="H94" s="127">
        <v>0</v>
      </c>
      <c r="I94" s="127">
        <v>0</v>
      </c>
      <c r="J94" s="127">
        <v>1</v>
      </c>
      <c r="K94" s="127">
        <v>0</v>
      </c>
      <c r="L94" s="130">
        <v>868.68</v>
      </c>
      <c r="M94" s="131">
        <f t="shared" si="5"/>
        <v>0</v>
      </c>
      <c r="N94" s="131"/>
      <c r="O94" s="132">
        <v>1107</v>
      </c>
      <c r="P94" s="133">
        <v>45770</v>
      </c>
      <c r="Q94" s="137">
        <f t="shared" si="7"/>
        <v>1107</v>
      </c>
      <c r="R94" s="137"/>
      <c r="S94" s="136"/>
      <c r="T94" s="136" t="s">
        <v>592</v>
      </c>
    </row>
    <row r="95" spans="1:20" ht="15" x14ac:dyDescent="0.2">
      <c r="A95" s="138" t="s">
        <v>443</v>
      </c>
      <c r="B95" s="127" t="s">
        <v>155</v>
      </c>
      <c r="C95" s="127" t="s">
        <v>113</v>
      </c>
      <c r="D95" s="128">
        <v>45714</v>
      </c>
      <c r="E95" s="128">
        <v>45714</v>
      </c>
      <c r="F95" s="129">
        <v>45689</v>
      </c>
      <c r="G95" s="127">
        <v>1</v>
      </c>
      <c r="H95" s="127">
        <v>1</v>
      </c>
      <c r="I95" s="127">
        <v>0</v>
      </c>
      <c r="J95" s="127">
        <v>0</v>
      </c>
      <c r="K95" s="127">
        <v>0</v>
      </c>
      <c r="L95" s="130">
        <v>868.68</v>
      </c>
      <c r="M95" s="131">
        <f t="shared" si="5"/>
        <v>868.68</v>
      </c>
      <c r="N95" s="131"/>
      <c r="O95" s="132">
        <v>1107</v>
      </c>
      <c r="P95" s="133">
        <v>46054</v>
      </c>
      <c r="Q95" s="137">
        <f t="shared" si="7"/>
        <v>238.32000000000005</v>
      </c>
      <c r="R95" s="134"/>
      <c r="S95" s="136"/>
      <c r="T95" s="136" t="s">
        <v>592</v>
      </c>
    </row>
    <row r="96" spans="1:20" ht="15" x14ac:dyDescent="0.2">
      <c r="A96" s="161" t="s">
        <v>443</v>
      </c>
      <c r="B96" s="162" t="s">
        <v>155</v>
      </c>
      <c r="C96" s="162" t="s">
        <v>113</v>
      </c>
      <c r="D96" s="163">
        <v>45774</v>
      </c>
      <c r="E96" s="163">
        <v>45774</v>
      </c>
      <c r="F96" s="164">
        <v>45748</v>
      </c>
      <c r="G96" s="162">
        <v>1</v>
      </c>
      <c r="H96" s="162">
        <v>1</v>
      </c>
      <c r="I96" s="162">
        <v>0</v>
      </c>
      <c r="J96" s="162">
        <v>0</v>
      </c>
      <c r="K96" s="162">
        <v>0</v>
      </c>
      <c r="L96" s="130">
        <v>868.68</v>
      </c>
      <c r="M96" s="131">
        <f t="shared" si="5"/>
        <v>868.68</v>
      </c>
      <c r="N96" s="131"/>
      <c r="O96" s="132">
        <v>1138</v>
      </c>
      <c r="P96" s="133">
        <v>46054</v>
      </c>
      <c r="Q96" s="137">
        <f t="shared" si="7"/>
        <v>269.32000000000005</v>
      </c>
      <c r="R96" s="134"/>
      <c r="S96" s="136"/>
      <c r="T96" s="136" t="s">
        <v>592</v>
      </c>
    </row>
    <row r="97" spans="1:20" ht="15" x14ac:dyDescent="0.2">
      <c r="A97" s="138" t="s">
        <v>443</v>
      </c>
      <c r="B97" s="127" t="s">
        <v>155</v>
      </c>
      <c r="C97" s="127" t="s">
        <v>113</v>
      </c>
      <c r="D97" s="128">
        <v>45721</v>
      </c>
      <c r="E97" s="128">
        <v>45721</v>
      </c>
      <c r="F97" s="129">
        <v>45717</v>
      </c>
      <c r="G97" s="127">
        <v>1</v>
      </c>
      <c r="H97" s="127">
        <v>1</v>
      </c>
      <c r="I97" s="127">
        <v>0</v>
      </c>
      <c r="J97" s="127">
        <v>0</v>
      </c>
      <c r="K97" s="127">
        <v>0</v>
      </c>
      <c r="L97" s="130">
        <v>868.68</v>
      </c>
      <c r="M97" s="131">
        <f t="shared" si="5"/>
        <v>868.68</v>
      </c>
      <c r="N97" s="131"/>
      <c r="O97" s="132">
        <v>1136</v>
      </c>
      <c r="P97" s="133">
        <v>45877</v>
      </c>
      <c r="Q97" s="137">
        <f t="shared" si="7"/>
        <v>267.32000000000005</v>
      </c>
      <c r="R97" s="137"/>
      <c r="S97" s="136"/>
      <c r="T97" s="136" t="s">
        <v>592</v>
      </c>
    </row>
    <row r="98" spans="1:20" ht="15" x14ac:dyDescent="0.2">
      <c r="A98" s="138" t="s">
        <v>443</v>
      </c>
      <c r="B98" s="127" t="s">
        <v>155</v>
      </c>
      <c r="C98" s="127" t="s">
        <v>113</v>
      </c>
      <c r="D98" s="128">
        <v>45740</v>
      </c>
      <c r="E98" s="128">
        <v>45741</v>
      </c>
      <c r="F98" s="129">
        <v>45717</v>
      </c>
      <c r="G98" s="127">
        <v>2</v>
      </c>
      <c r="H98" s="127">
        <v>2</v>
      </c>
      <c r="I98" s="127">
        <v>0</v>
      </c>
      <c r="J98" s="127">
        <v>0</v>
      </c>
      <c r="K98" s="127">
        <v>0</v>
      </c>
      <c r="L98" s="130">
        <v>868.68</v>
      </c>
      <c r="M98" s="131">
        <f t="shared" si="5"/>
        <v>1737.36</v>
      </c>
      <c r="N98" s="131"/>
      <c r="O98" s="132">
        <v>2273</v>
      </c>
      <c r="P98" s="133">
        <v>45877</v>
      </c>
      <c r="Q98" s="137">
        <f t="shared" si="7"/>
        <v>535.6400000000001</v>
      </c>
      <c r="R98" s="137"/>
      <c r="S98" s="136"/>
      <c r="T98" s="136" t="s">
        <v>592</v>
      </c>
    </row>
    <row r="99" spans="1:20" ht="15" x14ac:dyDescent="0.2">
      <c r="A99" s="138" t="s">
        <v>443</v>
      </c>
      <c r="B99" s="127" t="s">
        <v>155</v>
      </c>
      <c r="C99" s="127" t="s">
        <v>113</v>
      </c>
      <c r="D99" s="128">
        <v>45743</v>
      </c>
      <c r="E99" s="128">
        <v>45743</v>
      </c>
      <c r="F99" s="129">
        <v>45717</v>
      </c>
      <c r="G99" s="127">
        <v>1</v>
      </c>
      <c r="H99" s="127">
        <v>1</v>
      </c>
      <c r="I99" s="127">
        <v>0</v>
      </c>
      <c r="J99" s="127">
        <v>0</v>
      </c>
      <c r="K99" s="127">
        <v>0</v>
      </c>
      <c r="L99" s="130">
        <v>868.68</v>
      </c>
      <c r="M99" s="131">
        <f t="shared" si="5"/>
        <v>868.68</v>
      </c>
      <c r="N99" s="131"/>
      <c r="O99" s="132">
        <v>1136</v>
      </c>
      <c r="P99" s="133">
        <v>45877</v>
      </c>
      <c r="Q99" s="137">
        <f t="shared" si="7"/>
        <v>267.32000000000005</v>
      </c>
      <c r="R99" s="137"/>
      <c r="S99" s="136"/>
      <c r="T99" s="136" t="s">
        <v>592</v>
      </c>
    </row>
    <row r="100" spans="1:20" ht="15" x14ac:dyDescent="0.2">
      <c r="A100" s="138" t="s">
        <v>443</v>
      </c>
      <c r="B100" s="127" t="s">
        <v>155</v>
      </c>
      <c r="C100" s="127" t="s">
        <v>113</v>
      </c>
      <c r="D100" s="128">
        <v>45768</v>
      </c>
      <c r="E100" s="128">
        <v>45768</v>
      </c>
      <c r="F100" s="129">
        <v>45748</v>
      </c>
      <c r="G100" s="127">
        <v>1</v>
      </c>
      <c r="H100" s="127">
        <v>1</v>
      </c>
      <c r="I100" s="127">
        <v>0</v>
      </c>
      <c r="J100" s="127">
        <v>0</v>
      </c>
      <c r="K100" s="127">
        <v>0</v>
      </c>
      <c r="L100" s="130">
        <v>868.68</v>
      </c>
      <c r="M100" s="131">
        <f t="shared" si="5"/>
        <v>868.68</v>
      </c>
      <c r="N100" s="131"/>
      <c r="O100" s="132">
        <v>1138</v>
      </c>
      <c r="P100" s="133">
        <v>45877</v>
      </c>
      <c r="Q100" s="137">
        <f t="shared" si="7"/>
        <v>269.32000000000005</v>
      </c>
      <c r="R100" s="137"/>
      <c r="S100" s="136"/>
      <c r="T100" s="136" t="s">
        <v>592</v>
      </c>
    </row>
    <row r="101" spans="1:20" ht="15" x14ac:dyDescent="0.2">
      <c r="A101" s="138" t="s">
        <v>443</v>
      </c>
      <c r="B101" s="127" t="s">
        <v>155</v>
      </c>
      <c r="C101" s="127" t="s">
        <v>113</v>
      </c>
      <c r="D101" s="128">
        <v>45781</v>
      </c>
      <c r="E101" s="128">
        <v>45781</v>
      </c>
      <c r="F101" s="129">
        <v>45778</v>
      </c>
      <c r="G101" s="127">
        <v>1</v>
      </c>
      <c r="H101" s="127">
        <v>1</v>
      </c>
      <c r="I101" s="127">
        <v>0</v>
      </c>
      <c r="J101" s="127">
        <v>1</v>
      </c>
      <c r="K101" s="127">
        <v>0</v>
      </c>
      <c r="L101" s="130">
        <v>868.68</v>
      </c>
      <c r="M101" s="131">
        <f t="shared" si="5"/>
        <v>868.68</v>
      </c>
      <c r="N101" s="131"/>
      <c r="O101" s="132">
        <v>511</v>
      </c>
      <c r="P101" s="133">
        <v>45877</v>
      </c>
      <c r="Q101" s="134">
        <f t="shared" si="7"/>
        <v>-357.67999999999995</v>
      </c>
      <c r="R101" s="134"/>
      <c r="S101" s="136"/>
      <c r="T101" s="136" t="s">
        <v>592</v>
      </c>
    </row>
    <row r="102" spans="1:20" ht="15" x14ac:dyDescent="0.2">
      <c r="A102" s="138" t="s">
        <v>443</v>
      </c>
      <c r="B102" s="127" t="s">
        <v>155</v>
      </c>
      <c r="C102" s="127" t="s">
        <v>113</v>
      </c>
      <c r="D102" s="128">
        <v>45789</v>
      </c>
      <c r="E102" s="128">
        <v>45792</v>
      </c>
      <c r="F102" s="129">
        <v>45778</v>
      </c>
      <c r="G102" s="127">
        <v>4</v>
      </c>
      <c r="H102" s="127">
        <v>4</v>
      </c>
      <c r="I102" s="127">
        <v>0</v>
      </c>
      <c r="J102" s="127">
        <v>0</v>
      </c>
      <c r="K102" s="127">
        <v>0</v>
      </c>
      <c r="L102" s="130">
        <v>868.68</v>
      </c>
      <c r="M102" s="131">
        <f t="shared" si="5"/>
        <v>3474.72</v>
      </c>
      <c r="N102" s="131"/>
      <c r="O102" s="132">
        <v>2042</v>
      </c>
      <c r="P102" s="133">
        <v>45877</v>
      </c>
      <c r="Q102" s="134">
        <f t="shared" si="7"/>
        <v>-1432.7199999999998</v>
      </c>
      <c r="R102" s="134"/>
      <c r="S102" s="136"/>
      <c r="T102" s="136" t="s">
        <v>592</v>
      </c>
    </row>
    <row r="103" spans="1:20" ht="15" x14ac:dyDescent="0.2">
      <c r="A103" s="138" t="s">
        <v>443</v>
      </c>
      <c r="B103" s="127" t="s">
        <v>155</v>
      </c>
      <c r="C103" s="127" t="s">
        <v>113</v>
      </c>
      <c r="D103" s="128">
        <v>45796</v>
      </c>
      <c r="E103" s="128">
        <v>45799</v>
      </c>
      <c r="F103" s="129">
        <v>45778</v>
      </c>
      <c r="G103" s="127">
        <v>4</v>
      </c>
      <c r="H103" s="127">
        <v>4</v>
      </c>
      <c r="I103" s="127">
        <v>0</v>
      </c>
      <c r="J103" s="127">
        <v>0</v>
      </c>
      <c r="K103" s="127">
        <v>0</v>
      </c>
      <c r="L103" s="130">
        <v>868.68</v>
      </c>
      <c r="M103" s="131">
        <f t="shared" si="5"/>
        <v>3474.72</v>
      </c>
      <c r="N103" s="131"/>
      <c r="O103" s="132">
        <v>2042</v>
      </c>
      <c r="P103" s="133">
        <v>45877</v>
      </c>
      <c r="Q103" s="134">
        <f t="shared" si="7"/>
        <v>-1432.7199999999998</v>
      </c>
      <c r="R103" s="134"/>
      <c r="S103" s="136"/>
      <c r="T103" s="136" t="s">
        <v>592</v>
      </c>
    </row>
    <row r="104" spans="1:20" ht="15" x14ac:dyDescent="0.2">
      <c r="A104" s="138" t="s">
        <v>443</v>
      </c>
      <c r="B104" s="127" t="s">
        <v>155</v>
      </c>
      <c r="C104" s="127" t="s">
        <v>113</v>
      </c>
      <c r="D104" s="128">
        <v>45853</v>
      </c>
      <c r="E104" s="128">
        <v>45853</v>
      </c>
      <c r="F104" s="129">
        <v>45839</v>
      </c>
      <c r="G104" s="127">
        <v>1</v>
      </c>
      <c r="H104" s="127">
        <v>1</v>
      </c>
      <c r="I104" s="127">
        <v>0</v>
      </c>
      <c r="J104" s="127">
        <v>0</v>
      </c>
      <c r="K104" s="127">
        <v>0</v>
      </c>
      <c r="L104" s="130">
        <v>868.68</v>
      </c>
      <c r="M104" s="131">
        <f t="shared" si="5"/>
        <v>868.68</v>
      </c>
      <c r="N104" s="131"/>
      <c r="O104" s="132">
        <v>511</v>
      </c>
      <c r="P104" s="133">
        <v>45877</v>
      </c>
      <c r="Q104" s="134">
        <f t="shared" si="7"/>
        <v>-357.67999999999995</v>
      </c>
      <c r="R104" s="134"/>
      <c r="S104" s="136"/>
      <c r="T104" s="136" t="s">
        <v>592</v>
      </c>
    </row>
    <row r="105" spans="1:20" ht="15" x14ac:dyDescent="0.2">
      <c r="A105" s="138" t="s">
        <v>443</v>
      </c>
      <c r="B105" s="127" t="s">
        <v>155</v>
      </c>
      <c r="C105" s="127" t="s">
        <v>113</v>
      </c>
      <c r="D105" s="128">
        <v>45873</v>
      </c>
      <c r="E105" s="128">
        <v>45873</v>
      </c>
      <c r="F105" s="129">
        <v>45870</v>
      </c>
      <c r="G105" s="127">
        <v>1</v>
      </c>
      <c r="H105" s="127">
        <v>1</v>
      </c>
      <c r="I105" s="127">
        <v>0</v>
      </c>
      <c r="J105" s="127">
        <v>0</v>
      </c>
      <c r="K105" s="127">
        <v>0</v>
      </c>
      <c r="L105" s="130">
        <v>868.68</v>
      </c>
      <c r="M105" s="131">
        <f t="shared" si="5"/>
        <v>868.68</v>
      </c>
      <c r="N105" s="131"/>
      <c r="O105" s="132">
        <v>511</v>
      </c>
      <c r="P105" s="133">
        <v>45988</v>
      </c>
      <c r="Q105" s="134">
        <f t="shared" si="7"/>
        <v>-357.67999999999995</v>
      </c>
      <c r="R105" s="134"/>
      <c r="S105" s="136"/>
      <c r="T105" s="136" t="s">
        <v>592</v>
      </c>
    </row>
    <row r="106" spans="1:20" ht="15" x14ac:dyDescent="0.2">
      <c r="A106" s="138" t="s">
        <v>443</v>
      </c>
      <c r="B106" s="127" t="s">
        <v>155</v>
      </c>
      <c r="C106" s="127" t="s">
        <v>113</v>
      </c>
      <c r="D106" s="128">
        <v>45882</v>
      </c>
      <c r="E106" s="128">
        <v>45882</v>
      </c>
      <c r="F106" s="129">
        <v>45870</v>
      </c>
      <c r="G106" s="127">
        <v>1</v>
      </c>
      <c r="H106" s="127">
        <v>1</v>
      </c>
      <c r="I106" s="127">
        <v>0</v>
      </c>
      <c r="J106" s="127">
        <v>0</v>
      </c>
      <c r="K106" s="127">
        <v>0</v>
      </c>
      <c r="L106" s="130">
        <v>868.68</v>
      </c>
      <c r="M106" s="131">
        <f t="shared" si="5"/>
        <v>868.68</v>
      </c>
      <c r="N106" s="131"/>
      <c r="O106" s="132">
        <v>511</v>
      </c>
      <c r="P106" s="133">
        <v>45988</v>
      </c>
      <c r="Q106" s="134">
        <f t="shared" si="7"/>
        <v>-357.67999999999995</v>
      </c>
      <c r="R106" s="134"/>
      <c r="S106" s="136"/>
      <c r="T106" s="136" t="s">
        <v>592</v>
      </c>
    </row>
    <row r="107" spans="1:20" ht="15" x14ac:dyDescent="0.2">
      <c r="A107" s="138" t="s">
        <v>443</v>
      </c>
      <c r="B107" s="127" t="s">
        <v>155</v>
      </c>
      <c r="C107" s="127" t="s">
        <v>113</v>
      </c>
      <c r="D107" s="128">
        <v>45886</v>
      </c>
      <c r="E107" s="128">
        <v>45888</v>
      </c>
      <c r="F107" s="129">
        <v>45870</v>
      </c>
      <c r="G107" s="127">
        <v>3</v>
      </c>
      <c r="H107" s="127">
        <v>2</v>
      </c>
      <c r="I107" s="127">
        <v>0</v>
      </c>
      <c r="J107" s="127">
        <v>1</v>
      </c>
      <c r="K107" s="127">
        <v>0</v>
      </c>
      <c r="L107" s="130">
        <v>868.68</v>
      </c>
      <c r="M107" s="131">
        <f t="shared" si="5"/>
        <v>1737.36</v>
      </c>
      <c r="N107" s="131"/>
      <c r="O107" s="132">
        <v>1532</v>
      </c>
      <c r="P107" s="133">
        <v>45988</v>
      </c>
      <c r="Q107" s="134">
        <f t="shared" si="7"/>
        <v>-205.3599999999999</v>
      </c>
      <c r="R107" s="134"/>
      <c r="S107" s="136"/>
      <c r="T107" s="136" t="s">
        <v>592</v>
      </c>
    </row>
    <row r="108" spans="1:20" ht="15" x14ac:dyDescent="0.2">
      <c r="A108" s="138" t="s">
        <v>443</v>
      </c>
      <c r="B108" s="127" t="s">
        <v>155</v>
      </c>
      <c r="C108" s="127" t="s">
        <v>113</v>
      </c>
      <c r="D108" s="128">
        <v>45909</v>
      </c>
      <c r="E108" s="128">
        <v>45911</v>
      </c>
      <c r="F108" s="129">
        <v>45901</v>
      </c>
      <c r="G108" s="127">
        <v>3</v>
      </c>
      <c r="H108" s="127">
        <v>3</v>
      </c>
      <c r="I108" s="127">
        <v>0</v>
      </c>
      <c r="J108" s="127">
        <v>0</v>
      </c>
      <c r="K108" s="127">
        <v>0</v>
      </c>
      <c r="L108" s="130">
        <v>868.68</v>
      </c>
      <c r="M108" s="131">
        <f t="shared" si="5"/>
        <v>2606.04</v>
      </c>
      <c r="N108" s="131"/>
      <c r="O108" s="132">
        <v>1532</v>
      </c>
      <c r="P108" s="133">
        <v>45988</v>
      </c>
      <c r="Q108" s="134">
        <f t="shared" si="7"/>
        <v>-1074.04</v>
      </c>
      <c r="R108" s="134"/>
      <c r="S108" s="136"/>
      <c r="T108" s="136" t="s">
        <v>592</v>
      </c>
    </row>
    <row r="109" spans="1:20" ht="15" x14ac:dyDescent="0.2">
      <c r="A109" s="138" t="s">
        <v>443</v>
      </c>
      <c r="B109" s="127" t="s">
        <v>155</v>
      </c>
      <c r="C109" s="127" t="s">
        <v>113</v>
      </c>
      <c r="D109" s="128">
        <v>45914</v>
      </c>
      <c r="E109" s="128">
        <v>45914</v>
      </c>
      <c r="F109" s="129">
        <v>45901</v>
      </c>
      <c r="G109" s="127">
        <v>1</v>
      </c>
      <c r="H109" s="127">
        <v>1</v>
      </c>
      <c r="I109" s="127">
        <v>0</v>
      </c>
      <c r="J109" s="127">
        <v>1</v>
      </c>
      <c r="K109" s="127">
        <v>0</v>
      </c>
      <c r="L109" s="130">
        <v>868.68</v>
      </c>
      <c r="M109" s="131">
        <f t="shared" si="5"/>
        <v>868.68</v>
      </c>
      <c r="N109" s="131"/>
      <c r="O109" s="132">
        <v>511</v>
      </c>
      <c r="P109" s="133">
        <v>45988</v>
      </c>
      <c r="Q109" s="134">
        <f t="shared" si="7"/>
        <v>-357.67999999999995</v>
      </c>
      <c r="R109" s="134"/>
      <c r="S109" s="136"/>
      <c r="T109" s="136" t="s">
        <v>592</v>
      </c>
    </row>
    <row r="110" spans="1:20" ht="15" x14ac:dyDescent="0.2">
      <c r="A110" s="138" t="s">
        <v>443</v>
      </c>
      <c r="B110" s="127" t="s">
        <v>155</v>
      </c>
      <c r="C110" s="127" t="s">
        <v>113</v>
      </c>
      <c r="D110" s="128">
        <v>45802</v>
      </c>
      <c r="E110" s="128">
        <v>45804</v>
      </c>
      <c r="F110" s="129">
        <v>45778</v>
      </c>
      <c r="G110" s="127">
        <v>3</v>
      </c>
      <c r="H110" s="127">
        <v>3</v>
      </c>
      <c r="I110" s="127">
        <v>0</v>
      </c>
      <c r="J110" s="127">
        <v>0</v>
      </c>
      <c r="K110" s="127">
        <v>0</v>
      </c>
      <c r="L110" s="130">
        <v>868.68</v>
      </c>
      <c r="M110" s="131">
        <f t="shared" si="5"/>
        <v>2606.04</v>
      </c>
      <c r="N110" s="131"/>
      <c r="O110" s="132">
        <v>1532</v>
      </c>
      <c r="P110" s="133">
        <v>45877</v>
      </c>
      <c r="Q110" s="134">
        <f t="shared" si="7"/>
        <v>-1074.04</v>
      </c>
      <c r="R110" s="134"/>
      <c r="S110" s="136"/>
      <c r="T110" s="136" t="s">
        <v>592</v>
      </c>
    </row>
    <row r="111" spans="1:20" ht="15" x14ac:dyDescent="0.2">
      <c r="A111" s="126">
        <v>25342445</v>
      </c>
      <c r="B111" s="127" t="s">
        <v>157</v>
      </c>
      <c r="C111" s="127" t="s">
        <v>135</v>
      </c>
      <c r="D111" s="128">
        <v>45734</v>
      </c>
      <c r="E111" s="128">
        <v>45736</v>
      </c>
      <c r="F111" s="129">
        <v>45717</v>
      </c>
      <c r="G111" s="127">
        <v>3</v>
      </c>
      <c r="H111" s="127">
        <v>3</v>
      </c>
      <c r="I111" s="127">
        <v>0</v>
      </c>
      <c r="J111" s="127">
        <v>0</v>
      </c>
      <c r="K111" s="127">
        <v>0</v>
      </c>
      <c r="L111" s="165">
        <v>914.90539916935847</v>
      </c>
      <c r="M111" s="131">
        <f t="shared" si="5"/>
        <v>2744.7161975080753</v>
      </c>
      <c r="N111" s="131"/>
      <c r="O111" s="132">
        <v>3731</v>
      </c>
      <c r="P111" s="133">
        <v>45988</v>
      </c>
      <c r="Q111" s="137">
        <f t="shared" si="7"/>
        <v>986.28380249192469</v>
      </c>
      <c r="R111" s="137"/>
      <c r="S111" s="135">
        <v>45962</v>
      </c>
      <c r="T111" s="136"/>
    </row>
    <row r="112" spans="1:20" ht="15" x14ac:dyDescent="0.2">
      <c r="A112" s="126">
        <v>25342445</v>
      </c>
      <c r="B112" s="127" t="s">
        <v>157</v>
      </c>
      <c r="C112" s="127" t="s">
        <v>135</v>
      </c>
      <c r="D112" s="128">
        <v>45827</v>
      </c>
      <c r="E112" s="128">
        <v>45832</v>
      </c>
      <c r="F112" s="129">
        <v>45809</v>
      </c>
      <c r="G112" s="127">
        <v>6</v>
      </c>
      <c r="H112" s="127">
        <v>4</v>
      </c>
      <c r="I112" s="127">
        <v>1</v>
      </c>
      <c r="J112" s="127">
        <v>1</v>
      </c>
      <c r="K112" s="127">
        <v>0</v>
      </c>
      <c r="L112" s="165">
        <v>914.90539916935847</v>
      </c>
      <c r="M112" s="131">
        <f t="shared" si="5"/>
        <v>3659.6215966774339</v>
      </c>
      <c r="N112" s="139">
        <v>950</v>
      </c>
      <c r="O112" s="132">
        <v>5700</v>
      </c>
      <c r="P112" s="133">
        <v>45988</v>
      </c>
      <c r="Q112" s="137">
        <f t="shared" si="7"/>
        <v>2040.3784033225661</v>
      </c>
      <c r="R112" s="137"/>
      <c r="S112" s="135">
        <v>45962</v>
      </c>
      <c r="T112" s="136" t="s">
        <v>599</v>
      </c>
    </row>
    <row r="113" spans="1:20" ht="15" x14ac:dyDescent="0.2">
      <c r="A113" s="138" t="s">
        <v>444</v>
      </c>
      <c r="B113" s="127" t="s">
        <v>160</v>
      </c>
      <c r="C113" s="127" t="s">
        <v>135</v>
      </c>
      <c r="D113" s="128">
        <v>45658</v>
      </c>
      <c r="E113" s="128">
        <v>45658</v>
      </c>
      <c r="F113" s="129">
        <v>45658</v>
      </c>
      <c r="G113" s="127">
        <v>1</v>
      </c>
      <c r="H113" s="127">
        <v>1</v>
      </c>
      <c r="I113" s="127">
        <v>0</v>
      </c>
      <c r="J113" s="127">
        <v>0</v>
      </c>
      <c r="K113" s="127">
        <v>0</v>
      </c>
      <c r="L113" s="165">
        <f>'📈 היסטוריית שכר'!C24</f>
        <v>914.85925242270412</v>
      </c>
      <c r="M113" s="131">
        <f t="shared" ref="M113:M144" si="8">L113*H113</f>
        <v>914.85925242270412</v>
      </c>
      <c r="N113" s="131"/>
      <c r="O113" s="166">
        <f>2231/3</f>
        <v>743.66666666666663</v>
      </c>
      <c r="P113" s="133">
        <v>45697</v>
      </c>
      <c r="Q113" s="134">
        <f t="shared" si="7"/>
        <v>-171.19258575603749</v>
      </c>
      <c r="R113" s="134"/>
      <c r="S113" s="135">
        <v>45717</v>
      </c>
      <c r="T113" s="136"/>
    </row>
    <row r="114" spans="1:20" ht="15" x14ac:dyDescent="0.2">
      <c r="A114" s="138" t="s">
        <v>444</v>
      </c>
      <c r="B114" s="127" t="s">
        <v>160</v>
      </c>
      <c r="C114" s="127" t="s">
        <v>135</v>
      </c>
      <c r="D114" s="128">
        <v>45662</v>
      </c>
      <c r="E114" s="128">
        <v>45668</v>
      </c>
      <c r="F114" s="129">
        <v>45658</v>
      </c>
      <c r="G114" s="127">
        <v>7</v>
      </c>
      <c r="H114" s="127">
        <v>5</v>
      </c>
      <c r="I114" s="127">
        <v>1</v>
      </c>
      <c r="J114" s="127">
        <v>1</v>
      </c>
      <c r="K114" s="127">
        <v>0</v>
      </c>
      <c r="L114" s="165">
        <v>914.85925242270412</v>
      </c>
      <c r="M114" s="131">
        <f t="shared" si="8"/>
        <v>4574.2962621135202</v>
      </c>
      <c r="N114" s="131"/>
      <c r="O114" s="132">
        <f>2231+1116+2231+2231</f>
        <v>7809</v>
      </c>
      <c r="P114" s="133">
        <v>45697</v>
      </c>
      <c r="Q114" s="137">
        <f>O114-M114</f>
        <v>3234.7037378864798</v>
      </c>
      <c r="R114" s="137"/>
      <c r="S114" s="135">
        <v>45717</v>
      </c>
      <c r="T114" s="136"/>
    </row>
    <row r="115" spans="1:20" ht="15" x14ac:dyDescent="0.2">
      <c r="A115" s="138" t="s">
        <v>444</v>
      </c>
      <c r="B115" s="127" t="s">
        <v>160</v>
      </c>
      <c r="C115" s="127" t="s">
        <v>135</v>
      </c>
      <c r="D115" s="128">
        <v>45671</v>
      </c>
      <c r="E115" s="128">
        <v>45674</v>
      </c>
      <c r="F115" s="129">
        <v>45658</v>
      </c>
      <c r="G115" s="127">
        <v>4</v>
      </c>
      <c r="H115" s="127">
        <v>3</v>
      </c>
      <c r="I115" s="127">
        <v>1</v>
      </c>
      <c r="J115" s="127">
        <v>0</v>
      </c>
      <c r="K115" s="127">
        <v>0</v>
      </c>
      <c r="L115" s="165">
        <v>914.85925242270412</v>
      </c>
      <c r="M115" s="131">
        <f t="shared" si="8"/>
        <v>2744.5777572681122</v>
      </c>
      <c r="N115" s="131"/>
      <c r="O115" s="132">
        <f>2231*2</f>
        <v>4462</v>
      </c>
      <c r="P115" s="133">
        <v>45697</v>
      </c>
      <c r="Q115" s="137">
        <f t="shared" si="7"/>
        <v>1717.4222427318878</v>
      </c>
      <c r="R115" s="137"/>
      <c r="S115" s="135">
        <v>45717</v>
      </c>
      <c r="T115" s="136"/>
    </row>
    <row r="116" spans="1:20" ht="15" x14ac:dyDescent="0.2">
      <c r="A116" s="138" t="s">
        <v>444</v>
      </c>
      <c r="B116" s="127" t="s">
        <v>160</v>
      </c>
      <c r="C116" s="127" t="s">
        <v>135</v>
      </c>
      <c r="D116" s="128">
        <v>45671</v>
      </c>
      <c r="E116" s="128">
        <v>45674</v>
      </c>
      <c r="F116" s="129">
        <v>45658</v>
      </c>
      <c r="G116" s="127"/>
      <c r="H116" s="127"/>
      <c r="I116" s="127">
        <v>0</v>
      </c>
      <c r="J116" s="127">
        <v>0</v>
      </c>
      <c r="K116" s="127">
        <v>0</v>
      </c>
      <c r="L116" s="165">
        <v>914.85925242270412</v>
      </c>
      <c r="M116" s="131">
        <f t="shared" si="8"/>
        <v>0</v>
      </c>
      <c r="N116" s="131">
        <v>1785</v>
      </c>
      <c r="O116" s="132"/>
      <c r="P116" s="133">
        <v>45775</v>
      </c>
      <c r="Q116" s="137">
        <f>N116-M116</f>
        <v>1785</v>
      </c>
      <c r="R116" s="137"/>
      <c r="S116" s="135">
        <v>45717</v>
      </c>
      <c r="T116" s="136"/>
    </row>
    <row r="117" spans="1:20" ht="15" x14ac:dyDescent="0.2">
      <c r="A117" s="138" t="s">
        <v>444</v>
      </c>
      <c r="B117" s="127" t="s">
        <v>160</v>
      </c>
      <c r="C117" s="127" t="s">
        <v>135</v>
      </c>
      <c r="D117" s="128">
        <v>45677</v>
      </c>
      <c r="E117" s="128">
        <v>45677</v>
      </c>
      <c r="F117" s="129">
        <v>45658</v>
      </c>
      <c r="G117" s="127">
        <v>1</v>
      </c>
      <c r="H117" s="127">
        <v>1</v>
      </c>
      <c r="I117" s="127">
        <v>0</v>
      </c>
      <c r="J117" s="127">
        <v>0</v>
      </c>
      <c r="K117" s="127">
        <v>0</v>
      </c>
      <c r="L117" s="165">
        <v>914.85925242270412</v>
      </c>
      <c r="M117" s="131">
        <f t="shared" si="8"/>
        <v>914.85925242270412</v>
      </c>
      <c r="N117" s="131"/>
      <c r="O117" s="132">
        <v>1116</v>
      </c>
      <c r="P117" s="133">
        <v>45697</v>
      </c>
      <c r="Q117" s="137">
        <f>O117-M117</f>
        <v>201.14074757729588</v>
      </c>
      <c r="R117" s="137"/>
      <c r="S117" s="135">
        <v>45717</v>
      </c>
      <c r="T117" s="136"/>
    </row>
    <row r="118" spans="1:20" ht="15" x14ac:dyDescent="0.2">
      <c r="A118" s="138" t="s">
        <v>444</v>
      </c>
      <c r="B118" s="127" t="s">
        <v>160</v>
      </c>
      <c r="C118" s="127" t="s">
        <v>135</v>
      </c>
      <c r="D118" s="128">
        <v>45677</v>
      </c>
      <c r="E118" s="128">
        <v>45677</v>
      </c>
      <c r="F118" s="129">
        <v>45658</v>
      </c>
      <c r="G118" s="127"/>
      <c r="H118" s="127"/>
      <c r="I118" s="127">
        <v>0</v>
      </c>
      <c r="J118" s="127">
        <v>0</v>
      </c>
      <c r="K118" s="127">
        <v>0</v>
      </c>
      <c r="L118" s="165">
        <v>914.85925242270412</v>
      </c>
      <c r="M118" s="131">
        <f t="shared" si="8"/>
        <v>0</v>
      </c>
      <c r="N118" s="131">
        <v>446</v>
      </c>
      <c r="O118" s="132"/>
      <c r="P118" s="133">
        <v>45697</v>
      </c>
      <c r="Q118" s="137">
        <f>N118-M118</f>
        <v>446</v>
      </c>
      <c r="R118" s="137"/>
      <c r="S118" s="135">
        <v>45717</v>
      </c>
      <c r="T118" s="136"/>
    </row>
    <row r="119" spans="1:20" ht="15" x14ac:dyDescent="0.2">
      <c r="A119" s="167" t="s">
        <v>444</v>
      </c>
      <c r="B119" s="168" t="s">
        <v>160</v>
      </c>
      <c r="C119" s="168" t="s">
        <v>135</v>
      </c>
      <c r="D119" s="169">
        <v>45681</v>
      </c>
      <c r="E119" s="169">
        <v>45683</v>
      </c>
      <c r="F119" s="170">
        <v>45658</v>
      </c>
      <c r="G119" s="168">
        <v>1</v>
      </c>
      <c r="H119" s="168">
        <v>0</v>
      </c>
      <c r="I119" s="168">
        <v>1</v>
      </c>
      <c r="J119" s="168">
        <v>0</v>
      </c>
      <c r="K119" s="168">
        <v>0</v>
      </c>
      <c r="L119" s="171">
        <v>914.85925242270412</v>
      </c>
      <c r="M119" s="158">
        <f t="shared" si="8"/>
        <v>0</v>
      </c>
      <c r="N119" s="158"/>
      <c r="O119" s="172">
        <v>1116</v>
      </c>
      <c r="P119" s="133">
        <v>45697</v>
      </c>
      <c r="Q119" s="137">
        <f>N119-M119</f>
        <v>0</v>
      </c>
      <c r="R119" s="137"/>
      <c r="S119" s="135">
        <v>45717</v>
      </c>
      <c r="T119" s="136"/>
    </row>
    <row r="120" spans="1:20" ht="15" x14ac:dyDescent="0.2">
      <c r="A120" s="167" t="s">
        <v>444</v>
      </c>
      <c r="B120" s="168" t="s">
        <v>160</v>
      </c>
      <c r="C120" s="168" t="s">
        <v>135</v>
      </c>
      <c r="D120" s="169">
        <v>45682</v>
      </c>
      <c r="E120" s="169">
        <v>45683</v>
      </c>
      <c r="F120" s="170">
        <v>45658</v>
      </c>
      <c r="G120" s="168">
        <v>2</v>
      </c>
      <c r="H120" s="168">
        <v>1</v>
      </c>
      <c r="I120" s="168">
        <v>0</v>
      </c>
      <c r="J120" s="168">
        <v>1</v>
      </c>
      <c r="K120" s="168">
        <v>0</v>
      </c>
      <c r="L120" s="171">
        <v>914.85925242270412</v>
      </c>
      <c r="M120" s="158">
        <f t="shared" si="8"/>
        <v>914.85925242270412</v>
      </c>
      <c r="N120" s="158"/>
      <c r="O120" s="172"/>
      <c r="P120" s="136"/>
      <c r="Q120" s="137">
        <f>O119-M120</f>
        <v>201.14074757729588</v>
      </c>
      <c r="R120" s="137"/>
      <c r="S120" s="135">
        <v>45717</v>
      </c>
      <c r="T120" s="136"/>
    </row>
    <row r="121" spans="1:20" ht="15" x14ac:dyDescent="0.2">
      <c r="A121" s="138" t="s">
        <v>444</v>
      </c>
      <c r="B121" s="127" t="s">
        <v>160</v>
      </c>
      <c r="C121" s="127" t="s">
        <v>135</v>
      </c>
      <c r="D121" s="128">
        <v>45698</v>
      </c>
      <c r="E121" s="128">
        <v>45699</v>
      </c>
      <c r="F121" s="129">
        <v>45689</v>
      </c>
      <c r="G121" s="127">
        <v>2</v>
      </c>
      <c r="H121" s="127">
        <v>2</v>
      </c>
      <c r="I121" s="127">
        <v>0</v>
      </c>
      <c r="J121" s="127">
        <v>0</v>
      </c>
      <c r="K121" s="127">
        <v>0</v>
      </c>
      <c r="L121" s="165">
        <v>914.85925242270412</v>
      </c>
      <c r="M121" s="131">
        <f t="shared" si="8"/>
        <v>1829.7185048454082</v>
      </c>
      <c r="N121" s="131"/>
      <c r="O121" s="132">
        <v>3206</v>
      </c>
      <c r="P121" s="133">
        <v>46054</v>
      </c>
      <c r="Q121" s="173">
        <f t="shared" ref="Q121:Q133" si="9">O121-M121</f>
        <v>1376.2814951545918</v>
      </c>
      <c r="R121" s="173"/>
      <c r="S121" s="135">
        <v>46023</v>
      </c>
      <c r="T121" s="136"/>
    </row>
    <row r="122" spans="1:20" ht="15" x14ac:dyDescent="0.2">
      <c r="A122" s="138" t="s">
        <v>444</v>
      </c>
      <c r="B122" s="127" t="s">
        <v>160</v>
      </c>
      <c r="C122" s="127" t="s">
        <v>135</v>
      </c>
      <c r="D122" s="128">
        <v>45701</v>
      </c>
      <c r="E122" s="128">
        <v>45701</v>
      </c>
      <c r="F122" s="129">
        <v>45689</v>
      </c>
      <c r="G122" s="127">
        <v>1</v>
      </c>
      <c r="H122" s="127">
        <v>0</v>
      </c>
      <c r="I122" s="127">
        <v>1</v>
      </c>
      <c r="J122" s="127">
        <v>0</v>
      </c>
      <c r="K122" s="127">
        <v>0</v>
      </c>
      <c r="L122" s="165">
        <v>914.85925242270412</v>
      </c>
      <c r="M122" s="131">
        <f t="shared" si="8"/>
        <v>0</v>
      </c>
      <c r="N122" s="131"/>
      <c r="O122" s="132">
        <v>1603</v>
      </c>
      <c r="P122" s="133">
        <v>46054</v>
      </c>
      <c r="Q122" s="173">
        <f t="shared" si="9"/>
        <v>1603</v>
      </c>
      <c r="R122" s="173"/>
      <c r="S122" s="135">
        <v>46023</v>
      </c>
      <c r="T122" s="136"/>
    </row>
    <row r="123" spans="1:20" ht="15" x14ac:dyDescent="0.2">
      <c r="A123" s="138" t="s">
        <v>444</v>
      </c>
      <c r="B123" s="127" t="s">
        <v>160</v>
      </c>
      <c r="C123" s="127" t="s">
        <v>135</v>
      </c>
      <c r="D123" s="128">
        <v>45705</v>
      </c>
      <c r="E123" s="128">
        <v>45706</v>
      </c>
      <c r="F123" s="129">
        <v>45689</v>
      </c>
      <c r="G123" s="127">
        <v>2</v>
      </c>
      <c r="H123" s="127">
        <v>2</v>
      </c>
      <c r="I123" s="127">
        <v>0</v>
      </c>
      <c r="J123" s="127">
        <v>0</v>
      </c>
      <c r="K123" s="127">
        <v>0</v>
      </c>
      <c r="L123" s="165">
        <v>914.85925242270412</v>
      </c>
      <c r="M123" s="131">
        <f t="shared" si="8"/>
        <v>1829.7185048454082</v>
      </c>
      <c r="N123" s="131"/>
      <c r="O123" s="132">
        <v>3206</v>
      </c>
      <c r="P123" s="133">
        <v>46054</v>
      </c>
      <c r="Q123" s="173">
        <f t="shared" si="9"/>
        <v>1376.2814951545918</v>
      </c>
      <c r="R123" s="173"/>
      <c r="S123" s="135">
        <v>46023</v>
      </c>
      <c r="T123" s="136"/>
    </row>
    <row r="124" spans="1:20" ht="15" x14ac:dyDescent="0.2">
      <c r="A124" s="138" t="s">
        <v>444</v>
      </c>
      <c r="B124" s="127" t="s">
        <v>160</v>
      </c>
      <c r="C124" s="127" t="s">
        <v>135</v>
      </c>
      <c r="D124" s="128">
        <v>45712</v>
      </c>
      <c r="E124" s="128">
        <v>45713</v>
      </c>
      <c r="F124" s="129">
        <v>45689</v>
      </c>
      <c r="G124" s="127">
        <v>2</v>
      </c>
      <c r="H124" s="127">
        <v>2</v>
      </c>
      <c r="I124" s="127">
        <v>0</v>
      </c>
      <c r="J124" s="127">
        <v>0</v>
      </c>
      <c r="K124" s="127">
        <v>0</v>
      </c>
      <c r="L124" s="165">
        <v>914.85925242270412</v>
      </c>
      <c r="M124" s="131">
        <f t="shared" si="8"/>
        <v>1829.7185048454082</v>
      </c>
      <c r="N124" s="131"/>
      <c r="O124" s="132">
        <v>3206</v>
      </c>
      <c r="P124" s="133">
        <v>46054</v>
      </c>
      <c r="Q124" s="173">
        <f t="shared" si="9"/>
        <v>1376.2814951545918</v>
      </c>
      <c r="R124" s="173"/>
      <c r="S124" s="135">
        <v>46023</v>
      </c>
      <c r="T124" s="136"/>
    </row>
    <row r="125" spans="1:20" ht="15" x14ac:dyDescent="0.2">
      <c r="A125" s="138" t="s">
        <v>444</v>
      </c>
      <c r="B125" s="127" t="s">
        <v>160</v>
      </c>
      <c r="C125" s="127" t="s">
        <v>135</v>
      </c>
      <c r="D125" s="128">
        <v>45740</v>
      </c>
      <c r="E125" s="128">
        <v>45741</v>
      </c>
      <c r="F125" s="129">
        <v>45717</v>
      </c>
      <c r="G125" s="127">
        <v>2</v>
      </c>
      <c r="H125" s="127">
        <v>2</v>
      </c>
      <c r="I125" s="127">
        <v>0</v>
      </c>
      <c r="J125" s="127">
        <v>0</v>
      </c>
      <c r="K125" s="127">
        <v>0</v>
      </c>
      <c r="L125" s="165">
        <v>914.85925242270412</v>
      </c>
      <c r="M125" s="131">
        <f t="shared" si="8"/>
        <v>1829.7185048454082</v>
      </c>
      <c r="N125" s="131"/>
      <c r="O125" s="132">
        <v>3305</v>
      </c>
      <c r="P125" s="133">
        <v>45895</v>
      </c>
      <c r="Q125" s="173">
        <f t="shared" si="9"/>
        <v>1475.2814951545918</v>
      </c>
      <c r="R125" s="173"/>
      <c r="S125" s="135">
        <v>46023</v>
      </c>
      <c r="T125" s="136"/>
    </row>
    <row r="126" spans="1:20" ht="15" x14ac:dyDescent="0.2">
      <c r="A126" s="138" t="s">
        <v>444</v>
      </c>
      <c r="B126" s="127" t="s">
        <v>160</v>
      </c>
      <c r="C126" s="127" t="s">
        <v>135</v>
      </c>
      <c r="D126" s="128">
        <v>45743</v>
      </c>
      <c r="E126" s="128">
        <v>45744</v>
      </c>
      <c r="F126" s="129">
        <v>45717</v>
      </c>
      <c r="G126" s="127">
        <v>2</v>
      </c>
      <c r="H126" s="127">
        <v>0</v>
      </c>
      <c r="I126" s="127">
        <v>1</v>
      </c>
      <c r="J126" s="127">
        <v>1</v>
      </c>
      <c r="K126" s="127">
        <v>0</v>
      </c>
      <c r="L126" s="165">
        <v>914.85925242270412</v>
      </c>
      <c r="M126" s="131">
        <f t="shared" si="8"/>
        <v>0</v>
      </c>
      <c r="N126" s="131"/>
      <c r="O126" s="132">
        <v>2361</v>
      </c>
      <c r="P126" s="133">
        <v>45895</v>
      </c>
      <c r="Q126" s="173">
        <f t="shared" si="9"/>
        <v>2361</v>
      </c>
      <c r="R126" s="173"/>
      <c r="S126" s="135">
        <v>46023</v>
      </c>
      <c r="T126" s="136"/>
    </row>
    <row r="127" spans="1:20" ht="15" x14ac:dyDescent="0.2">
      <c r="A127" s="138" t="s">
        <v>444</v>
      </c>
      <c r="B127" s="127" t="s">
        <v>160</v>
      </c>
      <c r="C127" s="127" t="s">
        <v>135</v>
      </c>
      <c r="D127" s="128">
        <v>45746</v>
      </c>
      <c r="E127" s="128">
        <v>45746</v>
      </c>
      <c r="F127" s="129">
        <v>45717</v>
      </c>
      <c r="G127" s="127">
        <v>1</v>
      </c>
      <c r="H127" s="127">
        <v>1</v>
      </c>
      <c r="I127" s="127">
        <v>0</v>
      </c>
      <c r="J127" s="127">
        <v>0</v>
      </c>
      <c r="K127" s="127">
        <v>0</v>
      </c>
      <c r="L127" s="165">
        <v>914.85925242270412</v>
      </c>
      <c r="M127" s="131">
        <f t="shared" si="8"/>
        <v>914.85925242270412</v>
      </c>
      <c r="N127" s="131"/>
      <c r="O127" s="132">
        <v>1653</v>
      </c>
      <c r="P127" s="133">
        <v>45895</v>
      </c>
      <c r="Q127" s="173">
        <f t="shared" si="9"/>
        <v>738.14074757729588</v>
      </c>
      <c r="R127" s="173"/>
      <c r="S127" s="135">
        <v>46023</v>
      </c>
      <c r="T127" s="136"/>
    </row>
    <row r="128" spans="1:20" ht="15" x14ac:dyDescent="0.2">
      <c r="A128" s="138" t="s">
        <v>444</v>
      </c>
      <c r="B128" s="127" t="s">
        <v>160</v>
      </c>
      <c r="C128" s="127" t="s">
        <v>135</v>
      </c>
      <c r="D128" s="128">
        <v>45726</v>
      </c>
      <c r="E128" s="128">
        <v>45729</v>
      </c>
      <c r="F128" s="129">
        <v>45717</v>
      </c>
      <c r="G128" s="127">
        <v>4</v>
      </c>
      <c r="H128" s="127">
        <v>3</v>
      </c>
      <c r="I128" s="127">
        <v>1</v>
      </c>
      <c r="J128" s="127">
        <v>0</v>
      </c>
      <c r="K128" s="127">
        <v>0</v>
      </c>
      <c r="L128" s="165">
        <v>914.85925242270412</v>
      </c>
      <c r="M128" s="131">
        <f t="shared" si="8"/>
        <v>2744.5777572681122</v>
      </c>
      <c r="N128" s="131"/>
      <c r="O128" s="132">
        <f>3305*2</f>
        <v>6610</v>
      </c>
      <c r="P128" s="133">
        <v>45877</v>
      </c>
      <c r="Q128" s="173">
        <f t="shared" si="9"/>
        <v>3865.4222427318878</v>
      </c>
      <c r="R128" s="173"/>
      <c r="S128" s="135">
        <v>46023</v>
      </c>
      <c r="T128" s="136"/>
    </row>
    <row r="129" spans="1:20" ht="15" x14ac:dyDescent="0.2">
      <c r="A129" s="138" t="s">
        <v>444</v>
      </c>
      <c r="B129" s="127" t="s">
        <v>160</v>
      </c>
      <c r="C129" s="127" t="s">
        <v>135</v>
      </c>
      <c r="D129" s="128">
        <v>45733</v>
      </c>
      <c r="E129" s="128">
        <v>45734</v>
      </c>
      <c r="F129" s="129">
        <v>45717</v>
      </c>
      <c r="G129" s="127">
        <v>2</v>
      </c>
      <c r="H129" s="127">
        <v>2</v>
      </c>
      <c r="I129" s="127">
        <v>0</v>
      </c>
      <c r="J129" s="127">
        <v>0</v>
      </c>
      <c r="K129" s="127">
        <v>0</v>
      </c>
      <c r="L129" s="165">
        <v>914.85925242270412</v>
      </c>
      <c r="M129" s="131">
        <f t="shared" si="8"/>
        <v>1829.7185048454082</v>
      </c>
      <c r="N129" s="131"/>
      <c r="O129" s="132">
        <v>2361</v>
      </c>
      <c r="P129" s="133">
        <v>45877</v>
      </c>
      <c r="Q129" s="173">
        <f t="shared" si="9"/>
        <v>531.28149515459177</v>
      </c>
      <c r="R129" s="173"/>
      <c r="S129" s="135">
        <v>46023</v>
      </c>
      <c r="T129" s="136"/>
    </row>
    <row r="130" spans="1:20" ht="15" x14ac:dyDescent="0.2">
      <c r="A130" s="138" t="s">
        <v>444</v>
      </c>
      <c r="B130" s="127" t="s">
        <v>160</v>
      </c>
      <c r="C130" s="127" t="s">
        <v>135</v>
      </c>
      <c r="D130" s="128">
        <v>45747</v>
      </c>
      <c r="E130" s="128">
        <v>45748</v>
      </c>
      <c r="F130" s="129">
        <v>45748</v>
      </c>
      <c r="G130" s="127">
        <v>2</v>
      </c>
      <c r="H130" s="127">
        <v>2</v>
      </c>
      <c r="I130" s="127">
        <v>0</v>
      </c>
      <c r="J130" s="127">
        <v>0</v>
      </c>
      <c r="K130" s="127">
        <v>0</v>
      </c>
      <c r="L130" s="165">
        <v>914.859252422704</v>
      </c>
      <c r="M130" s="131">
        <f t="shared" si="8"/>
        <v>1829.718504845408</v>
      </c>
      <c r="N130" s="131"/>
      <c r="O130" s="132">
        <v>5666</v>
      </c>
      <c r="P130" s="133">
        <v>45895</v>
      </c>
      <c r="Q130" s="173">
        <f t="shared" si="9"/>
        <v>3836.281495154592</v>
      </c>
      <c r="R130" s="173"/>
      <c r="S130" s="135">
        <v>46023</v>
      </c>
      <c r="T130" s="136"/>
    </row>
    <row r="131" spans="1:20" ht="15" x14ac:dyDescent="0.2">
      <c r="A131" s="138" t="s">
        <v>444</v>
      </c>
      <c r="B131" s="127" t="s">
        <v>160</v>
      </c>
      <c r="C131" s="127" t="s">
        <v>135</v>
      </c>
      <c r="D131" s="128">
        <v>45750</v>
      </c>
      <c r="E131" s="128">
        <v>45750</v>
      </c>
      <c r="F131" s="129">
        <v>45748</v>
      </c>
      <c r="G131" s="127">
        <v>1</v>
      </c>
      <c r="H131" s="127">
        <v>1</v>
      </c>
      <c r="I131" s="127">
        <v>0</v>
      </c>
      <c r="J131" s="127">
        <v>0</v>
      </c>
      <c r="K131" s="127">
        <v>0</v>
      </c>
      <c r="L131" s="165">
        <v>914.859252422704</v>
      </c>
      <c r="M131" s="131">
        <f t="shared" si="8"/>
        <v>914.859252422704</v>
      </c>
      <c r="N131" s="131"/>
      <c r="O131" s="132">
        <v>1754</v>
      </c>
      <c r="P131" s="133">
        <v>45895</v>
      </c>
      <c r="Q131" s="173">
        <f t="shared" si="9"/>
        <v>839.140747577296</v>
      </c>
      <c r="R131" s="173"/>
      <c r="S131" s="135">
        <v>46023</v>
      </c>
      <c r="T131" s="136"/>
    </row>
    <row r="132" spans="1:20" ht="15" x14ac:dyDescent="0.2">
      <c r="A132" s="138" t="s">
        <v>444</v>
      </c>
      <c r="B132" s="127" t="s">
        <v>160</v>
      </c>
      <c r="C132" s="127" t="s">
        <v>135</v>
      </c>
      <c r="D132" s="128">
        <v>45751</v>
      </c>
      <c r="E132" s="128">
        <v>45751</v>
      </c>
      <c r="F132" s="129">
        <v>45748</v>
      </c>
      <c r="G132" s="127">
        <v>1</v>
      </c>
      <c r="H132" s="127">
        <v>0</v>
      </c>
      <c r="I132" s="127">
        <v>1</v>
      </c>
      <c r="J132" s="127">
        <v>0</v>
      </c>
      <c r="K132" s="127">
        <v>0</v>
      </c>
      <c r="L132" s="165">
        <v>914.859252422704</v>
      </c>
      <c r="M132" s="131">
        <f t="shared" si="8"/>
        <v>0</v>
      </c>
      <c r="N132" s="131"/>
      <c r="O132" s="132">
        <v>1253</v>
      </c>
      <c r="P132" s="133">
        <v>45895</v>
      </c>
      <c r="Q132" s="173">
        <f t="shared" si="9"/>
        <v>1253</v>
      </c>
      <c r="R132" s="173"/>
      <c r="S132" s="135">
        <v>46023</v>
      </c>
      <c r="T132" s="136"/>
    </row>
    <row r="133" spans="1:20" ht="15" x14ac:dyDescent="0.2">
      <c r="A133" s="138" t="s">
        <v>444</v>
      </c>
      <c r="B133" s="127" t="s">
        <v>160</v>
      </c>
      <c r="C133" s="127" t="s">
        <v>135</v>
      </c>
      <c r="D133" s="128">
        <v>45753</v>
      </c>
      <c r="E133" s="128">
        <v>45753</v>
      </c>
      <c r="F133" s="129">
        <v>45748</v>
      </c>
      <c r="G133" s="127">
        <v>1</v>
      </c>
      <c r="H133" s="127">
        <v>0</v>
      </c>
      <c r="I133" s="127">
        <v>0</v>
      </c>
      <c r="J133" s="127">
        <v>1</v>
      </c>
      <c r="K133" s="127">
        <v>0</v>
      </c>
      <c r="L133" s="165">
        <v>914.85925242270412</v>
      </c>
      <c r="M133" s="131">
        <f t="shared" si="8"/>
        <v>0</v>
      </c>
      <c r="N133" s="131"/>
      <c r="O133" s="132">
        <v>1253</v>
      </c>
      <c r="P133" s="133">
        <v>45988</v>
      </c>
      <c r="Q133" s="173">
        <f t="shared" si="9"/>
        <v>1253</v>
      </c>
      <c r="R133" s="173"/>
      <c r="S133" s="135">
        <v>46023</v>
      </c>
      <c r="T133" s="136"/>
    </row>
    <row r="134" spans="1:20" ht="15" x14ac:dyDescent="0.2">
      <c r="A134" s="138" t="s">
        <v>444</v>
      </c>
      <c r="B134" s="127" t="s">
        <v>160</v>
      </c>
      <c r="C134" s="127" t="s">
        <v>135</v>
      </c>
      <c r="D134" s="128">
        <v>45756</v>
      </c>
      <c r="E134" s="128">
        <v>45756</v>
      </c>
      <c r="F134" s="129">
        <v>45748</v>
      </c>
      <c r="G134" s="127">
        <v>1</v>
      </c>
      <c r="H134" s="127">
        <v>1</v>
      </c>
      <c r="I134" s="127">
        <v>0</v>
      </c>
      <c r="J134" s="127">
        <v>0</v>
      </c>
      <c r="K134" s="127">
        <v>0</v>
      </c>
      <c r="L134" s="165">
        <v>914.85925242270412</v>
      </c>
      <c r="M134" s="131">
        <f t="shared" si="8"/>
        <v>914.85925242270412</v>
      </c>
      <c r="N134" s="158">
        <v>501</v>
      </c>
      <c r="O134" s="132">
        <v>1253</v>
      </c>
      <c r="P134" s="133">
        <v>45988</v>
      </c>
      <c r="Q134" s="173">
        <f t="shared" ref="Q134:Q139" si="10">O134-M134+N134</f>
        <v>839.14074757729588</v>
      </c>
      <c r="R134" s="173"/>
      <c r="S134" s="135">
        <v>46023</v>
      </c>
      <c r="T134" s="136"/>
    </row>
    <row r="135" spans="1:20" ht="15" x14ac:dyDescent="0.2">
      <c r="A135" s="138" t="s">
        <v>444</v>
      </c>
      <c r="B135" s="127" t="s">
        <v>160</v>
      </c>
      <c r="C135" s="127" t="s">
        <v>135</v>
      </c>
      <c r="D135" s="128">
        <v>45768</v>
      </c>
      <c r="E135" s="128">
        <v>45770</v>
      </c>
      <c r="F135" s="129">
        <v>45748</v>
      </c>
      <c r="G135" s="127">
        <v>3</v>
      </c>
      <c r="H135" s="127">
        <v>3</v>
      </c>
      <c r="I135" s="127">
        <v>0</v>
      </c>
      <c r="J135" s="127">
        <v>0</v>
      </c>
      <c r="K135" s="127">
        <v>0</v>
      </c>
      <c r="L135" s="165">
        <v>914.85925242270412</v>
      </c>
      <c r="M135" s="131">
        <f t="shared" si="8"/>
        <v>2744.5777572681122</v>
      </c>
      <c r="N135" s="158">
        <v>1504</v>
      </c>
      <c r="O135" s="132">
        <f>1253+2506</f>
        <v>3759</v>
      </c>
      <c r="P135" s="133">
        <v>45988</v>
      </c>
      <c r="Q135" s="173">
        <f t="shared" si="10"/>
        <v>2518.4222427318878</v>
      </c>
      <c r="R135" s="173"/>
      <c r="S135" s="135">
        <v>46023</v>
      </c>
      <c r="T135" s="136"/>
    </row>
    <row r="136" spans="1:20" ht="15" x14ac:dyDescent="0.2">
      <c r="A136" s="138" t="s">
        <v>444</v>
      </c>
      <c r="B136" s="127" t="s">
        <v>160</v>
      </c>
      <c r="C136" s="127" t="s">
        <v>135</v>
      </c>
      <c r="D136" s="174">
        <v>45776</v>
      </c>
      <c r="E136" s="174">
        <v>45776</v>
      </c>
      <c r="F136" s="175">
        <v>45748</v>
      </c>
      <c r="G136" s="176">
        <v>1</v>
      </c>
      <c r="H136" s="176">
        <v>1</v>
      </c>
      <c r="I136" s="176">
        <v>0</v>
      </c>
      <c r="J136" s="176">
        <v>0</v>
      </c>
      <c r="K136" s="176">
        <v>0</v>
      </c>
      <c r="L136" s="177">
        <v>914.85925242270412</v>
      </c>
      <c r="M136" s="178">
        <f t="shared" si="8"/>
        <v>914.85925242270412</v>
      </c>
      <c r="N136" s="178"/>
      <c r="O136" s="179"/>
      <c r="P136" s="136"/>
      <c r="Q136" s="180">
        <f t="shared" si="10"/>
        <v>-914.85925242270412</v>
      </c>
      <c r="R136" s="180"/>
      <c r="S136" s="135">
        <v>46023</v>
      </c>
      <c r="T136" s="143" t="s">
        <v>598</v>
      </c>
    </row>
    <row r="137" spans="1:20" ht="15" x14ac:dyDescent="0.2">
      <c r="A137" s="138" t="s">
        <v>444</v>
      </c>
      <c r="B137" s="127" t="s">
        <v>160</v>
      </c>
      <c r="C137" s="127" t="s">
        <v>135</v>
      </c>
      <c r="D137" s="128">
        <v>45782</v>
      </c>
      <c r="E137" s="128">
        <v>45783</v>
      </c>
      <c r="F137" s="129">
        <v>45778</v>
      </c>
      <c r="G137" s="127">
        <v>2</v>
      </c>
      <c r="H137" s="127">
        <v>2</v>
      </c>
      <c r="I137" s="127">
        <v>0</v>
      </c>
      <c r="J137" s="127">
        <v>0</v>
      </c>
      <c r="K137" s="127">
        <v>0</v>
      </c>
      <c r="L137" s="165">
        <v>914.85925242270412</v>
      </c>
      <c r="M137" s="131">
        <f t="shared" si="8"/>
        <v>1829.7185048454082</v>
      </c>
      <c r="N137" s="131"/>
      <c r="O137" s="132">
        <v>2981</v>
      </c>
      <c r="P137" s="133">
        <v>45988</v>
      </c>
      <c r="Q137" s="173">
        <f t="shared" si="10"/>
        <v>1151.2814951545918</v>
      </c>
      <c r="R137" s="173"/>
      <c r="S137" s="135">
        <v>46023</v>
      </c>
      <c r="T137" s="136"/>
    </row>
    <row r="138" spans="1:20" ht="15" x14ac:dyDescent="0.2">
      <c r="A138" s="138" t="s">
        <v>444</v>
      </c>
      <c r="B138" s="127" t="s">
        <v>160</v>
      </c>
      <c r="C138" s="127" t="s">
        <v>135</v>
      </c>
      <c r="D138" s="128">
        <v>45795</v>
      </c>
      <c r="E138" s="128">
        <v>45795</v>
      </c>
      <c r="F138" s="129">
        <v>45778</v>
      </c>
      <c r="G138" s="127">
        <v>1</v>
      </c>
      <c r="H138" s="127">
        <v>0</v>
      </c>
      <c r="I138" s="127">
        <v>0</v>
      </c>
      <c r="J138" s="127">
        <v>1</v>
      </c>
      <c r="K138" s="127">
        <v>0</v>
      </c>
      <c r="L138" s="165">
        <v>914.85925242270412</v>
      </c>
      <c r="M138" s="131">
        <f t="shared" si="8"/>
        <v>0</v>
      </c>
      <c r="N138" s="158">
        <v>426</v>
      </c>
      <c r="O138" s="132">
        <v>1065</v>
      </c>
      <c r="P138" s="133">
        <v>45988</v>
      </c>
      <c r="Q138" s="173">
        <f t="shared" si="10"/>
        <v>1491</v>
      </c>
      <c r="R138" s="173"/>
      <c r="S138" s="135">
        <v>46023</v>
      </c>
      <c r="T138" s="136"/>
    </row>
    <row r="139" spans="1:20" ht="15" x14ac:dyDescent="0.2">
      <c r="A139" s="138" t="s">
        <v>444</v>
      </c>
      <c r="B139" s="127" t="s">
        <v>160</v>
      </c>
      <c r="C139" s="127" t="s">
        <v>135</v>
      </c>
      <c r="D139" s="128">
        <v>45797</v>
      </c>
      <c r="E139" s="128">
        <v>45797</v>
      </c>
      <c r="F139" s="129">
        <v>45778</v>
      </c>
      <c r="G139" s="127">
        <v>1</v>
      </c>
      <c r="H139" s="127">
        <v>1</v>
      </c>
      <c r="I139" s="127">
        <v>0</v>
      </c>
      <c r="J139" s="127">
        <v>0</v>
      </c>
      <c r="K139" s="127">
        <v>0</v>
      </c>
      <c r="L139" s="165">
        <v>914.85925242270412</v>
      </c>
      <c r="M139" s="131">
        <f t="shared" si="8"/>
        <v>914.85925242270412</v>
      </c>
      <c r="N139" s="131"/>
      <c r="O139" s="132">
        <v>1287</v>
      </c>
      <c r="P139" s="133">
        <v>45895</v>
      </c>
      <c r="Q139" s="173">
        <f t="shared" si="10"/>
        <v>372.14074757729588</v>
      </c>
      <c r="R139" s="173"/>
      <c r="S139" s="135">
        <v>46023</v>
      </c>
      <c r="T139" s="136"/>
    </row>
    <row r="140" spans="1:20" ht="15" x14ac:dyDescent="0.2">
      <c r="A140" s="138" t="s">
        <v>444</v>
      </c>
      <c r="B140" s="127" t="s">
        <v>160</v>
      </c>
      <c r="C140" s="127" t="s">
        <v>135</v>
      </c>
      <c r="D140" s="174">
        <v>45799</v>
      </c>
      <c r="E140" s="174">
        <v>45799</v>
      </c>
      <c r="F140" s="175">
        <v>45778</v>
      </c>
      <c r="G140" s="176">
        <v>1</v>
      </c>
      <c r="H140" s="176">
        <v>0</v>
      </c>
      <c r="I140" s="176">
        <v>1</v>
      </c>
      <c r="J140" s="176">
        <v>0</v>
      </c>
      <c r="K140" s="176">
        <v>0</v>
      </c>
      <c r="L140" s="177">
        <v>914.85925242270412</v>
      </c>
      <c r="M140" s="178">
        <f t="shared" si="8"/>
        <v>0</v>
      </c>
      <c r="N140" s="131"/>
      <c r="O140" s="132"/>
      <c r="P140" s="136"/>
      <c r="Q140" s="180">
        <f>O140-M140</f>
        <v>0</v>
      </c>
      <c r="R140" s="180"/>
      <c r="S140" s="135">
        <v>46023</v>
      </c>
      <c r="T140" s="136"/>
    </row>
    <row r="141" spans="1:20" ht="15" x14ac:dyDescent="0.2">
      <c r="A141" s="138" t="s">
        <v>444</v>
      </c>
      <c r="B141" s="127" t="s">
        <v>160</v>
      </c>
      <c r="C141" s="127" t="s">
        <v>135</v>
      </c>
      <c r="D141" s="128">
        <v>45802</v>
      </c>
      <c r="E141" s="128">
        <v>45802</v>
      </c>
      <c r="F141" s="129">
        <v>45778</v>
      </c>
      <c r="G141" s="127">
        <v>1</v>
      </c>
      <c r="H141" s="127">
        <v>0</v>
      </c>
      <c r="I141" s="127">
        <v>0</v>
      </c>
      <c r="J141" s="127">
        <v>1</v>
      </c>
      <c r="K141" s="127">
        <v>0</v>
      </c>
      <c r="L141" s="165">
        <v>914.85925242270412</v>
      </c>
      <c r="M141" s="131">
        <f t="shared" si="8"/>
        <v>0</v>
      </c>
      <c r="N141" s="158">
        <v>426</v>
      </c>
      <c r="O141" s="132">
        <v>1065</v>
      </c>
      <c r="P141" s="133">
        <v>45988</v>
      </c>
      <c r="Q141" s="173">
        <f>O141-M141+N141</f>
        <v>1491</v>
      </c>
      <c r="R141" s="173"/>
      <c r="S141" s="135">
        <v>46023</v>
      </c>
      <c r="T141" s="136"/>
    </row>
    <row r="142" spans="1:20" ht="15" x14ac:dyDescent="0.2">
      <c r="A142" s="138" t="s">
        <v>444</v>
      </c>
      <c r="B142" s="127" t="s">
        <v>160</v>
      </c>
      <c r="C142" s="127" t="s">
        <v>135</v>
      </c>
      <c r="D142" s="128">
        <v>45811</v>
      </c>
      <c r="E142" s="128">
        <v>45812</v>
      </c>
      <c r="F142" s="129">
        <v>45809</v>
      </c>
      <c r="G142" s="127">
        <v>2</v>
      </c>
      <c r="H142" s="127">
        <v>2</v>
      </c>
      <c r="I142" s="127">
        <v>0</v>
      </c>
      <c r="J142" s="127">
        <v>0</v>
      </c>
      <c r="K142" s="127">
        <v>0</v>
      </c>
      <c r="L142" s="165">
        <v>914.85925242270412</v>
      </c>
      <c r="M142" s="131">
        <f t="shared" si="8"/>
        <v>1829.7185048454082</v>
      </c>
      <c r="N142" s="158">
        <v>781</v>
      </c>
      <c r="O142" s="132">
        <f>887+1065</f>
        <v>1952</v>
      </c>
      <c r="P142" s="133">
        <v>45988</v>
      </c>
      <c r="Q142" s="173">
        <f>O142-M142+N142</f>
        <v>903.28149515459177</v>
      </c>
      <c r="R142" s="173"/>
      <c r="S142" s="135">
        <v>46023</v>
      </c>
      <c r="T142" s="136"/>
    </row>
    <row r="143" spans="1:20" ht="15" x14ac:dyDescent="0.2">
      <c r="A143" s="138" t="s">
        <v>444</v>
      </c>
      <c r="B143" s="127" t="s">
        <v>160</v>
      </c>
      <c r="C143" s="127" t="s">
        <v>135</v>
      </c>
      <c r="D143" s="128">
        <v>45816</v>
      </c>
      <c r="E143" s="128">
        <v>45816</v>
      </c>
      <c r="F143" s="129">
        <v>45809</v>
      </c>
      <c r="G143" s="127">
        <v>1</v>
      </c>
      <c r="H143" s="127">
        <v>0</v>
      </c>
      <c r="I143" s="127">
        <v>0</v>
      </c>
      <c r="J143" s="127">
        <v>1</v>
      </c>
      <c r="K143" s="127">
        <v>0</v>
      </c>
      <c r="L143" s="165">
        <v>914.85925242270412</v>
      </c>
      <c r="M143" s="131">
        <f t="shared" si="8"/>
        <v>0</v>
      </c>
      <c r="N143" s="158">
        <v>426</v>
      </c>
      <c r="O143" s="132">
        <v>1065</v>
      </c>
      <c r="P143" s="133">
        <v>45988</v>
      </c>
      <c r="Q143" s="173">
        <f>O143-M143+N143</f>
        <v>1491</v>
      </c>
      <c r="R143" s="173"/>
      <c r="S143" s="135">
        <v>46023</v>
      </c>
      <c r="T143" s="136"/>
    </row>
    <row r="144" spans="1:20" ht="15" x14ac:dyDescent="0.2">
      <c r="A144" s="138" t="s">
        <v>444</v>
      </c>
      <c r="B144" s="127" t="s">
        <v>160</v>
      </c>
      <c r="C144" s="127" t="s">
        <v>135</v>
      </c>
      <c r="D144" s="128">
        <v>45819</v>
      </c>
      <c r="E144" s="128">
        <v>45837</v>
      </c>
      <c r="F144" s="129">
        <v>45809</v>
      </c>
      <c r="G144" s="127">
        <v>19</v>
      </c>
      <c r="H144" s="127">
        <v>13</v>
      </c>
      <c r="I144" s="127">
        <v>3</v>
      </c>
      <c r="J144" s="127">
        <v>3</v>
      </c>
      <c r="K144" s="127">
        <v>0</v>
      </c>
      <c r="L144" s="165">
        <v>914.85925242270412</v>
      </c>
      <c r="M144" s="131">
        <f t="shared" si="8"/>
        <v>11893.170281495153</v>
      </c>
      <c r="N144" s="131"/>
      <c r="O144" s="132">
        <f>15084+1065+1065</f>
        <v>17214</v>
      </c>
      <c r="P144" s="133">
        <v>45988</v>
      </c>
      <c r="Q144" s="173">
        <f>O144-M144</f>
        <v>5320.8297185048468</v>
      </c>
      <c r="R144" s="173"/>
      <c r="S144" s="135">
        <v>46023</v>
      </c>
      <c r="T144" s="136"/>
    </row>
    <row r="145" spans="1:20" ht="15" x14ac:dyDescent="0.2">
      <c r="A145" s="138" t="s">
        <v>444</v>
      </c>
      <c r="B145" s="127" t="s">
        <v>160</v>
      </c>
      <c r="C145" s="127" t="s">
        <v>135</v>
      </c>
      <c r="D145" s="128">
        <v>45853</v>
      </c>
      <c r="E145" s="128">
        <v>45854</v>
      </c>
      <c r="F145" s="129">
        <v>45839</v>
      </c>
      <c r="G145" s="127">
        <v>2</v>
      </c>
      <c r="H145" s="127">
        <v>2</v>
      </c>
      <c r="I145" s="127">
        <v>0</v>
      </c>
      <c r="J145" s="127">
        <v>0</v>
      </c>
      <c r="K145" s="127">
        <v>0</v>
      </c>
      <c r="L145" s="165">
        <v>914.85925242270412</v>
      </c>
      <c r="M145" s="131">
        <f t="shared" ref="M145:M176" si="11">L145*H145</f>
        <v>1829.7185048454082</v>
      </c>
      <c r="N145" s="158">
        <v>854</v>
      </c>
      <c r="O145" s="132">
        <v>2129</v>
      </c>
      <c r="P145" s="133">
        <v>45988</v>
      </c>
      <c r="Q145" s="173">
        <f>O145-M145+N145</f>
        <v>1153.2814951545918</v>
      </c>
      <c r="R145" s="173"/>
      <c r="S145" s="135">
        <v>46023</v>
      </c>
      <c r="T145" s="136"/>
    </row>
    <row r="146" spans="1:20" ht="15" x14ac:dyDescent="0.2">
      <c r="A146" s="138" t="s">
        <v>444</v>
      </c>
      <c r="B146" s="127" t="s">
        <v>160</v>
      </c>
      <c r="C146" s="127" t="s">
        <v>135</v>
      </c>
      <c r="D146" s="128">
        <v>45861</v>
      </c>
      <c r="E146" s="128">
        <v>45862</v>
      </c>
      <c r="F146" s="129">
        <v>45839</v>
      </c>
      <c r="G146" s="127">
        <v>2</v>
      </c>
      <c r="H146" s="127">
        <v>1</v>
      </c>
      <c r="I146" s="127">
        <v>1</v>
      </c>
      <c r="J146" s="127">
        <v>0</v>
      </c>
      <c r="K146" s="127">
        <v>0</v>
      </c>
      <c r="L146" s="165">
        <v>914.85925242270412</v>
      </c>
      <c r="M146" s="131">
        <f t="shared" si="11"/>
        <v>914.85925242270412</v>
      </c>
      <c r="N146" s="158">
        <v>426</v>
      </c>
      <c r="O146" s="132">
        <v>2129</v>
      </c>
      <c r="P146" s="133">
        <v>45988</v>
      </c>
      <c r="Q146" s="173">
        <f>O146-M146+N146</f>
        <v>1640.1407475772958</v>
      </c>
      <c r="R146" s="173"/>
      <c r="S146" s="135">
        <v>46023</v>
      </c>
      <c r="T146" s="136"/>
    </row>
    <row r="147" spans="1:20" ht="15" x14ac:dyDescent="0.2">
      <c r="A147" s="138" t="s">
        <v>444</v>
      </c>
      <c r="B147" s="127" t="s">
        <v>160</v>
      </c>
      <c r="C147" s="127" t="s">
        <v>135</v>
      </c>
      <c r="D147" s="128">
        <v>45866</v>
      </c>
      <c r="E147" s="128">
        <v>45866</v>
      </c>
      <c r="F147" s="129">
        <v>45839</v>
      </c>
      <c r="G147" s="127">
        <v>1</v>
      </c>
      <c r="H147" s="127">
        <v>1</v>
      </c>
      <c r="I147" s="127">
        <v>0</v>
      </c>
      <c r="J147" s="127">
        <v>0</v>
      </c>
      <c r="K147" s="127">
        <v>0</v>
      </c>
      <c r="L147" s="165">
        <v>914.85925242270412</v>
      </c>
      <c r="M147" s="131">
        <f t="shared" si="11"/>
        <v>914.85925242270412</v>
      </c>
      <c r="N147" s="158">
        <v>852</v>
      </c>
      <c r="O147" s="132">
        <v>1065</v>
      </c>
      <c r="P147" s="133">
        <v>45988</v>
      </c>
      <c r="Q147" s="173">
        <f>O147-M147+N147</f>
        <v>1002.1407475772959</v>
      </c>
      <c r="R147" s="173"/>
      <c r="S147" s="135">
        <v>46023</v>
      </c>
      <c r="T147" s="136"/>
    </row>
    <row r="148" spans="1:20" ht="15" x14ac:dyDescent="0.2">
      <c r="A148" s="138" t="s">
        <v>444</v>
      </c>
      <c r="B148" s="127" t="s">
        <v>160</v>
      </c>
      <c r="C148" s="127" t="s">
        <v>135</v>
      </c>
      <c r="D148" s="128">
        <v>45874</v>
      </c>
      <c r="E148" s="128">
        <v>45875</v>
      </c>
      <c r="F148" s="129">
        <v>45870</v>
      </c>
      <c r="G148" s="127">
        <v>2</v>
      </c>
      <c r="H148" s="127">
        <v>2</v>
      </c>
      <c r="I148" s="127">
        <v>0</v>
      </c>
      <c r="J148" s="127">
        <v>0</v>
      </c>
      <c r="K148" s="127">
        <v>0</v>
      </c>
      <c r="L148" s="165">
        <v>914.85925242270412</v>
      </c>
      <c r="M148" s="131">
        <f t="shared" si="11"/>
        <v>1829.7185048454082</v>
      </c>
      <c r="N148" s="131"/>
      <c r="O148" s="132">
        <v>2129</v>
      </c>
      <c r="P148" s="133">
        <v>45988</v>
      </c>
      <c r="Q148" s="173">
        <f>O148-M148</f>
        <v>299.28149515459177</v>
      </c>
      <c r="R148" s="173"/>
      <c r="S148" s="135">
        <v>46023</v>
      </c>
      <c r="T148" s="136"/>
    </row>
    <row r="149" spans="1:20" ht="15" x14ac:dyDescent="0.2">
      <c r="A149" s="138" t="s">
        <v>444</v>
      </c>
      <c r="B149" s="127" t="s">
        <v>160</v>
      </c>
      <c r="C149" s="127" t="s">
        <v>135</v>
      </c>
      <c r="D149" s="128">
        <v>45887</v>
      </c>
      <c r="E149" s="128">
        <v>45887</v>
      </c>
      <c r="F149" s="129">
        <v>45870</v>
      </c>
      <c r="G149" s="127">
        <v>1</v>
      </c>
      <c r="H149" s="127">
        <v>1</v>
      </c>
      <c r="I149" s="127">
        <v>0</v>
      </c>
      <c r="J149" s="127">
        <v>0</v>
      </c>
      <c r="K149" s="127">
        <v>0</v>
      </c>
      <c r="L149" s="165">
        <v>914.85925242270412</v>
      </c>
      <c r="M149" s="131">
        <f t="shared" si="11"/>
        <v>914.85925242270412</v>
      </c>
      <c r="N149" s="158">
        <v>426</v>
      </c>
      <c r="O149" s="132">
        <v>1065</v>
      </c>
      <c r="P149" s="133">
        <v>45988</v>
      </c>
      <c r="Q149" s="173">
        <f>O149-M149+N149</f>
        <v>576.14074757729588</v>
      </c>
      <c r="R149" s="173"/>
      <c r="S149" s="135">
        <v>46023</v>
      </c>
      <c r="T149" s="136"/>
    </row>
    <row r="150" spans="1:20" ht="15" x14ac:dyDescent="0.2">
      <c r="A150" s="138" t="s">
        <v>444</v>
      </c>
      <c r="B150" s="127" t="s">
        <v>160</v>
      </c>
      <c r="C150" s="127" t="s">
        <v>135</v>
      </c>
      <c r="D150" s="128">
        <v>45903</v>
      </c>
      <c r="E150" s="128">
        <v>45904</v>
      </c>
      <c r="F150" s="129">
        <v>45901</v>
      </c>
      <c r="G150" s="127">
        <v>2</v>
      </c>
      <c r="H150" s="127">
        <v>2</v>
      </c>
      <c r="I150" s="127">
        <v>0</v>
      </c>
      <c r="J150" s="127">
        <v>0</v>
      </c>
      <c r="K150" s="127">
        <v>0</v>
      </c>
      <c r="L150" s="165">
        <v>914.85925242270412</v>
      </c>
      <c r="M150" s="131">
        <f t="shared" si="11"/>
        <v>1829.7185048454082</v>
      </c>
      <c r="N150" s="158">
        <v>852</v>
      </c>
      <c r="O150" s="132">
        <v>2129</v>
      </c>
      <c r="P150" s="133">
        <v>45988</v>
      </c>
      <c r="Q150" s="173">
        <f>O150-M150+N150</f>
        <v>1151.2814951545918</v>
      </c>
      <c r="R150" s="173"/>
      <c r="S150" s="135">
        <v>46023</v>
      </c>
      <c r="T150" s="136"/>
    </row>
    <row r="151" spans="1:20" ht="15" x14ac:dyDescent="0.2">
      <c r="A151" s="126">
        <v>315536524</v>
      </c>
      <c r="B151" s="127" t="s">
        <v>163</v>
      </c>
      <c r="C151" s="127" t="s">
        <v>113</v>
      </c>
      <c r="D151" s="128">
        <v>45733</v>
      </c>
      <c r="E151" s="128">
        <v>45736</v>
      </c>
      <c r="F151" s="129">
        <v>45717</v>
      </c>
      <c r="G151" s="127">
        <v>4</v>
      </c>
      <c r="H151" s="127">
        <v>3</v>
      </c>
      <c r="I151" s="127">
        <v>1</v>
      </c>
      <c r="J151" s="127">
        <v>0</v>
      </c>
      <c r="K151" s="127">
        <v>0</v>
      </c>
      <c r="L151" s="165">
        <f>'📈 היסטוריית שכר'!C25</f>
        <v>812.22888786340559</v>
      </c>
      <c r="M151" s="131">
        <f t="shared" si="11"/>
        <v>2436.686663590217</v>
      </c>
      <c r="N151" s="131"/>
      <c r="O151" s="132">
        <v>3976</v>
      </c>
      <c r="P151" s="133">
        <v>45988</v>
      </c>
      <c r="Q151" s="137">
        <f>O151-M151</f>
        <v>1539.313336409783</v>
      </c>
      <c r="R151" s="137">
        <v>-1539.31</v>
      </c>
      <c r="S151" s="135">
        <v>45992</v>
      </c>
      <c r="T151" s="136"/>
    </row>
    <row r="152" spans="1:20" ht="15" x14ac:dyDescent="0.2">
      <c r="A152" s="126">
        <v>315536524</v>
      </c>
      <c r="B152" s="127" t="s">
        <v>163</v>
      </c>
      <c r="C152" s="127" t="s">
        <v>113</v>
      </c>
      <c r="D152" s="128">
        <v>45798</v>
      </c>
      <c r="E152" s="128">
        <v>45799</v>
      </c>
      <c r="F152" s="129">
        <v>45778</v>
      </c>
      <c r="G152" s="127">
        <v>2</v>
      </c>
      <c r="H152" s="127">
        <v>1</v>
      </c>
      <c r="I152" s="127">
        <v>1</v>
      </c>
      <c r="J152" s="127">
        <v>0</v>
      </c>
      <c r="K152" s="127">
        <v>0</v>
      </c>
      <c r="L152" s="165">
        <v>812.22888786340559</v>
      </c>
      <c r="M152" s="131">
        <f t="shared" si="11"/>
        <v>812.22888786340559</v>
      </c>
      <c r="N152" s="131"/>
      <c r="O152" s="132">
        <v>2122</v>
      </c>
      <c r="P152" s="133">
        <v>45988</v>
      </c>
      <c r="Q152" s="137">
        <f>O152-M152</f>
        <v>1309.7711121365944</v>
      </c>
      <c r="R152" s="137">
        <v>-498</v>
      </c>
      <c r="S152" s="135">
        <v>45992</v>
      </c>
      <c r="T152" s="136" t="s">
        <v>603</v>
      </c>
    </row>
    <row r="153" spans="1:20" ht="15" x14ac:dyDescent="0.2">
      <c r="A153" s="126">
        <v>315536524</v>
      </c>
      <c r="B153" s="127" t="s">
        <v>163</v>
      </c>
      <c r="C153" s="127" t="s">
        <v>113</v>
      </c>
      <c r="D153" s="128">
        <v>45802</v>
      </c>
      <c r="E153" s="128">
        <v>45806</v>
      </c>
      <c r="F153" s="129">
        <v>45778</v>
      </c>
      <c r="G153" s="127">
        <v>2</v>
      </c>
      <c r="H153" s="127">
        <v>1</v>
      </c>
      <c r="I153" s="127">
        <v>1</v>
      </c>
      <c r="J153" s="127">
        <v>0</v>
      </c>
      <c r="K153" s="127">
        <v>0</v>
      </c>
      <c r="L153" s="165">
        <v>812.22888786340559</v>
      </c>
      <c r="M153" s="131">
        <f t="shared" si="11"/>
        <v>812.22888786340559</v>
      </c>
      <c r="N153" s="131"/>
      <c r="O153" s="132"/>
      <c r="P153" s="136"/>
      <c r="Q153" s="134">
        <f>O153-M153</f>
        <v>-812.22888786340559</v>
      </c>
      <c r="R153" s="134"/>
      <c r="S153" s="135">
        <v>45992</v>
      </c>
      <c r="T153" s="136" t="s">
        <v>603</v>
      </c>
    </row>
    <row r="154" spans="1:20" ht="15" x14ac:dyDescent="0.2">
      <c r="A154" s="126">
        <v>315536524</v>
      </c>
      <c r="B154" s="127" t="s">
        <v>163</v>
      </c>
      <c r="C154" s="127" t="s">
        <v>113</v>
      </c>
      <c r="D154" s="128">
        <v>45818</v>
      </c>
      <c r="E154" s="128">
        <v>45820</v>
      </c>
      <c r="F154" s="129">
        <v>45809</v>
      </c>
      <c r="G154" s="127">
        <v>3</v>
      </c>
      <c r="H154" s="127">
        <v>2</v>
      </c>
      <c r="I154" s="127">
        <v>1</v>
      </c>
      <c r="J154" s="127">
        <v>0</v>
      </c>
      <c r="K154" s="127">
        <v>0</v>
      </c>
      <c r="L154" s="165">
        <v>812.22888786340559</v>
      </c>
      <c r="M154" s="131">
        <f t="shared" si="11"/>
        <v>1624.4577757268112</v>
      </c>
      <c r="N154" s="131"/>
      <c r="O154" s="132">
        <v>3183</v>
      </c>
      <c r="P154" s="133">
        <v>45988</v>
      </c>
      <c r="Q154" s="137">
        <f>O154-M154+N154</f>
        <v>1558.5422242731888</v>
      </c>
      <c r="R154" s="137">
        <v>-1504.31</v>
      </c>
      <c r="S154" s="135">
        <v>46023</v>
      </c>
      <c r="T154" s="136" t="s">
        <v>604</v>
      </c>
    </row>
    <row r="155" spans="1:20" ht="15" x14ac:dyDescent="0.2">
      <c r="A155" s="126">
        <v>315536524</v>
      </c>
      <c r="B155" s="127" t="s">
        <v>163</v>
      </c>
      <c r="C155" s="127" t="s">
        <v>113</v>
      </c>
      <c r="D155" s="128">
        <v>45823</v>
      </c>
      <c r="E155" s="128">
        <v>45823</v>
      </c>
      <c r="F155" s="129">
        <v>45809</v>
      </c>
      <c r="G155" s="127">
        <v>1</v>
      </c>
      <c r="H155" s="127">
        <v>1</v>
      </c>
      <c r="I155" s="127">
        <v>0</v>
      </c>
      <c r="J155" s="127">
        <v>0</v>
      </c>
      <c r="K155" s="127">
        <v>0</v>
      </c>
      <c r="L155" s="165">
        <v>812.22888786340559</v>
      </c>
      <c r="M155" s="131">
        <f t="shared" si="11"/>
        <v>812.22888786340559</v>
      </c>
      <c r="N155" s="131">
        <v>303</v>
      </c>
      <c r="O155" s="132">
        <v>758</v>
      </c>
      <c r="P155" s="133">
        <v>45988</v>
      </c>
      <c r="Q155" s="137">
        <f>O155-M155+N155</f>
        <v>248.77111213659441</v>
      </c>
      <c r="R155" s="137"/>
      <c r="S155" s="135">
        <v>46023</v>
      </c>
      <c r="T155" s="136" t="s">
        <v>604</v>
      </c>
    </row>
    <row r="156" spans="1:20" ht="15" x14ac:dyDescent="0.2">
      <c r="A156" s="126">
        <v>315536524</v>
      </c>
      <c r="B156" s="127" t="s">
        <v>163</v>
      </c>
      <c r="C156" s="127" t="s">
        <v>113</v>
      </c>
      <c r="D156" s="128">
        <v>45875</v>
      </c>
      <c r="E156" s="128">
        <v>45876</v>
      </c>
      <c r="F156" s="129">
        <v>45870</v>
      </c>
      <c r="G156" s="127">
        <v>2</v>
      </c>
      <c r="H156" s="127">
        <v>2</v>
      </c>
      <c r="I156" s="127">
        <v>0</v>
      </c>
      <c r="J156" s="127">
        <v>0</v>
      </c>
      <c r="K156" s="127">
        <v>0</v>
      </c>
      <c r="L156" s="165">
        <v>812.22888786340559</v>
      </c>
      <c r="M156" s="131">
        <f t="shared" si="11"/>
        <v>1624.4577757268112</v>
      </c>
      <c r="N156" s="131"/>
      <c r="O156" s="132">
        <v>2114</v>
      </c>
      <c r="P156" s="133">
        <v>46054</v>
      </c>
      <c r="Q156" s="137">
        <f>O156-M156+N156</f>
        <v>489.54222427318882</v>
      </c>
      <c r="R156" s="137"/>
      <c r="S156" s="135">
        <v>46023</v>
      </c>
      <c r="T156" s="181"/>
    </row>
    <row r="157" spans="1:20" ht="15" x14ac:dyDescent="0.2">
      <c r="A157" s="126">
        <v>315536524</v>
      </c>
      <c r="B157" s="127" t="s">
        <v>163</v>
      </c>
      <c r="C157" s="127" t="s">
        <v>113</v>
      </c>
      <c r="D157" s="128">
        <v>45880</v>
      </c>
      <c r="E157" s="128">
        <v>45881</v>
      </c>
      <c r="F157" s="129">
        <v>45870</v>
      </c>
      <c r="G157" s="127">
        <v>2</v>
      </c>
      <c r="H157" s="127">
        <v>2</v>
      </c>
      <c r="I157" s="127">
        <v>0</v>
      </c>
      <c r="J157" s="127">
        <v>0</v>
      </c>
      <c r="K157" s="127">
        <v>0</v>
      </c>
      <c r="L157" s="165">
        <v>812.22888786340559</v>
      </c>
      <c r="M157" s="131">
        <f t="shared" si="11"/>
        <v>1624.4577757268112</v>
      </c>
      <c r="N157" s="131"/>
      <c r="O157" s="132">
        <v>2114</v>
      </c>
      <c r="P157" s="133">
        <v>46007</v>
      </c>
      <c r="Q157" s="182">
        <f t="shared" ref="Q157:Q184" si="12">O157-M157</f>
        <v>489.54222427318882</v>
      </c>
      <c r="R157" s="137"/>
      <c r="S157" s="135">
        <v>46023</v>
      </c>
      <c r="T157" s="136"/>
    </row>
    <row r="158" spans="1:20" ht="15" x14ac:dyDescent="0.2">
      <c r="A158" s="126">
        <v>315536524</v>
      </c>
      <c r="B158" s="127" t="s">
        <v>163</v>
      </c>
      <c r="C158" s="127" t="s">
        <v>113</v>
      </c>
      <c r="D158" s="128">
        <v>45907</v>
      </c>
      <c r="E158" s="128">
        <v>45909</v>
      </c>
      <c r="F158" s="129">
        <v>45901</v>
      </c>
      <c r="G158" s="127">
        <v>3</v>
      </c>
      <c r="H158" s="127">
        <v>2</v>
      </c>
      <c r="I158" s="127">
        <v>0</v>
      </c>
      <c r="J158" s="127">
        <v>1</v>
      </c>
      <c r="K158" s="127">
        <v>0</v>
      </c>
      <c r="L158" s="165">
        <v>812.22888786340559</v>
      </c>
      <c r="M158" s="131">
        <f t="shared" si="11"/>
        <v>1624.4577757268112</v>
      </c>
      <c r="N158" s="131"/>
      <c r="O158" s="132">
        <v>3183</v>
      </c>
      <c r="P158" s="133">
        <v>46007</v>
      </c>
      <c r="Q158" s="182">
        <f t="shared" si="12"/>
        <v>1558.5422242731888</v>
      </c>
      <c r="R158" s="137"/>
      <c r="S158" s="135">
        <v>46023</v>
      </c>
      <c r="T158" s="136"/>
    </row>
    <row r="159" spans="1:20" ht="15" x14ac:dyDescent="0.2">
      <c r="A159" s="138">
        <v>32345035</v>
      </c>
      <c r="B159" s="127" t="s">
        <v>165</v>
      </c>
      <c r="C159" s="127" t="s">
        <v>118</v>
      </c>
      <c r="D159" s="128">
        <v>45804</v>
      </c>
      <c r="E159" s="128">
        <v>45805</v>
      </c>
      <c r="F159" s="129">
        <v>45778</v>
      </c>
      <c r="G159" s="127">
        <v>2</v>
      </c>
      <c r="H159" s="127">
        <v>2</v>
      </c>
      <c r="I159" s="127">
        <v>0</v>
      </c>
      <c r="J159" s="127">
        <v>0</v>
      </c>
      <c r="K159" s="127">
        <v>0</v>
      </c>
      <c r="L159" s="165">
        <f>'📈 היסטוריית שכר'!C27</f>
        <v>815.41301338255641</v>
      </c>
      <c r="M159" s="131">
        <f t="shared" si="11"/>
        <v>1630.8260267651128</v>
      </c>
      <c r="N159" s="158">
        <v>564</v>
      </c>
      <c r="O159" s="132">
        <v>1409</v>
      </c>
      <c r="P159" s="133">
        <v>45988</v>
      </c>
      <c r="Q159" s="134">
        <f t="shared" si="12"/>
        <v>-221.82602676511283</v>
      </c>
      <c r="R159" s="134"/>
      <c r="S159" s="135">
        <v>45992</v>
      </c>
      <c r="T159" s="136"/>
    </row>
    <row r="160" spans="1:20" ht="15" x14ac:dyDescent="0.2">
      <c r="A160" s="138">
        <v>32345035</v>
      </c>
      <c r="B160" s="127" t="s">
        <v>165</v>
      </c>
      <c r="C160" s="127" t="s">
        <v>118</v>
      </c>
      <c r="D160" s="128">
        <v>45811</v>
      </c>
      <c r="E160" s="128">
        <v>45812</v>
      </c>
      <c r="F160" s="129">
        <v>45809</v>
      </c>
      <c r="G160" s="127">
        <v>2</v>
      </c>
      <c r="H160" s="127">
        <v>2</v>
      </c>
      <c r="I160" s="127">
        <v>0</v>
      </c>
      <c r="J160" s="127">
        <v>0</v>
      </c>
      <c r="K160" s="127">
        <v>0</v>
      </c>
      <c r="L160" s="165">
        <v>815.41301338255641</v>
      </c>
      <c r="M160" s="131">
        <f t="shared" si="11"/>
        <v>1630.8260267651128</v>
      </c>
      <c r="N160" s="158">
        <v>599</v>
      </c>
      <c r="O160" s="132">
        <v>1498</v>
      </c>
      <c r="P160" s="133">
        <v>45988</v>
      </c>
      <c r="Q160" s="134">
        <f t="shared" si="12"/>
        <v>-132.82602676511283</v>
      </c>
      <c r="R160" s="134"/>
      <c r="S160" s="135">
        <v>45992</v>
      </c>
      <c r="T160" s="136"/>
    </row>
    <row r="161" spans="1:20" ht="15" x14ac:dyDescent="0.2">
      <c r="A161" s="138">
        <v>32345035</v>
      </c>
      <c r="B161" s="127" t="s">
        <v>165</v>
      </c>
      <c r="C161" s="127" t="s">
        <v>118</v>
      </c>
      <c r="D161" s="128">
        <v>45817</v>
      </c>
      <c r="E161" s="128">
        <v>45818</v>
      </c>
      <c r="F161" s="129">
        <v>45809</v>
      </c>
      <c r="G161" s="127">
        <v>2</v>
      </c>
      <c r="H161" s="127">
        <v>2</v>
      </c>
      <c r="I161" s="127">
        <v>0</v>
      </c>
      <c r="J161" s="127">
        <v>0</v>
      </c>
      <c r="K161" s="127">
        <v>0</v>
      </c>
      <c r="L161" s="165">
        <v>815.41301338255641</v>
      </c>
      <c r="M161" s="131">
        <f t="shared" si="11"/>
        <v>1630.8260267651128</v>
      </c>
      <c r="N161" s="158">
        <v>599</v>
      </c>
      <c r="O161" s="132">
        <v>1498</v>
      </c>
      <c r="P161" s="133">
        <v>45988</v>
      </c>
      <c r="Q161" s="134">
        <f t="shared" si="12"/>
        <v>-132.82602676511283</v>
      </c>
      <c r="R161" s="134"/>
      <c r="S161" s="135">
        <v>45992</v>
      </c>
      <c r="T161" s="136"/>
    </row>
    <row r="162" spans="1:20" ht="15" x14ac:dyDescent="0.2">
      <c r="A162" s="138">
        <v>32345035</v>
      </c>
      <c r="B162" s="127" t="s">
        <v>165</v>
      </c>
      <c r="C162" s="127" t="s">
        <v>118</v>
      </c>
      <c r="D162" s="128">
        <v>45820</v>
      </c>
      <c r="E162" s="128">
        <v>45836</v>
      </c>
      <c r="F162" s="129">
        <v>45809</v>
      </c>
      <c r="G162" s="127">
        <v>17</v>
      </c>
      <c r="H162" s="127">
        <f>G162-I162-J162-K162</f>
        <v>11</v>
      </c>
      <c r="I162" s="127">
        <v>3</v>
      </c>
      <c r="J162" s="127">
        <v>3</v>
      </c>
      <c r="K162" s="127">
        <v>0</v>
      </c>
      <c r="L162" s="165">
        <v>815.41301338255641</v>
      </c>
      <c r="M162" s="131">
        <f t="shared" si="11"/>
        <v>8969.54314720812</v>
      </c>
      <c r="N162" s="158">
        <v>849</v>
      </c>
      <c r="O162" s="132">
        <f>11275+749</f>
        <v>12024</v>
      </c>
      <c r="P162" s="133">
        <v>45988</v>
      </c>
      <c r="Q162" s="137">
        <f t="shared" si="12"/>
        <v>3054.45685279188</v>
      </c>
      <c r="R162" s="137"/>
      <c r="S162" s="135">
        <v>45992</v>
      </c>
      <c r="T162" s="136"/>
    </row>
    <row r="163" spans="1:20" ht="15" x14ac:dyDescent="0.2">
      <c r="A163" s="126">
        <f>'📈 היסטוריית שכר'!A28</f>
        <v>206184806</v>
      </c>
      <c r="B163" s="127" t="s">
        <v>567</v>
      </c>
      <c r="C163" s="127" t="s">
        <v>578</v>
      </c>
      <c r="D163" s="133">
        <v>45956</v>
      </c>
      <c r="E163" s="133">
        <v>45959</v>
      </c>
      <c r="F163" s="135">
        <v>45931</v>
      </c>
      <c r="G163" s="127">
        <v>4</v>
      </c>
      <c r="H163" s="127">
        <v>4</v>
      </c>
      <c r="I163" s="127">
        <v>0</v>
      </c>
      <c r="J163" s="127">
        <v>0</v>
      </c>
      <c r="K163" s="127">
        <v>0</v>
      </c>
      <c r="L163" s="165">
        <f>'📈 היסטוריית שכר'!C28</f>
        <v>822.61190586063674</v>
      </c>
      <c r="M163" s="131">
        <f t="shared" si="11"/>
        <v>3290.447623442547</v>
      </c>
      <c r="N163" s="136"/>
      <c r="O163" s="132">
        <v>2250</v>
      </c>
      <c r="P163" s="133">
        <v>45988</v>
      </c>
      <c r="Q163" s="134">
        <f t="shared" si="12"/>
        <v>-1040.447623442547</v>
      </c>
      <c r="R163" s="134"/>
      <c r="S163" s="135">
        <v>46023</v>
      </c>
      <c r="T163" s="136" t="s">
        <v>605</v>
      </c>
    </row>
    <row r="164" spans="1:20" ht="15" x14ac:dyDescent="0.2">
      <c r="A164" s="126">
        <v>206184806</v>
      </c>
      <c r="B164" s="127" t="s">
        <v>567</v>
      </c>
      <c r="C164" s="127" t="s">
        <v>578</v>
      </c>
      <c r="D164" s="133">
        <v>45977</v>
      </c>
      <c r="E164" s="133">
        <v>45979</v>
      </c>
      <c r="F164" s="135">
        <v>45962</v>
      </c>
      <c r="G164" s="127">
        <v>3</v>
      </c>
      <c r="H164" s="127">
        <v>3</v>
      </c>
      <c r="I164" s="127">
        <v>0</v>
      </c>
      <c r="J164" s="127">
        <v>0</v>
      </c>
      <c r="K164" s="127">
        <v>0</v>
      </c>
      <c r="L164" s="165">
        <v>822.61190586063674</v>
      </c>
      <c r="M164" s="131">
        <f t="shared" si="11"/>
        <v>2467.8357175819101</v>
      </c>
      <c r="N164" s="136"/>
      <c r="O164" s="132">
        <v>2025</v>
      </c>
      <c r="P164" s="133">
        <v>46007</v>
      </c>
      <c r="Q164" s="134">
        <f t="shared" si="12"/>
        <v>-442.8357175819101</v>
      </c>
      <c r="R164" s="134"/>
      <c r="S164" s="135">
        <v>46023</v>
      </c>
      <c r="T164" s="136" t="s">
        <v>605</v>
      </c>
    </row>
    <row r="165" spans="1:20" ht="15" x14ac:dyDescent="0.2">
      <c r="A165" s="126">
        <f>'📈 היסטוריית שכר'!A5</f>
        <v>211877550</v>
      </c>
      <c r="B165" s="127" t="s">
        <v>112</v>
      </c>
      <c r="C165" s="127" t="s">
        <v>118</v>
      </c>
      <c r="D165" s="133">
        <v>46005</v>
      </c>
      <c r="E165" s="133">
        <v>46007</v>
      </c>
      <c r="F165" s="135">
        <v>45992</v>
      </c>
      <c r="G165" s="127">
        <v>3</v>
      </c>
      <c r="H165" s="127">
        <v>3</v>
      </c>
      <c r="I165" s="127">
        <v>0</v>
      </c>
      <c r="J165" s="127">
        <v>0</v>
      </c>
      <c r="K165" s="127">
        <v>0</v>
      </c>
      <c r="L165" s="165">
        <f>'📈 היסטוריית שכר'!C5</f>
        <v>922.93493308721725</v>
      </c>
      <c r="M165" s="131">
        <f t="shared" si="11"/>
        <v>2768.8047992616516</v>
      </c>
      <c r="N165" s="136"/>
      <c r="O165" s="132">
        <v>2135</v>
      </c>
      <c r="P165" s="133">
        <v>46041</v>
      </c>
      <c r="Q165" s="134">
        <f t="shared" si="12"/>
        <v>-633.80479926165162</v>
      </c>
      <c r="R165" s="134"/>
      <c r="S165" s="135">
        <v>46023</v>
      </c>
      <c r="T165" s="136"/>
    </row>
    <row r="166" spans="1:20" ht="15" x14ac:dyDescent="0.2">
      <c r="A166" s="126">
        <f>'📈 היסטוריית שכר'!A29</f>
        <v>213026206</v>
      </c>
      <c r="B166" s="127" t="s">
        <v>579</v>
      </c>
      <c r="C166" s="127" t="s">
        <v>118</v>
      </c>
      <c r="D166" s="133">
        <v>45957</v>
      </c>
      <c r="E166" s="133">
        <v>45957</v>
      </c>
      <c r="F166" s="135">
        <v>45931</v>
      </c>
      <c r="G166" s="127">
        <v>1</v>
      </c>
      <c r="H166" s="127">
        <v>1</v>
      </c>
      <c r="I166" s="127">
        <v>0</v>
      </c>
      <c r="J166" s="127">
        <v>0</v>
      </c>
      <c r="K166" s="127">
        <v>0</v>
      </c>
      <c r="L166" s="165">
        <f>'📈 היסטוריית שכר'!C29</f>
        <v>730.318412551915</v>
      </c>
      <c r="M166" s="131">
        <f t="shared" si="11"/>
        <v>730.318412551915</v>
      </c>
      <c r="N166" s="136"/>
      <c r="O166" s="132">
        <v>321</v>
      </c>
      <c r="P166" s="133">
        <v>46054</v>
      </c>
      <c r="Q166" s="134">
        <f t="shared" si="12"/>
        <v>-409.318412551915</v>
      </c>
      <c r="R166" s="134"/>
      <c r="S166" s="135">
        <v>46023</v>
      </c>
      <c r="T166" s="136" t="s">
        <v>600</v>
      </c>
    </row>
    <row r="167" spans="1:20" ht="15" x14ac:dyDescent="0.2">
      <c r="A167" s="126">
        <v>213026206</v>
      </c>
      <c r="B167" s="127" t="s">
        <v>579</v>
      </c>
      <c r="C167" s="127" t="s">
        <v>118</v>
      </c>
      <c r="D167" s="133">
        <v>45965</v>
      </c>
      <c r="E167" s="133">
        <v>45965</v>
      </c>
      <c r="F167" s="135">
        <v>45962</v>
      </c>
      <c r="G167" s="127">
        <v>1</v>
      </c>
      <c r="H167" s="127">
        <v>1</v>
      </c>
      <c r="I167" s="127">
        <v>0</v>
      </c>
      <c r="J167" s="127">
        <v>0</v>
      </c>
      <c r="K167" s="127">
        <v>0</v>
      </c>
      <c r="L167" s="165">
        <f>'📈 היסטוריית שכר'!C29</f>
        <v>730.318412551915</v>
      </c>
      <c r="M167" s="131">
        <f t="shared" si="11"/>
        <v>730.318412551915</v>
      </c>
      <c r="N167" s="136"/>
      <c r="O167" s="132">
        <v>321</v>
      </c>
      <c r="P167" s="133">
        <v>46007</v>
      </c>
      <c r="Q167" s="134">
        <f t="shared" si="12"/>
        <v>-409.318412551915</v>
      </c>
      <c r="R167" s="134"/>
      <c r="S167" s="135">
        <v>46023</v>
      </c>
      <c r="T167" s="136" t="s">
        <v>600</v>
      </c>
    </row>
    <row r="168" spans="1:20" ht="15" x14ac:dyDescent="0.2">
      <c r="A168" s="126">
        <v>213026206</v>
      </c>
      <c r="B168" s="127" t="s">
        <v>579</v>
      </c>
      <c r="C168" s="127" t="s">
        <v>118</v>
      </c>
      <c r="D168" s="133">
        <v>45972</v>
      </c>
      <c r="E168" s="133">
        <v>45973</v>
      </c>
      <c r="F168" s="135">
        <v>45962</v>
      </c>
      <c r="G168" s="127">
        <v>2</v>
      </c>
      <c r="H168" s="127">
        <v>2</v>
      </c>
      <c r="I168" s="127">
        <v>0</v>
      </c>
      <c r="J168" s="127">
        <v>0</v>
      </c>
      <c r="K168" s="127">
        <v>0</v>
      </c>
      <c r="L168" s="165">
        <v>730.318412551915</v>
      </c>
      <c r="M168" s="131">
        <f t="shared" si="11"/>
        <v>1460.63682510383</v>
      </c>
      <c r="N168" s="136"/>
      <c r="O168" s="132">
        <f>321+450</f>
        <v>771</v>
      </c>
      <c r="P168" s="133">
        <v>46007</v>
      </c>
      <c r="Q168" s="134">
        <f t="shared" si="12"/>
        <v>-689.63682510383001</v>
      </c>
      <c r="R168" s="134"/>
      <c r="S168" s="135">
        <v>46023</v>
      </c>
      <c r="T168" s="136" t="s">
        <v>600</v>
      </c>
    </row>
    <row r="169" spans="1:20" ht="15" x14ac:dyDescent="0.2">
      <c r="A169" s="126">
        <v>213026206</v>
      </c>
      <c r="B169" s="127" t="s">
        <v>579</v>
      </c>
      <c r="C169" s="127" t="s">
        <v>118</v>
      </c>
      <c r="D169" s="133">
        <v>45998</v>
      </c>
      <c r="E169" s="133">
        <v>45999</v>
      </c>
      <c r="F169" s="135">
        <v>45992</v>
      </c>
      <c r="G169" s="127">
        <v>2</v>
      </c>
      <c r="H169" s="127">
        <v>2</v>
      </c>
      <c r="I169" s="127">
        <v>0</v>
      </c>
      <c r="J169" s="127">
        <v>0</v>
      </c>
      <c r="K169" s="127">
        <v>0</v>
      </c>
      <c r="L169" s="165">
        <v>730.318412551915</v>
      </c>
      <c r="M169" s="131">
        <f t="shared" si="11"/>
        <v>1460.63682510383</v>
      </c>
      <c r="N169" s="136"/>
      <c r="O169" s="132">
        <v>642</v>
      </c>
      <c r="P169" s="133">
        <v>46041</v>
      </c>
      <c r="Q169" s="134">
        <f t="shared" si="12"/>
        <v>-818.63682510383001</v>
      </c>
      <c r="R169" s="134"/>
      <c r="S169" s="135">
        <v>46023</v>
      </c>
      <c r="T169" s="136" t="s">
        <v>600</v>
      </c>
    </row>
    <row r="170" spans="1:20" ht="15" x14ac:dyDescent="0.2">
      <c r="A170" s="126">
        <v>213026206</v>
      </c>
      <c r="B170" s="127" t="s">
        <v>579</v>
      </c>
      <c r="C170" s="127" t="s">
        <v>118</v>
      </c>
      <c r="D170" s="133">
        <v>46009</v>
      </c>
      <c r="E170" s="133">
        <v>46009</v>
      </c>
      <c r="F170" s="135">
        <v>45992</v>
      </c>
      <c r="G170" s="127">
        <v>1</v>
      </c>
      <c r="H170" s="127">
        <v>1</v>
      </c>
      <c r="I170" s="127">
        <v>0</v>
      </c>
      <c r="J170" s="127">
        <v>0</v>
      </c>
      <c r="K170" s="127">
        <v>0</v>
      </c>
      <c r="L170" s="165">
        <v>730.318412551915</v>
      </c>
      <c r="M170" s="131">
        <f t="shared" si="11"/>
        <v>730.318412551915</v>
      </c>
      <c r="N170" s="136"/>
      <c r="O170" s="132">
        <v>321</v>
      </c>
      <c r="P170" s="133">
        <v>46041</v>
      </c>
      <c r="Q170" s="134">
        <f t="shared" si="12"/>
        <v>-409.318412551915</v>
      </c>
      <c r="R170" s="134"/>
      <c r="S170" s="135">
        <v>46023</v>
      </c>
      <c r="T170" s="136" t="s">
        <v>600</v>
      </c>
    </row>
    <row r="171" spans="1:20" ht="15" x14ac:dyDescent="0.2">
      <c r="A171" s="126">
        <v>213026206</v>
      </c>
      <c r="B171" s="127" t="s">
        <v>579</v>
      </c>
      <c r="C171" s="127" t="s">
        <v>118</v>
      </c>
      <c r="D171" s="133">
        <v>46014</v>
      </c>
      <c r="E171" s="133">
        <v>46014</v>
      </c>
      <c r="F171" s="135">
        <v>45992</v>
      </c>
      <c r="G171" s="127">
        <v>1</v>
      </c>
      <c r="H171" s="127">
        <v>1</v>
      </c>
      <c r="I171" s="127">
        <v>0</v>
      </c>
      <c r="J171" s="127">
        <v>0</v>
      </c>
      <c r="K171" s="127">
        <v>0</v>
      </c>
      <c r="L171" s="165">
        <v>730.318412551915</v>
      </c>
      <c r="M171" s="131">
        <f t="shared" si="11"/>
        <v>730.318412551915</v>
      </c>
      <c r="N171" s="136"/>
      <c r="O171" s="132">
        <v>321</v>
      </c>
      <c r="P171" s="133">
        <v>46041</v>
      </c>
      <c r="Q171" s="134">
        <f t="shared" si="12"/>
        <v>-409.318412551915</v>
      </c>
      <c r="R171" s="134"/>
      <c r="S171" s="135">
        <v>46023</v>
      </c>
      <c r="T171" s="136" t="s">
        <v>600</v>
      </c>
    </row>
    <row r="172" spans="1:20" ht="15" x14ac:dyDescent="0.2">
      <c r="A172" s="126">
        <v>213026206</v>
      </c>
      <c r="B172" s="127" t="s">
        <v>579</v>
      </c>
      <c r="C172" s="127" t="s">
        <v>118</v>
      </c>
      <c r="D172" s="133">
        <v>46014</v>
      </c>
      <c r="E172" s="133">
        <v>46019</v>
      </c>
      <c r="F172" s="135">
        <v>45992</v>
      </c>
      <c r="G172" s="127">
        <v>1</v>
      </c>
      <c r="H172" s="127">
        <v>1</v>
      </c>
      <c r="I172" s="127">
        <v>0</v>
      </c>
      <c r="J172" s="127">
        <v>0</v>
      </c>
      <c r="K172" s="127">
        <v>0</v>
      </c>
      <c r="L172" s="165">
        <v>730.318412551915</v>
      </c>
      <c r="M172" s="131">
        <f t="shared" si="11"/>
        <v>730.318412551915</v>
      </c>
      <c r="N172" s="136"/>
      <c r="O172" s="132">
        <v>321</v>
      </c>
      <c r="P172" s="133">
        <v>46041</v>
      </c>
      <c r="Q172" s="134">
        <f t="shared" si="12"/>
        <v>-409.318412551915</v>
      </c>
      <c r="R172" s="134"/>
      <c r="S172" s="135">
        <v>46023</v>
      </c>
      <c r="T172" s="136" t="s">
        <v>600</v>
      </c>
    </row>
    <row r="173" spans="1:20" ht="15" x14ac:dyDescent="0.2">
      <c r="A173" s="126" t="s">
        <v>580</v>
      </c>
      <c r="B173" s="127" t="s">
        <v>581</v>
      </c>
      <c r="C173" s="127" t="s">
        <v>118</v>
      </c>
      <c r="D173" s="133">
        <v>46015</v>
      </c>
      <c r="E173" s="133">
        <v>46015</v>
      </c>
      <c r="F173" s="135">
        <v>45992</v>
      </c>
      <c r="G173" s="127">
        <v>1</v>
      </c>
      <c r="H173" s="127">
        <v>1</v>
      </c>
      <c r="I173" s="127">
        <v>0</v>
      </c>
      <c r="J173" s="127">
        <v>0</v>
      </c>
      <c r="K173" s="127">
        <v>0</v>
      </c>
      <c r="L173" s="165">
        <f>'📈 היסטוריית שכר'!C30</f>
        <v>1191.7858790955236</v>
      </c>
      <c r="M173" s="131">
        <f t="shared" si="11"/>
        <v>1191.7858790955236</v>
      </c>
      <c r="N173" s="136"/>
      <c r="O173" s="132">
        <v>321</v>
      </c>
      <c r="P173" s="133">
        <v>46041</v>
      </c>
      <c r="Q173" s="134">
        <f t="shared" si="12"/>
        <v>-870.78587909552357</v>
      </c>
      <c r="R173" s="134"/>
      <c r="S173" s="135">
        <v>46023</v>
      </c>
      <c r="T173" s="136"/>
    </row>
    <row r="174" spans="1:20" ht="15" x14ac:dyDescent="0.2">
      <c r="A174" s="138" t="s">
        <v>445</v>
      </c>
      <c r="B174" s="127" t="s">
        <v>125</v>
      </c>
      <c r="C174" s="127" t="s">
        <v>118</v>
      </c>
      <c r="D174" s="128">
        <v>45978</v>
      </c>
      <c r="E174" s="128">
        <v>45980</v>
      </c>
      <c r="F174" s="129">
        <v>45962</v>
      </c>
      <c r="G174" s="127">
        <v>3</v>
      </c>
      <c r="H174" s="127">
        <v>3</v>
      </c>
      <c r="I174" s="127">
        <v>0</v>
      </c>
      <c r="J174" s="127">
        <v>0</v>
      </c>
      <c r="K174" s="127">
        <v>0</v>
      </c>
      <c r="L174" s="130">
        <v>877</v>
      </c>
      <c r="M174" s="131">
        <f t="shared" si="11"/>
        <v>2631</v>
      </c>
      <c r="N174" s="131"/>
      <c r="O174" s="132">
        <v>2804</v>
      </c>
      <c r="P174" s="133">
        <v>46007</v>
      </c>
      <c r="Q174" s="137">
        <f t="shared" si="12"/>
        <v>173</v>
      </c>
      <c r="R174" s="134"/>
      <c r="S174" s="135">
        <v>46023</v>
      </c>
      <c r="T174" s="136"/>
    </row>
    <row r="175" spans="1:20" ht="15" x14ac:dyDescent="0.2">
      <c r="A175" s="126">
        <v>206092371</v>
      </c>
      <c r="B175" s="127" t="s">
        <v>573</v>
      </c>
      <c r="C175" s="136" t="s">
        <v>118</v>
      </c>
      <c r="D175" s="133">
        <v>45981</v>
      </c>
      <c r="E175" s="133">
        <v>45984</v>
      </c>
      <c r="F175" s="135">
        <v>45962</v>
      </c>
      <c r="G175" s="127">
        <v>4</v>
      </c>
      <c r="H175" s="127">
        <v>2</v>
      </c>
      <c r="I175" s="127">
        <v>0</v>
      </c>
      <c r="J175" s="127">
        <v>0</v>
      </c>
      <c r="K175" s="127">
        <v>0</v>
      </c>
      <c r="L175" s="165">
        <v>846.00830641439768</v>
      </c>
      <c r="M175" s="131">
        <f t="shared" si="11"/>
        <v>1692.0166128287954</v>
      </c>
      <c r="N175" s="136"/>
      <c r="O175" s="132">
        <v>4518</v>
      </c>
      <c r="P175" s="133">
        <v>46007</v>
      </c>
      <c r="Q175" s="137">
        <f t="shared" si="12"/>
        <v>2825.9833871712044</v>
      </c>
      <c r="R175" s="137"/>
      <c r="S175" s="135">
        <v>45992</v>
      </c>
      <c r="T175" s="136"/>
    </row>
    <row r="176" spans="1:20" ht="15" x14ac:dyDescent="0.2">
      <c r="A176" s="126" t="s">
        <v>447</v>
      </c>
      <c r="B176" s="127" t="s">
        <v>128</v>
      </c>
      <c r="C176" s="136" t="s">
        <v>118</v>
      </c>
      <c r="D176" s="133">
        <v>45963</v>
      </c>
      <c r="E176" s="133">
        <v>45967</v>
      </c>
      <c r="F176" s="135">
        <v>45962</v>
      </c>
      <c r="G176" s="136">
        <v>5</v>
      </c>
      <c r="H176" s="136">
        <v>5</v>
      </c>
      <c r="I176" s="136">
        <v>0</v>
      </c>
      <c r="J176" s="136">
        <v>0</v>
      </c>
      <c r="K176" s="136">
        <v>0</v>
      </c>
      <c r="L176" s="165">
        <v>670.28149515459154</v>
      </c>
      <c r="M176" s="131">
        <f t="shared" si="11"/>
        <v>3351.4074757729577</v>
      </c>
      <c r="N176" s="136"/>
      <c r="O176" s="132">
        <v>3918</v>
      </c>
      <c r="P176" s="133">
        <v>46007</v>
      </c>
      <c r="Q176" s="137">
        <f t="shared" si="12"/>
        <v>566.5925242270423</v>
      </c>
      <c r="R176" s="142"/>
      <c r="S176" s="135">
        <v>46023</v>
      </c>
      <c r="T176" s="136"/>
    </row>
    <row r="177" spans="1:20" ht="15" x14ac:dyDescent="0.2">
      <c r="A177" s="126" t="s">
        <v>447</v>
      </c>
      <c r="B177" s="127" t="s">
        <v>128</v>
      </c>
      <c r="C177" s="136" t="s">
        <v>118</v>
      </c>
      <c r="D177" s="133">
        <v>45970</v>
      </c>
      <c r="E177" s="133">
        <v>45973</v>
      </c>
      <c r="F177" s="135">
        <v>45962</v>
      </c>
      <c r="G177" s="136">
        <v>4</v>
      </c>
      <c r="H177" s="136">
        <v>4</v>
      </c>
      <c r="I177" s="136">
        <v>0</v>
      </c>
      <c r="J177" s="136">
        <v>0</v>
      </c>
      <c r="K177" s="136">
        <v>0</v>
      </c>
      <c r="L177" s="165">
        <v>670.28149515459154</v>
      </c>
      <c r="M177" s="131">
        <f t="shared" ref="M177:M208" si="13">L177*H177</f>
        <v>2681.1259806183662</v>
      </c>
      <c r="N177" s="136"/>
      <c r="O177" s="132">
        <v>3134</v>
      </c>
      <c r="P177" s="133">
        <v>46007</v>
      </c>
      <c r="Q177" s="137">
        <f t="shared" si="12"/>
        <v>452.87401938163384</v>
      </c>
      <c r="R177" s="142"/>
      <c r="S177" s="135">
        <v>46023</v>
      </c>
      <c r="T177" s="136"/>
    </row>
    <row r="178" spans="1:20" ht="15" x14ac:dyDescent="0.2">
      <c r="A178" s="126" t="s">
        <v>447</v>
      </c>
      <c r="B178" s="127" t="s">
        <v>128</v>
      </c>
      <c r="C178" s="136" t="s">
        <v>118</v>
      </c>
      <c r="D178" s="133">
        <v>45979</v>
      </c>
      <c r="E178" s="133">
        <v>45979</v>
      </c>
      <c r="F178" s="135">
        <v>45962</v>
      </c>
      <c r="G178" s="136">
        <v>1</v>
      </c>
      <c r="H178" s="136">
        <v>1</v>
      </c>
      <c r="I178" s="136">
        <v>0</v>
      </c>
      <c r="J178" s="136">
        <v>0</v>
      </c>
      <c r="K178" s="136">
        <v>0</v>
      </c>
      <c r="L178" s="165">
        <v>670.28149515459154</v>
      </c>
      <c r="M178" s="131">
        <f t="shared" si="13"/>
        <v>670.28149515459154</v>
      </c>
      <c r="N178" s="136"/>
      <c r="O178" s="132">
        <v>784</v>
      </c>
      <c r="P178" s="133">
        <v>46007</v>
      </c>
      <c r="Q178" s="137">
        <f t="shared" si="12"/>
        <v>113.71850484540846</v>
      </c>
      <c r="R178" s="142"/>
      <c r="S178" s="135">
        <v>46023</v>
      </c>
      <c r="T178" s="136"/>
    </row>
    <row r="179" spans="1:20" ht="15" x14ac:dyDescent="0.2">
      <c r="A179" s="126" t="s">
        <v>447</v>
      </c>
      <c r="B179" s="127" t="s">
        <v>128</v>
      </c>
      <c r="C179" s="136" t="s">
        <v>118</v>
      </c>
      <c r="D179" s="133">
        <v>45998</v>
      </c>
      <c r="E179" s="133">
        <v>46002</v>
      </c>
      <c r="F179" s="135">
        <v>45992</v>
      </c>
      <c r="G179" s="136">
        <v>5</v>
      </c>
      <c r="H179" s="136">
        <v>5</v>
      </c>
      <c r="I179" s="136">
        <v>0</v>
      </c>
      <c r="J179" s="136">
        <v>0</v>
      </c>
      <c r="K179" s="136">
        <v>0</v>
      </c>
      <c r="L179" s="165">
        <v>670.28149515459154</v>
      </c>
      <c r="M179" s="131">
        <f t="shared" si="13"/>
        <v>3351.4074757729577</v>
      </c>
      <c r="N179" s="136"/>
      <c r="O179" s="132">
        <v>4039</v>
      </c>
      <c r="P179" s="133">
        <v>46041</v>
      </c>
      <c r="Q179" s="137">
        <f t="shared" si="12"/>
        <v>687.5925242270423</v>
      </c>
      <c r="R179" s="137"/>
      <c r="S179" s="135">
        <v>46023</v>
      </c>
      <c r="T179" s="136"/>
    </row>
    <row r="180" spans="1:20" ht="15" x14ac:dyDescent="0.2">
      <c r="A180" s="126" t="s">
        <v>447</v>
      </c>
      <c r="B180" s="127" t="s">
        <v>128</v>
      </c>
      <c r="C180" s="136" t="s">
        <v>118</v>
      </c>
      <c r="D180" s="133">
        <v>46006</v>
      </c>
      <c r="E180" s="133">
        <v>46006</v>
      </c>
      <c r="F180" s="135">
        <v>45992</v>
      </c>
      <c r="G180" s="136">
        <v>1</v>
      </c>
      <c r="H180" s="136">
        <v>1</v>
      </c>
      <c r="I180" s="136">
        <v>0</v>
      </c>
      <c r="J180" s="136">
        <v>0</v>
      </c>
      <c r="K180" s="136">
        <v>0</v>
      </c>
      <c r="L180" s="165">
        <v>670.28149515459154</v>
      </c>
      <c r="M180" s="131">
        <f t="shared" si="13"/>
        <v>670.28149515459154</v>
      </c>
      <c r="N180" s="136"/>
      <c r="O180" s="132">
        <v>577</v>
      </c>
      <c r="P180" s="133">
        <v>46041</v>
      </c>
      <c r="Q180" s="134">
        <f t="shared" si="12"/>
        <v>-93.281495154591539</v>
      </c>
      <c r="R180" s="134"/>
      <c r="S180" s="135">
        <v>46023</v>
      </c>
      <c r="T180" s="136"/>
    </row>
    <row r="181" spans="1:20" ht="15" x14ac:dyDescent="0.2">
      <c r="A181" s="126" t="s">
        <v>447</v>
      </c>
      <c r="B181" s="127" t="s">
        <v>128</v>
      </c>
      <c r="C181" s="136" t="s">
        <v>118</v>
      </c>
      <c r="D181" s="133">
        <v>46008</v>
      </c>
      <c r="E181" s="133">
        <v>46008</v>
      </c>
      <c r="F181" s="135">
        <v>45992</v>
      </c>
      <c r="G181" s="136">
        <v>1</v>
      </c>
      <c r="H181" s="136">
        <v>1</v>
      </c>
      <c r="I181" s="136">
        <v>0</v>
      </c>
      <c r="J181" s="136">
        <v>0</v>
      </c>
      <c r="K181" s="136">
        <v>0</v>
      </c>
      <c r="L181" s="165">
        <v>670.28149515459154</v>
      </c>
      <c r="M181" s="131">
        <f t="shared" si="13"/>
        <v>670.28149515459154</v>
      </c>
      <c r="N181" s="136"/>
      <c r="O181" s="132">
        <v>577</v>
      </c>
      <c r="P181" s="133">
        <v>46041</v>
      </c>
      <c r="Q181" s="134">
        <f t="shared" si="12"/>
        <v>-93.281495154591539</v>
      </c>
      <c r="R181" s="134"/>
      <c r="S181" s="135">
        <v>46023</v>
      </c>
      <c r="T181" s="136"/>
    </row>
    <row r="182" spans="1:20" ht="15" x14ac:dyDescent="0.2">
      <c r="A182" s="161" t="s">
        <v>442</v>
      </c>
      <c r="B182" s="162" t="s">
        <v>139</v>
      </c>
      <c r="C182" s="162" t="s">
        <v>135</v>
      </c>
      <c r="D182" s="163">
        <v>45951</v>
      </c>
      <c r="E182" s="163">
        <v>45952</v>
      </c>
      <c r="F182" s="164">
        <v>45931</v>
      </c>
      <c r="G182" s="162">
        <v>2</v>
      </c>
      <c r="H182" s="162">
        <v>2</v>
      </c>
      <c r="I182" s="162">
        <v>0</v>
      </c>
      <c r="J182" s="162">
        <v>0</v>
      </c>
      <c r="K182" s="162">
        <v>0</v>
      </c>
      <c r="L182" s="183">
        <v>1107.3373327180434</v>
      </c>
      <c r="M182" s="184">
        <f t="shared" si="13"/>
        <v>2214.6746654360868</v>
      </c>
      <c r="N182" s="185"/>
      <c r="O182" s="132">
        <v>2382</v>
      </c>
      <c r="P182" s="186">
        <v>45988</v>
      </c>
      <c r="Q182" s="137">
        <f t="shared" si="12"/>
        <v>167.3253345639132</v>
      </c>
      <c r="R182" s="137"/>
      <c r="S182" s="136"/>
      <c r="T182" s="136"/>
    </row>
    <row r="183" spans="1:20" ht="15" x14ac:dyDescent="0.2">
      <c r="A183" s="138">
        <v>209501998</v>
      </c>
      <c r="B183" s="127" t="s">
        <v>145</v>
      </c>
      <c r="C183" s="127" t="s">
        <v>135</v>
      </c>
      <c r="D183" s="128">
        <v>45956</v>
      </c>
      <c r="E183" s="128">
        <v>45959</v>
      </c>
      <c r="F183" s="129">
        <v>45931</v>
      </c>
      <c r="G183" s="127">
        <v>4</v>
      </c>
      <c r="H183" s="127">
        <v>4</v>
      </c>
      <c r="I183" s="127">
        <v>0</v>
      </c>
      <c r="J183" s="127">
        <v>0</v>
      </c>
      <c r="K183" s="127">
        <v>0</v>
      </c>
      <c r="L183" s="130">
        <v>738.34794646977377</v>
      </c>
      <c r="M183" s="131">
        <f t="shared" si="13"/>
        <v>2953.3917858790951</v>
      </c>
      <c r="N183" s="136"/>
      <c r="O183" s="160">
        <v>3473</v>
      </c>
      <c r="P183" s="133">
        <v>45988</v>
      </c>
      <c r="Q183" s="137">
        <f t="shared" si="12"/>
        <v>519.6082141209049</v>
      </c>
      <c r="R183" s="137"/>
      <c r="S183" s="135">
        <v>45992</v>
      </c>
      <c r="T183" s="136"/>
    </row>
    <row r="184" spans="1:20" ht="15" x14ac:dyDescent="0.2">
      <c r="A184" s="138">
        <v>209501998</v>
      </c>
      <c r="B184" s="127" t="s">
        <v>145</v>
      </c>
      <c r="C184" s="127" t="s">
        <v>135</v>
      </c>
      <c r="D184" s="128">
        <v>45992</v>
      </c>
      <c r="E184" s="128">
        <v>45992</v>
      </c>
      <c r="F184" s="129">
        <v>45992</v>
      </c>
      <c r="G184" s="127">
        <v>1</v>
      </c>
      <c r="H184" s="127">
        <v>1</v>
      </c>
      <c r="I184" s="127">
        <v>0</v>
      </c>
      <c r="J184" s="127">
        <v>0</v>
      </c>
      <c r="K184" s="127">
        <v>0</v>
      </c>
      <c r="L184" s="130">
        <v>738.34794646977377</v>
      </c>
      <c r="M184" s="131">
        <f t="shared" si="13"/>
        <v>738.34794646977377</v>
      </c>
      <c r="N184" s="136"/>
      <c r="O184" s="132">
        <v>868</v>
      </c>
      <c r="P184" s="133">
        <v>46041</v>
      </c>
      <c r="Q184" s="137">
        <f t="shared" si="12"/>
        <v>129.65205353022623</v>
      </c>
      <c r="R184" s="137"/>
      <c r="S184" s="135">
        <v>46023</v>
      </c>
      <c r="T184" s="136"/>
    </row>
    <row r="185" spans="1:20" ht="15" x14ac:dyDescent="0.2">
      <c r="A185" s="138" t="s">
        <v>446</v>
      </c>
      <c r="B185" s="127" t="s">
        <v>149</v>
      </c>
      <c r="C185" s="127" t="s">
        <v>113</v>
      </c>
      <c r="D185" s="128">
        <v>45965</v>
      </c>
      <c r="E185" s="128">
        <v>45968</v>
      </c>
      <c r="F185" s="129">
        <v>45962</v>
      </c>
      <c r="G185" s="127">
        <v>4</v>
      </c>
      <c r="H185" s="127">
        <v>3</v>
      </c>
      <c r="I185" s="127">
        <v>1</v>
      </c>
      <c r="J185" s="127">
        <v>0</v>
      </c>
      <c r="K185" s="127">
        <v>0</v>
      </c>
      <c r="L185" s="130">
        <v>744.35</v>
      </c>
      <c r="M185" s="131">
        <f t="shared" si="13"/>
        <v>2233.0500000000002</v>
      </c>
      <c r="N185" s="136"/>
      <c r="O185" s="160">
        <v>4179</v>
      </c>
      <c r="P185" s="133">
        <v>46007</v>
      </c>
      <c r="Q185" s="137">
        <f>O185-M185+N185</f>
        <v>1945.9499999999998</v>
      </c>
      <c r="R185" s="137"/>
      <c r="S185" s="135">
        <v>46023</v>
      </c>
      <c r="T185" s="136"/>
    </row>
    <row r="186" spans="1:20" ht="15" x14ac:dyDescent="0.2">
      <c r="A186" s="138" t="s">
        <v>446</v>
      </c>
      <c r="B186" s="127" t="s">
        <v>149</v>
      </c>
      <c r="C186" s="127" t="s">
        <v>113</v>
      </c>
      <c r="D186" s="128">
        <v>45987</v>
      </c>
      <c r="E186" s="128">
        <v>45987</v>
      </c>
      <c r="F186" s="129">
        <v>45962</v>
      </c>
      <c r="G186" s="127">
        <v>1</v>
      </c>
      <c r="H186" s="127">
        <v>1</v>
      </c>
      <c r="I186" s="127">
        <v>0</v>
      </c>
      <c r="J186" s="127">
        <v>0</v>
      </c>
      <c r="K186" s="127">
        <v>0</v>
      </c>
      <c r="L186" s="130">
        <v>744.35</v>
      </c>
      <c r="M186" s="131">
        <f t="shared" si="13"/>
        <v>744.35</v>
      </c>
      <c r="N186" s="136"/>
      <c r="O186" s="160">
        <v>1045</v>
      </c>
      <c r="P186" s="133">
        <v>46007</v>
      </c>
      <c r="Q186" s="137">
        <f>O186-M186+N186</f>
        <v>300.64999999999998</v>
      </c>
      <c r="R186" s="137"/>
      <c r="S186" s="135">
        <v>46023</v>
      </c>
      <c r="T186" s="136"/>
    </row>
    <row r="187" spans="1:20" ht="15" x14ac:dyDescent="0.2">
      <c r="A187" s="138" t="s">
        <v>446</v>
      </c>
      <c r="B187" s="127" t="s">
        <v>149</v>
      </c>
      <c r="C187" s="127" t="s">
        <v>113</v>
      </c>
      <c r="D187" s="128">
        <v>45991</v>
      </c>
      <c r="E187" s="128">
        <v>45991</v>
      </c>
      <c r="F187" s="129">
        <v>45962</v>
      </c>
      <c r="G187" s="127">
        <v>1</v>
      </c>
      <c r="H187" s="127">
        <v>1</v>
      </c>
      <c r="I187" s="127">
        <v>0</v>
      </c>
      <c r="J187" s="127">
        <v>0</v>
      </c>
      <c r="K187" s="127">
        <v>0</v>
      </c>
      <c r="L187" s="130">
        <v>744.35</v>
      </c>
      <c r="M187" s="131">
        <f t="shared" si="13"/>
        <v>744.35</v>
      </c>
      <c r="N187" s="136"/>
      <c r="O187" s="132">
        <f>3135/3</f>
        <v>1045</v>
      </c>
      <c r="P187" s="133">
        <v>46007</v>
      </c>
      <c r="Q187" s="137">
        <f>O187-M187+N187</f>
        <v>300.64999999999998</v>
      </c>
      <c r="R187" s="137"/>
      <c r="S187" s="135">
        <v>46023</v>
      </c>
      <c r="T187" s="136"/>
    </row>
    <row r="188" spans="1:20" ht="15" x14ac:dyDescent="0.2">
      <c r="A188" s="138" t="s">
        <v>446</v>
      </c>
      <c r="B188" s="127" t="s">
        <v>149</v>
      </c>
      <c r="C188" s="127" t="s">
        <v>113</v>
      </c>
      <c r="D188" s="128">
        <v>45992</v>
      </c>
      <c r="E188" s="128">
        <v>45993</v>
      </c>
      <c r="F188" s="129">
        <v>45992</v>
      </c>
      <c r="G188" s="127">
        <v>2</v>
      </c>
      <c r="H188" s="127">
        <v>2</v>
      </c>
      <c r="I188" s="127">
        <v>0</v>
      </c>
      <c r="J188" s="127">
        <v>0</v>
      </c>
      <c r="K188" s="127">
        <v>0</v>
      </c>
      <c r="L188" s="130">
        <v>744.35</v>
      </c>
      <c r="M188" s="131">
        <f t="shared" si="13"/>
        <v>1488.7</v>
      </c>
      <c r="N188" s="136"/>
      <c r="O188" s="132">
        <f>3135-O187</f>
        <v>2090</v>
      </c>
      <c r="P188" s="133">
        <v>46007</v>
      </c>
      <c r="Q188" s="137">
        <f>O188-M188+N188</f>
        <v>601.29999999999995</v>
      </c>
      <c r="R188" s="137"/>
      <c r="S188" s="135">
        <v>46023</v>
      </c>
      <c r="T188" s="136"/>
    </row>
    <row r="189" spans="1:20" ht="15" x14ac:dyDescent="0.2">
      <c r="A189" s="138" t="s">
        <v>441</v>
      </c>
      <c r="B189" s="127" t="s">
        <v>152</v>
      </c>
      <c r="C189" s="127" t="s">
        <v>113</v>
      </c>
      <c r="D189" s="133">
        <v>45870</v>
      </c>
      <c r="E189" s="133">
        <v>45900</v>
      </c>
      <c r="F189" s="129">
        <v>45870</v>
      </c>
      <c r="G189" s="127">
        <v>31</v>
      </c>
      <c r="H189" s="136">
        <f>G189-I189-J189-K189</f>
        <v>21</v>
      </c>
      <c r="I189" s="127">
        <v>5</v>
      </c>
      <c r="J189" s="127">
        <v>5</v>
      </c>
      <c r="K189" s="127">
        <v>0</v>
      </c>
      <c r="L189" s="130">
        <v>845.92</v>
      </c>
      <c r="M189" s="131">
        <f t="shared" si="13"/>
        <v>17764.32</v>
      </c>
      <c r="N189" s="136"/>
      <c r="O189" s="160">
        <v>27607</v>
      </c>
      <c r="P189" s="133">
        <v>45988</v>
      </c>
      <c r="Q189" s="137">
        <f t="shared" ref="Q189:Q204" si="14">O189-M189</f>
        <v>9842.68</v>
      </c>
      <c r="R189" s="137"/>
      <c r="S189" s="135">
        <v>45992</v>
      </c>
      <c r="T189" s="136"/>
    </row>
    <row r="190" spans="1:20" ht="15" x14ac:dyDescent="0.2">
      <c r="A190" s="138" t="s">
        <v>441</v>
      </c>
      <c r="B190" s="127" t="s">
        <v>152</v>
      </c>
      <c r="C190" s="127" t="s">
        <v>113</v>
      </c>
      <c r="D190" s="133">
        <v>45901</v>
      </c>
      <c r="E190" s="133">
        <v>45930</v>
      </c>
      <c r="F190" s="129">
        <v>45901</v>
      </c>
      <c r="G190" s="127">
        <v>30</v>
      </c>
      <c r="H190" s="136">
        <f>G190-I190-J190-K190</f>
        <v>22</v>
      </c>
      <c r="I190" s="127">
        <v>4</v>
      </c>
      <c r="J190" s="127">
        <v>4</v>
      </c>
      <c r="K190" s="127">
        <v>0</v>
      </c>
      <c r="L190" s="130">
        <v>845.92</v>
      </c>
      <c r="M190" s="131">
        <f t="shared" si="13"/>
        <v>18610.239999999998</v>
      </c>
      <c r="N190" s="136"/>
      <c r="O190" s="160">
        <v>26717</v>
      </c>
      <c r="P190" s="133">
        <v>45988</v>
      </c>
      <c r="Q190" s="137">
        <f t="shared" si="14"/>
        <v>8106.760000000002</v>
      </c>
      <c r="R190" s="137"/>
      <c r="S190" s="135">
        <v>45992</v>
      </c>
      <c r="T190" s="136"/>
    </row>
    <row r="191" spans="1:20" ht="15" x14ac:dyDescent="0.2">
      <c r="A191" s="138" t="s">
        <v>441</v>
      </c>
      <c r="B191" s="127" t="s">
        <v>152</v>
      </c>
      <c r="C191" s="127" t="s">
        <v>113</v>
      </c>
      <c r="D191" s="133">
        <v>45931</v>
      </c>
      <c r="E191" s="133">
        <v>45961</v>
      </c>
      <c r="F191" s="129">
        <v>45931</v>
      </c>
      <c r="G191" s="127">
        <v>31</v>
      </c>
      <c r="H191" s="136">
        <f>31-8-K191</f>
        <v>23</v>
      </c>
      <c r="I191" s="127">
        <v>4</v>
      </c>
      <c r="J191" s="127">
        <v>4</v>
      </c>
      <c r="K191" s="127">
        <v>0</v>
      </c>
      <c r="L191" s="130">
        <v>845.92</v>
      </c>
      <c r="M191" s="131">
        <f t="shared" si="13"/>
        <v>19456.16</v>
      </c>
      <c r="N191" s="136"/>
      <c r="O191" s="160">
        <v>27607</v>
      </c>
      <c r="P191" s="133">
        <v>45988</v>
      </c>
      <c r="Q191" s="137">
        <f t="shared" si="14"/>
        <v>8150.84</v>
      </c>
      <c r="R191" s="137"/>
      <c r="S191" s="135">
        <v>45992</v>
      </c>
      <c r="T191" s="136"/>
    </row>
    <row r="192" spans="1:20" ht="15" x14ac:dyDescent="0.2">
      <c r="A192" s="138" t="s">
        <v>441</v>
      </c>
      <c r="B192" s="127" t="s">
        <v>152</v>
      </c>
      <c r="C192" s="127" t="s">
        <v>113</v>
      </c>
      <c r="D192" s="133">
        <v>45962</v>
      </c>
      <c r="E192" s="133">
        <v>45962</v>
      </c>
      <c r="F192" s="135">
        <v>45962</v>
      </c>
      <c r="G192" s="127">
        <v>1</v>
      </c>
      <c r="H192" s="136">
        <v>0</v>
      </c>
      <c r="I192" s="136">
        <v>0</v>
      </c>
      <c r="J192" s="136">
        <v>1</v>
      </c>
      <c r="K192" s="136">
        <v>0</v>
      </c>
      <c r="L192" s="130">
        <v>984</v>
      </c>
      <c r="M192" s="131">
        <f t="shared" si="13"/>
        <v>0</v>
      </c>
      <c r="N192" s="136"/>
      <c r="O192" s="160">
        <v>891</v>
      </c>
      <c r="P192" s="133">
        <v>46007</v>
      </c>
      <c r="Q192" s="137">
        <f t="shared" si="14"/>
        <v>891</v>
      </c>
      <c r="R192" s="137"/>
      <c r="S192" s="135">
        <v>45992</v>
      </c>
      <c r="T192" s="136"/>
    </row>
    <row r="193" spans="1:20" ht="15" x14ac:dyDescent="0.2">
      <c r="A193" s="138" t="s">
        <v>441</v>
      </c>
      <c r="B193" s="127" t="s">
        <v>152</v>
      </c>
      <c r="C193" s="127" t="s">
        <v>113</v>
      </c>
      <c r="D193" s="133">
        <v>45984</v>
      </c>
      <c r="E193" s="133">
        <v>45990</v>
      </c>
      <c r="F193" s="135">
        <v>45962</v>
      </c>
      <c r="G193" s="127">
        <v>6</v>
      </c>
      <c r="H193" s="136">
        <v>4</v>
      </c>
      <c r="I193" s="136">
        <v>1</v>
      </c>
      <c r="J193" s="136">
        <v>1</v>
      </c>
      <c r="K193" s="136">
        <v>0</v>
      </c>
      <c r="L193" s="130">
        <v>984</v>
      </c>
      <c r="M193" s="131">
        <f t="shared" si="13"/>
        <v>3936</v>
      </c>
      <c r="N193" s="136"/>
      <c r="O193" s="160">
        <v>7087</v>
      </c>
      <c r="P193" s="133">
        <v>46007</v>
      </c>
      <c r="Q193" s="137">
        <f t="shared" si="14"/>
        <v>3151</v>
      </c>
      <c r="R193" s="137"/>
      <c r="S193" s="135">
        <v>45992</v>
      </c>
      <c r="T193" s="136"/>
    </row>
    <row r="194" spans="1:20" ht="15" x14ac:dyDescent="0.2">
      <c r="A194" s="138" t="s">
        <v>443</v>
      </c>
      <c r="B194" s="127" t="s">
        <v>155</v>
      </c>
      <c r="C194" s="127" t="s">
        <v>113</v>
      </c>
      <c r="D194" s="128">
        <v>45952</v>
      </c>
      <c r="E194" s="128">
        <v>45953</v>
      </c>
      <c r="F194" s="129">
        <v>45931</v>
      </c>
      <c r="G194" s="127">
        <v>2</v>
      </c>
      <c r="H194" s="127">
        <v>2</v>
      </c>
      <c r="I194" s="127">
        <v>0</v>
      </c>
      <c r="J194" s="127">
        <v>0</v>
      </c>
      <c r="K194" s="127">
        <v>0</v>
      </c>
      <c r="L194" s="130">
        <v>868.68</v>
      </c>
      <c r="M194" s="131">
        <f t="shared" si="13"/>
        <v>1737.36</v>
      </c>
      <c r="N194" s="136"/>
      <c r="O194" s="132">
        <v>1021</v>
      </c>
      <c r="P194" s="133">
        <v>45988</v>
      </c>
      <c r="Q194" s="134">
        <f t="shared" si="14"/>
        <v>-716.3599999999999</v>
      </c>
      <c r="R194" s="134"/>
      <c r="S194" s="136"/>
      <c r="T194" s="136" t="s">
        <v>592</v>
      </c>
    </row>
    <row r="195" spans="1:20" ht="15" x14ac:dyDescent="0.2">
      <c r="A195" s="138" t="s">
        <v>443</v>
      </c>
      <c r="B195" s="127" t="s">
        <v>155</v>
      </c>
      <c r="C195" s="127" t="s">
        <v>113</v>
      </c>
      <c r="D195" s="128">
        <v>45957</v>
      </c>
      <c r="E195" s="128">
        <v>45957</v>
      </c>
      <c r="F195" s="129">
        <v>45931</v>
      </c>
      <c r="G195" s="127">
        <v>1</v>
      </c>
      <c r="H195" s="127">
        <v>1</v>
      </c>
      <c r="I195" s="127">
        <v>0</v>
      </c>
      <c r="J195" s="127">
        <v>0</v>
      </c>
      <c r="K195" s="127">
        <v>0</v>
      </c>
      <c r="L195" s="130">
        <v>868.68</v>
      </c>
      <c r="M195" s="131">
        <f t="shared" si="13"/>
        <v>868.68</v>
      </c>
      <c r="N195" s="136"/>
      <c r="O195" s="132">
        <v>511</v>
      </c>
      <c r="P195" s="133">
        <v>45988</v>
      </c>
      <c r="Q195" s="134">
        <f t="shared" si="14"/>
        <v>-357.67999999999995</v>
      </c>
      <c r="R195" s="134"/>
      <c r="S195" s="136"/>
      <c r="T195" s="136" t="s">
        <v>592</v>
      </c>
    </row>
    <row r="196" spans="1:20" ht="15" x14ac:dyDescent="0.2">
      <c r="A196" s="138" t="s">
        <v>443</v>
      </c>
      <c r="B196" s="127" t="s">
        <v>155</v>
      </c>
      <c r="C196" s="127" t="s">
        <v>113</v>
      </c>
      <c r="D196" s="128">
        <v>45966</v>
      </c>
      <c r="E196" s="128">
        <v>45966</v>
      </c>
      <c r="F196" s="129">
        <v>45962</v>
      </c>
      <c r="G196" s="127">
        <v>1</v>
      </c>
      <c r="H196" s="127">
        <v>1</v>
      </c>
      <c r="I196" s="127">
        <v>0</v>
      </c>
      <c r="J196" s="127">
        <v>0</v>
      </c>
      <c r="K196" s="127">
        <v>0</v>
      </c>
      <c r="L196" s="130">
        <v>868.68</v>
      </c>
      <c r="M196" s="131">
        <f t="shared" si="13"/>
        <v>868.68</v>
      </c>
      <c r="N196" s="136"/>
      <c r="O196" s="132">
        <v>511</v>
      </c>
      <c r="P196" s="133">
        <v>46007</v>
      </c>
      <c r="Q196" s="134">
        <f t="shared" si="14"/>
        <v>-357.67999999999995</v>
      </c>
      <c r="R196" s="134"/>
      <c r="S196" s="136"/>
      <c r="T196" s="136" t="s">
        <v>592</v>
      </c>
    </row>
    <row r="197" spans="1:20" ht="15" x14ac:dyDescent="0.2">
      <c r="A197" s="138" t="s">
        <v>443</v>
      </c>
      <c r="B197" s="127" t="s">
        <v>155</v>
      </c>
      <c r="C197" s="127" t="s">
        <v>113</v>
      </c>
      <c r="D197" s="133">
        <v>45985</v>
      </c>
      <c r="E197" s="133">
        <v>45986</v>
      </c>
      <c r="F197" s="129">
        <v>45962</v>
      </c>
      <c r="G197" s="127">
        <v>2</v>
      </c>
      <c r="H197" s="127">
        <v>2</v>
      </c>
      <c r="I197" s="127">
        <v>0</v>
      </c>
      <c r="J197" s="127">
        <v>0</v>
      </c>
      <c r="K197" s="127">
        <v>0</v>
      </c>
      <c r="L197" s="130">
        <v>868.68</v>
      </c>
      <c r="M197" s="131">
        <f t="shared" si="13"/>
        <v>1737.36</v>
      </c>
      <c r="N197" s="136"/>
      <c r="O197" s="132">
        <v>1021</v>
      </c>
      <c r="P197" s="133">
        <v>46007</v>
      </c>
      <c r="Q197" s="134">
        <f t="shared" si="14"/>
        <v>-716.3599999999999</v>
      </c>
      <c r="R197" s="134"/>
      <c r="S197" s="136"/>
      <c r="T197" s="136" t="s">
        <v>592</v>
      </c>
    </row>
    <row r="198" spans="1:20" ht="15" x14ac:dyDescent="0.2">
      <c r="A198" s="138" t="s">
        <v>443</v>
      </c>
      <c r="B198" s="127" t="s">
        <v>155</v>
      </c>
      <c r="C198" s="127" t="s">
        <v>113</v>
      </c>
      <c r="D198" s="133">
        <v>45994</v>
      </c>
      <c r="E198" s="133">
        <v>45994</v>
      </c>
      <c r="F198" s="129">
        <v>45992</v>
      </c>
      <c r="G198" s="127">
        <v>1</v>
      </c>
      <c r="H198" s="127">
        <v>1</v>
      </c>
      <c r="I198" s="127">
        <v>0</v>
      </c>
      <c r="J198" s="127">
        <v>0</v>
      </c>
      <c r="K198" s="127">
        <v>0</v>
      </c>
      <c r="L198" s="130">
        <v>868.68</v>
      </c>
      <c r="M198" s="131">
        <f t="shared" si="13"/>
        <v>868.68</v>
      </c>
      <c r="N198" s="136"/>
      <c r="O198" s="132">
        <v>511</v>
      </c>
      <c r="P198" s="133">
        <v>46041</v>
      </c>
      <c r="Q198" s="134">
        <f t="shared" si="14"/>
        <v>-357.67999999999995</v>
      </c>
      <c r="R198" s="134"/>
      <c r="S198" s="136"/>
      <c r="T198" s="136" t="s">
        <v>592</v>
      </c>
    </row>
    <row r="199" spans="1:20" ht="15" x14ac:dyDescent="0.2">
      <c r="A199" s="138" t="s">
        <v>443</v>
      </c>
      <c r="B199" s="127" t="s">
        <v>155</v>
      </c>
      <c r="C199" s="127" t="s">
        <v>113</v>
      </c>
      <c r="D199" s="133">
        <v>46014</v>
      </c>
      <c r="E199" s="133">
        <v>46014</v>
      </c>
      <c r="F199" s="129">
        <v>45992</v>
      </c>
      <c r="G199" s="127">
        <v>1</v>
      </c>
      <c r="H199" s="127">
        <v>1</v>
      </c>
      <c r="I199" s="127">
        <v>0</v>
      </c>
      <c r="J199" s="127">
        <v>0</v>
      </c>
      <c r="K199" s="127">
        <v>0</v>
      </c>
      <c r="L199" s="130">
        <v>868.68</v>
      </c>
      <c r="M199" s="131">
        <f t="shared" si="13"/>
        <v>868.68</v>
      </c>
      <c r="N199" s="136"/>
      <c r="O199" s="132">
        <v>511</v>
      </c>
      <c r="P199" s="133">
        <v>46041</v>
      </c>
      <c r="Q199" s="134">
        <f t="shared" si="14"/>
        <v>-357.67999999999995</v>
      </c>
      <c r="R199" s="134"/>
      <c r="S199" s="136"/>
      <c r="T199" s="136" t="s">
        <v>592</v>
      </c>
    </row>
    <row r="200" spans="1:20" ht="15" x14ac:dyDescent="0.2">
      <c r="A200" s="138" t="s">
        <v>443</v>
      </c>
      <c r="B200" s="127" t="s">
        <v>155</v>
      </c>
      <c r="C200" s="127" t="s">
        <v>113</v>
      </c>
      <c r="D200" s="133">
        <v>46016</v>
      </c>
      <c r="E200" s="133">
        <v>46016</v>
      </c>
      <c r="F200" s="129">
        <v>45992</v>
      </c>
      <c r="G200" s="127">
        <v>1</v>
      </c>
      <c r="H200" s="127">
        <v>1</v>
      </c>
      <c r="I200" s="127">
        <v>0</v>
      </c>
      <c r="J200" s="127">
        <v>0</v>
      </c>
      <c r="K200" s="127">
        <v>0</v>
      </c>
      <c r="L200" s="130">
        <v>868.68</v>
      </c>
      <c r="M200" s="131">
        <f t="shared" si="13"/>
        <v>868.68</v>
      </c>
      <c r="N200" s="136"/>
      <c r="O200" s="132">
        <v>511</v>
      </c>
      <c r="P200" s="133">
        <v>46041</v>
      </c>
      <c r="Q200" s="134">
        <f t="shared" si="14"/>
        <v>-357.67999999999995</v>
      </c>
      <c r="R200" s="134"/>
      <c r="S200" s="136"/>
      <c r="T200" s="136" t="s">
        <v>592</v>
      </c>
    </row>
    <row r="201" spans="1:20" ht="15" x14ac:dyDescent="0.2">
      <c r="A201" s="126" t="s">
        <v>583</v>
      </c>
      <c r="B201" s="127" t="s">
        <v>582</v>
      </c>
      <c r="C201" s="127" t="s">
        <v>118</v>
      </c>
      <c r="D201" s="133">
        <v>45963</v>
      </c>
      <c r="E201" s="133">
        <v>45967</v>
      </c>
      <c r="F201" s="135">
        <v>45962</v>
      </c>
      <c r="G201" s="127">
        <v>5</v>
      </c>
      <c r="H201" s="127">
        <v>5</v>
      </c>
      <c r="I201" s="127">
        <v>0</v>
      </c>
      <c r="J201" s="127">
        <v>0</v>
      </c>
      <c r="K201" s="127">
        <v>0</v>
      </c>
      <c r="L201" s="165">
        <f>'📈 היסטוריית שכר'!C31</f>
        <v>684.17166589755413</v>
      </c>
      <c r="M201" s="131">
        <f t="shared" si="13"/>
        <v>3420.8583294877708</v>
      </c>
      <c r="N201" s="136"/>
      <c r="O201" s="132">
        <v>3887</v>
      </c>
      <c r="P201" s="133">
        <v>46007</v>
      </c>
      <c r="Q201" s="137">
        <f t="shared" si="14"/>
        <v>466.14167051222921</v>
      </c>
      <c r="R201" s="137"/>
      <c r="S201" s="135">
        <v>46023</v>
      </c>
      <c r="T201" s="136"/>
    </row>
    <row r="202" spans="1:20" ht="15" x14ac:dyDescent="0.2">
      <c r="A202" s="126" t="s">
        <v>583</v>
      </c>
      <c r="B202" s="127" t="s">
        <v>582</v>
      </c>
      <c r="C202" s="127" t="s">
        <v>118</v>
      </c>
      <c r="D202" s="133">
        <v>45995</v>
      </c>
      <c r="E202" s="133">
        <v>45998</v>
      </c>
      <c r="F202" s="135">
        <v>45992</v>
      </c>
      <c r="G202" s="127">
        <v>4</v>
      </c>
      <c r="H202" s="127">
        <v>2</v>
      </c>
      <c r="I202" s="127">
        <v>1</v>
      </c>
      <c r="J202" s="127">
        <v>1</v>
      </c>
      <c r="K202" s="127">
        <v>0</v>
      </c>
      <c r="L202" s="165">
        <v>684.17166589755413</v>
      </c>
      <c r="M202" s="131">
        <f t="shared" si="13"/>
        <v>1368.3433317951083</v>
      </c>
      <c r="N202" s="136"/>
      <c r="O202" s="132">
        <v>3171</v>
      </c>
      <c r="P202" s="133">
        <v>46041</v>
      </c>
      <c r="Q202" s="137">
        <f t="shared" si="14"/>
        <v>1802.6566682048917</v>
      </c>
      <c r="R202" s="137"/>
      <c r="S202" s="135">
        <v>46023</v>
      </c>
      <c r="T202" s="136"/>
    </row>
    <row r="203" spans="1:20" ht="15" x14ac:dyDescent="0.2">
      <c r="A203" s="126" t="s">
        <v>583</v>
      </c>
      <c r="B203" s="127" t="s">
        <v>582</v>
      </c>
      <c r="C203" s="127" t="s">
        <v>118</v>
      </c>
      <c r="D203" s="133">
        <v>46006</v>
      </c>
      <c r="E203" s="133">
        <v>46006</v>
      </c>
      <c r="F203" s="135">
        <v>45992</v>
      </c>
      <c r="G203" s="127">
        <v>1</v>
      </c>
      <c r="H203" s="127">
        <v>1</v>
      </c>
      <c r="I203" s="127">
        <v>0</v>
      </c>
      <c r="J203" s="127">
        <v>0</v>
      </c>
      <c r="K203" s="127">
        <v>0</v>
      </c>
      <c r="L203" s="165">
        <v>684.17166589755413</v>
      </c>
      <c r="M203" s="131">
        <f t="shared" si="13"/>
        <v>684.17166589755413</v>
      </c>
      <c r="N203" s="136"/>
      <c r="O203" s="132">
        <v>566</v>
      </c>
      <c r="P203" s="133">
        <v>46041</v>
      </c>
      <c r="Q203" s="134">
        <f t="shared" si="14"/>
        <v>-118.17166589755413</v>
      </c>
      <c r="R203" s="134"/>
      <c r="S203" s="135">
        <v>46023</v>
      </c>
      <c r="T203" s="136"/>
    </row>
    <row r="204" spans="1:20" ht="15" x14ac:dyDescent="0.2">
      <c r="A204" s="126" t="s">
        <v>583</v>
      </c>
      <c r="B204" s="127" t="s">
        <v>582</v>
      </c>
      <c r="C204" s="127" t="s">
        <v>118</v>
      </c>
      <c r="D204" s="133">
        <v>46008</v>
      </c>
      <c r="E204" s="133">
        <v>46008</v>
      </c>
      <c r="F204" s="135">
        <v>45992</v>
      </c>
      <c r="G204" s="127">
        <v>1</v>
      </c>
      <c r="H204" s="127">
        <v>1</v>
      </c>
      <c r="I204" s="127">
        <v>0</v>
      </c>
      <c r="J204" s="127">
        <v>0</v>
      </c>
      <c r="K204" s="127">
        <v>0</v>
      </c>
      <c r="L204" s="165">
        <v>684.17166589755413</v>
      </c>
      <c r="M204" s="131">
        <f t="shared" si="13"/>
        <v>684.17166589755413</v>
      </c>
      <c r="N204" s="136"/>
      <c r="O204" s="132">
        <v>566</v>
      </c>
      <c r="P204" s="133">
        <v>46041</v>
      </c>
      <c r="Q204" s="134">
        <f t="shared" si="14"/>
        <v>-118.17166589755413</v>
      </c>
      <c r="R204" s="134"/>
      <c r="S204" s="135">
        <v>46023</v>
      </c>
      <c r="T204" s="136"/>
    </row>
    <row r="205" spans="1:20" ht="15" x14ac:dyDescent="0.2">
      <c r="A205" s="138" t="s">
        <v>444</v>
      </c>
      <c r="B205" s="127" t="s">
        <v>160</v>
      </c>
      <c r="C205" s="127" t="s">
        <v>135</v>
      </c>
      <c r="D205" s="128">
        <v>45914</v>
      </c>
      <c r="E205" s="128">
        <v>45914</v>
      </c>
      <c r="F205" s="129">
        <v>45901</v>
      </c>
      <c r="G205" s="127">
        <v>1</v>
      </c>
      <c r="H205" s="127">
        <v>1</v>
      </c>
      <c r="I205" s="127">
        <v>0</v>
      </c>
      <c r="J205" s="127">
        <v>0</v>
      </c>
      <c r="K205" s="127">
        <v>0</v>
      </c>
      <c r="L205" s="165">
        <v>914.85925242270412</v>
      </c>
      <c r="M205" s="131">
        <f t="shared" si="13"/>
        <v>914.85925242270412</v>
      </c>
      <c r="N205" s="158">
        <v>426</v>
      </c>
      <c r="O205" s="132">
        <v>1065</v>
      </c>
      <c r="P205" s="133">
        <v>45988</v>
      </c>
      <c r="Q205" s="173">
        <f>O205-M205+N205</f>
        <v>576.14074757729588</v>
      </c>
      <c r="R205" s="173"/>
      <c r="S205" s="135">
        <v>46023</v>
      </c>
      <c r="T205" s="136"/>
    </row>
    <row r="206" spans="1:20" ht="15" x14ac:dyDescent="0.2">
      <c r="A206" s="138" t="s">
        <v>444</v>
      </c>
      <c r="B206" s="127" t="s">
        <v>160</v>
      </c>
      <c r="C206" s="127" t="s">
        <v>135</v>
      </c>
      <c r="D206" s="128">
        <v>45953</v>
      </c>
      <c r="E206" s="128">
        <v>45953</v>
      </c>
      <c r="F206" s="129">
        <v>45931</v>
      </c>
      <c r="G206" s="127">
        <v>1</v>
      </c>
      <c r="H206" s="127">
        <v>1</v>
      </c>
      <c r="I206" s="127">
        <v>0</v>
      </c>
      <c r="J206" s="127">
        <v>0</v>
      </c>
      <c r="K206" s="127">
        <v>0</v>
      </c>
      <c r="L206" s="165">
        <v>914.85925242270412</v>
      </c>
      <c r="M206" s="131">
        <f t="shared" si="13"/>
        <v>914.85925242270412</v>
      </c>
      <c r="N206" s="136"/>
      <c r="O206" s="132">
        <v>1065</v>
      </c>
      <c r="P206" s="133">
        <v>45988</v>
      </c>
      <c r="Q206" s="173">
        <f t="shared" ref="Q206:Q214" si="15">O206-M206</f>
        <v>150.14074757729588</v>
      </c>
      <c r="R206" s="173"/>
      <c r="S206" s="135">
        <v>46023</v>
      </c>
      <c r="T206" s="136"/>
    </row>
    <row r="207" spans="1:20" ht="15" x14ac:dyDescent="0.2">
      <c r="A207" s="138" t="s">
        <v>444</v>
      </c>
      <c r="B207" s="127" t="s">
        <v>160</v>
      </c>
      <c r="C207" s="127" t="s">
        <v>135</v>
      </c>
      <c r="D207" s="128">
        <v>45956</v>
      </c>
      <c r="E207" s="128">
        <v>45956</v>
      </c>
      <c r="F207" s="129">
        <v>45931</v>
      </c>
      <c r="G207" s="127">
        <v>1</v>
      </c>
      <c r="H207" s="127">
        <v>1</v>
      </c>
      <c r="I207" s="127">
        <v>0</v>
      </c>
      <c r="J207" s="127">
        <v>0</v>
      </c>
      <c r="K207" s="127">
        <v>0</v>
      </c>
      <c r="L207" s="165">
        <v>914.85925242270412</v>
      </c>
      <c r="M207" s="131">
        <f t="shared" si="13"/>
        <v>914.85925242270412</v>
      </c>
      <c r="N207" s="136"/>
      <c r="O207" s="132">
        <v>2129</v>
      </c>
      <c r="P207" s="133">
        <v>45988</v>
      </c>
      <c r="Q207" s="173">
        <f t="shared" si="15"/>
        <v>1214.1407475772958</v>
      </c>
      <c r="R207" s="173"/>
      <c r="S207" s="135">
        <v>46023</v>
      </c>
      <c r="T207" s="136"/>
    </row>
    <row r="208" spans="1:20" ht="15" x14ac:dyDescent="0.2">
      <c r="A208" s="138" t="s">
        <v>444</v>
      </c>
      <c r="B208" s="127" t="s">
        <v>160</v>
      </c>
      <c r="C208" s="127" t="s">
        <v>135</v>
      </c>
      <c r="D208" s="128">
        <v>45964</v>
      </c>
      <c r="E208" s="128">
        <v>45965</v>
      </c>
      <c r="F208" s="129">
        <v>45962</v>
      </c>
      <c r="G208" s="127">
        <v>2</v>
      </c>
      <c r="H208" s="127">
        <v>2</v>
      </c>
      <c r="I208" s="127">
        <v>0</v>
      </c>
      <c r="J208" s="127">
        <v>0</v>
      </c>
      <c r="K208" s="127">
        <v>0</v>
      </c>
      <c r="L208" s="165">
        <v>914.85925242270412</v>
      </c>
      <c r="M208" s="131">
        <f t="shared" si="13"/>
        <v>1829.7185048454082</v>
      </c>
      <c r="N208" s="136"/>
      <c r="O208" s="132">
        <v>2129</v>
      </c>
      <c r="P208" s="133">
        <v>46007</v>
      </c>
      <c r="Q208" s="173">
        <f t="shared" si="15"/>
        <v>299.28149515459177</v>
      </c>
      <c r="R208" s="173"/>
      <c r="S208" s="135">
        <v>46023</v>
      </c>
      <c r="T208" s="136"/>
    </row>
    <row r="209" spans="1:20" ht="15" x14ac:dyDescent="0.2">
      <c r="A209" s="138" t="s">
        <v>444</v>
      </c>
      <c r="B209" s="127" t="s">
        <v>160</v>
      </c>
      <c r="C209" s="127" t="s">
        <v>135</v>
      </c>
      <c r="D209" s="128">
        <v>45971</v>
      </c>
      <c r="E209" s="128">
        <v>45972</v>
      </c>
      <c r="F209" s="129">
        <v>45962</v>
      </c>
      <c r="G209" s="127">
        <v>2</v>
      </c>
      <c r="H209" s="127">
        <v>2</v>
      </c>
      <c r="I209" s="127">
        <v>0</v>
      </c>
      <c r="J209" s="127">
        <v>0</v>
      </c>
      <c r="K209" s="127">
        <v>0</v>
      </c>
      <c r="L209" s="165">
        <v>914.85925242270412</v>
      </c>
      <c r="M209" s="131">
        <f t="shared" ref="M209:M214" si="16">L209*H209</f>
        <v>1829.7185048454082</v>
      </c>
      <c r="N209" s="136"/>
      <c r="O209" s="132">
        <v>2129</v>
      </c>
      <c r="P209" s="133">
        <v>46007</v>
      </c>
      <c r="Q209" s="173">
        <f t="shared" si="15"/>
        <v>299.28149515459177</v>
      </c>
      <c r="R209" s="173"/>
      <c r="S209" s="135">
        <v>46023</v>
      </c>
      <c r="T209" s="136"/>
    </row>
    <row r="210" spans="1:20" ht="15" x14ac:dyDescent="0.2">
      <c r="A210" s="138" t="s">
        <v>444</v>
      </c>
      <c r="B210" s="127" t="s">
        <v>160</v>
      </c>
      <c r="C210" s="127" t="s">
        <v>135</v>
      </c>
      <c r="D210" s="128">
        <v>45984</v>
      </c>
      <c r="E210" s="128">
        <v>45985</v>
      </c>
      <c r="F210" s="129">
        <v>45962</v>
      </c>
      <c r="G210" s="127">
        <v>2</v>
      </c>
      <c r="H210" s="127">
        <v>2</v>
      </c>
      <c r="I210" s="127">
        <v>0</v>
      </c>
      <c r="J210" s="127">
        <v>0</v>
      </c>
      <c r="K210" s="127">
        <v>0</v>
      </c>
      <c r="L210" s="165">
        <v>914.85925242270412</v>
      </c>
      <c r="M210" s="131">
        <f t="shared" si="16"/>
        <v>1829.7185048454082</v>
      </c>
      <c r="N210" s="136"/>
      <c r="O210" s="132">
        <v>2129</v>
      </c>
      <c r="P210" s="133">
        <v>46007</v>
      </c>
      <c r="Q210" s="173">
        <f t="shared" si="15"/>
        <v>299.28149515459177</v>
      </c>
      <c r="R210" s="173"/>
      <c r="S210" s="135">
        <v>46023</v>
      </c>
      <c r="T210" s="136"/>
    </row>
    <row r="211" spans="1:20" ht="15" x14ac:dyDescent="0.2">
      <c r="A211" s="138" t="s">
        <v>444</v>
      </c>
      <c r="B211" s="127" t="s">
        <v>160</v>
      </c>
      <c r="C211" s="127" t="s">
        <v>135</v>
      </c>
      <c r="D211" s="128">
        <v>45994</v>
      </c>
      <c r="E211" s="128">
        <v>45995</v>
      </c>
      <c r="F211" s="129">
        <v>45992</v>
      </c>
      <c r="G211" s="127">
        <v>2</v>
      </c>
      <c r="H211" s="127">
        <v>2</v>
      </c>
      <c r="I211" s="127">
        <v>0</v>
      </c>
      <c r="J211" s="127">
        <v>0</v>
      </c>
      <c r="K211" s="127">
        <v>0</v>
      </c>
      <c r="L211" s="165">
        <v>914.85925242270412</v>
      </c>
      <c r="M211" s="131">
        <f t="shared" si="16"/>
        <v>1829.7185048454082</v>
      </c>
      <c r="N211" s="136"/>
      <c r="O211" s="132">
        <v>2981</v>
      </c>
      <c r="P211" s="133">
        <v>46041</v>
      </c>
      <c r="Q211" s="173">
        <f t="shared" si="15"/>
        <v>1151.2814951545918</v>
      </c>
      <c r="R211" s="173"/>
      <c r="S211" s="135">
        <v>46023</v>
      </c>
      <c r="T211" s="136"/>
    </row>
    <row r="212" spans="1:20" ht="15" x14ac:dyDescent="0.2">
      <c r="A212" s="138" t="s">
        <v>444</v>
      </c>
      <c r="B212" s="127" t="s">
        <v>160</v>
      </c>
      <c r="C212" s="127" t="s">
        <v>135</v>
      </c>
      <c r="D212" s="128">
        <v>45998</v>
      </c>
      <c r="E212" s="128">
        <v>46001</v>
      </c>
      <c r="F212" s="129">
        <v>45992</v>
      </c>
      <c r="G212" s="127">
        <v>4</v>
      </c>
      <c r="H212" s="127">
        <v>4</v>
      </c>
      <c r="I212" s="127">
        <v>0</v>
      </c>
      <c r="J212" s="127">
        <v>0</v>
      </c>
      <c r="K212" s="127">
        <v>0</v>
      </c>
      <c r="L212" s="165">
        <v>914.85925242270412</v>
      </c>
      <c r="M212" s="131">
        <f t="shared" si="16"/>
        <v>3659.4370096908165</v>
      </c>
      <c r="N212" s="136"/>
      <c r="O212" s="132">
        <v>4259</v>
      </c>
      <c r="P212" s="133">
        <v>46041</v>
      </c>
      <c r="Q212" s="173">
        <f t="shared" si="15"/>
        <v>599.56299030918353</v>
      </c>
      <c r="R212" s="173"/>
      <c r="S212" s="135">
        <v>46023</v>
      </c>
      <c r="T212" s="136"/>
    </row>
    <row r="213" spans="1:20" ht="15" x14ac:dyDescent="0.2">
      <c r="A213" s="138" t="s">
        <v>444</v>
      </c>
      <c r="B213" s="127" t="s">
        <v>160</v>
      </c>
      <c r="C213" s="127" t="s">
        <v>135</v>
      </c>
      <c r="D213" s="128">
        <v>46003</v>
      </c>
      <c r="E213" s="128">
        <v>46005</v>
      </c>
      <c r="F213" s="129">
        <v>45992</v>
      </c>
      <c r="G213" s="127">
        <v>3</v>
      </c>
      <c r="H213" s="127">
        <v>2</v>
      </c>
      <c r="I213" s="127">
        <v>1</v>
      </c>
      <c r="J213" s="127">
        <v>0</v>
      </c>
      <c r="K213" s="127">
        <v>0</v>
      </c>
      <c r="L213" s="165">
        <v>914.85925242270412</v>
      </c>
      <c r="M213" s="131">
        <f t="shared" si="16"/>
        <v>1829.7185048454082</v>
      </c>
      <c r="N213" s="136"/>
      <c r="O213" s="132">
        <v>3194</v>
      </c>
      <c r="P213" s="133">
        <v>46041</v>
      </c>
      <c r="Q213" s="173">
        <f t="shared" si="15"/>
        <v>1364.2814951545918</v>
      </c>
      <c r="R213" s="173"/>
      <c r="S213" s="135">
        <v>46023</v>
      </c>
      <c r="T213" s="136"/>
    </row>
    <row r="214" spans="1:20" ht="15" x14ac:dyDescent="0.2">
      <c r="A214" s="138" t="s">
        <v>444</v>
      </c>
      <c r="B214" s="127" t="s">
        <v>160</v>
      </c>
      <c r="C214" s="127" t="s">
        <v>135</v>
      </c>
      <c r="D214" s="128">
        <v>46012</v>
      </c>
      <c r="E214" s="128">
        <v>46013</v>
      </c>
      <c r="F214" s="129">
        <v>45992</v>
      </c>
      <c r="G214" s="127">
        <v>2</v>
      </c>
      <c r="H214" s="127">
        <v>2</v>
      </c>
      <c r="I214" s="127">
        <v>0</v>
      </c>
      <c r="J214" s="127">
        <v>0</v>
      </c>
      <c r="K214" s="127">
        <v>0</v>
      </c>
      <c r="L214" s="165">
        <v>914.85925242270412</v>
      </c>
      <c r="M214" s="131">
        <f t="shared" si="16"/>
        <v>1829.7185048454082</v>
      </c>
      <c r="N214" s="136"/>
      <c r="O214" s="132">
        <v>2129</v>
      </c>
      <c r="P214" s="133">
        <v>46054</v>
      </c>
      <c r="Q214" s="173">
        <f t="shared" si="15"/>
        <v>299.28149515459177</v>
      </c>
      <c r="R214" s="173"/>
      <c r="S214" s="135">
        <v>46023</v>
      </c>
      <c r="T214" s="136"/>
    </row>
    <row r="215" spans="1:20" ht="15" x14ac:dyDescent="0.2">
      <c r="A215" s="187">
        <v>315536524</v>
      </c>
      <c r="B215" s="162" t="s">
        <v>163</v>
      </c>
      <c r="C215" s="162" t="s">
        <v>113</v>
      </c>
      <c r="D215" s="186">
        <v>45957</v>
      </c>
      <c r="E215" s="186">
        <v>45959</v>
      </c>
      <c r="F215" s="188">
        <v>45931</v>
      </c>
      <c r="G215" s="162">
        <v>3</v>
      </c>
      <c r="H215" s="162">
        <v>1</v>
      </c>
      <c r="I215" s="162">
        <v>0</v>
      </c>
      <c r="J215" s="162">
        <v>0</v>
      </c>
      <c r="K215" s="162">
        <v>0</v>
      </c>
      <c r="L215" s="165">
        <v>812</v>
      </c>
      <c r="M215" s="184">
        <f t="shared" ref="M215:M221" si="17">L215*H215</f>
        <v>812</v>
      </c>
      <c r="N215" s="185"/>
      <c r="O215" s="132">
        <v>3183</v>
      </c>
      <c r="P215" s="133">
        <v>46054</v>
      </c>
      <c r="Q215" s="137">
        <f>O215-M215+N215</f>
        <v>2371</v>
      </c>
      <c r="R215" s="137"/>
      <c r="S215" s="135">
        <v>46023</v>
      </c>
      <c r="T215" s="136"/>
    </row>
    <row r="216" spans="1:20" ht="15" x14ac:dyDescent="0.2">
      <c r="A216" s="126">
        <v>315536524</v>
      </c>
      <c r="B216" s="127" t="s">
        <v>163</v>
      </c>
      <c r="C216" s="127" t="s">
        <v>113</v>
      </c>
      <c r="D216" s="133">
        <v>45971</v>
      </c>
      <c r="E216" s="133">
        <v>45972</v>
      </c>
      <c r="F216" s="135">
        <v>45962</v>
      </c>
      <c r="G216" s="127">
        <v>2</v>
      </c>
      <c r="H216" s="127">
        <v>1</v>
      </c>
      <c r="I216" s="127">
        <v>0</v>
      </c>
      <c r="J216" s="127">
        <v>0</v>
      </c>
      <c r="K216" s="127">
        <v>0</v>
      </c>
      <c r="L216" s="165">
        <v>812</v>
      </c>
      <c r="M216" s="131">
        <f t="shared" si="17"/>
        <v>812</v>
      </c>
      <c r="N216" s="136"/>
      <c r="O216" s="132">
        <v>2122</v>
      </c>
      <c r="P216" s="133">
        <v>46007</v>
      </c>
      <c r="Q216" s="137">
        <f>O216-M216</f>
        <v>1310</v>
      </c>
      <c r="R216" s="137">
        <v>-4742</v>
      </c>
      <c r="S216" s="135">
        <v>45992</v>
      </c>
      <c r="T216" s="136"/>
    </row>
    <row r="217" spans="1:20" ht="15" x14ac:dyDescent="0.2">
      <c r="A217" s="126">
        <v>315536524</v>
      </c>
      <c r="B217" s="127" t="s">
        <v>163</v>
      </c>
      <c r="C217" s="127" t="s">
        <v>113</v>
      </c>
      <c r="D217" s="133">
        <v>45985</v>
      </c>
      <c r="E217" s="133">
        <v>45988</v>
      </c>
      <c r="F217" s="135">
        <v>45962</v>
      </c>
      <c r="G217" s="127">
        <v>4</v>
      </c>
      <c r="H217" s="127">
        <v>1</v>
      </c>
      <c r="I217" s="127">
        <v>0</v>
      </c>
      <c r="J217" s="127">
        <v>0</v>
      </c>
      <c r="K217" s="127">
        <v>0</v>
      </c>
      <c r="L217" s="165">
        <v>812</v>
      </c>
      <c r="M217" s="131">
        <f t="shared" si="17"/>
        <v>812</v>
      </c>
      <c r="N217" s="136"/>
      <c r="O217" s="132">
        <v>4244</v>
      </c>
      <c r="P217" s="133">
        <v>46007</v>
      </c>
      <c r="Q217" s="137">
        <f>O217-M217</f>
        <v>3432</v>
      </c>
      <c r="R217" s="137"/>
      <c r="S217" s="135">
        <v>45992</v>
      </c>
      <c r="T217" s="136"/>
    </row>
    <row r="218" spans="1:20" ht="15" x14ac:dyDescent="0.2">
      <c r="A218" s="126">
        <v>315536524</v>
      </c>
      <c r="B218" s="127" t="s">
        <v>163</v>
      </c>
      <c r="C218" s="127" t="s">
        <v>113</v>
      </c>
      <c r="D218" s="133">
        <v>45998</v>
      </c>
      <c r="E218" s="133">
        <v>46002</v>
      </c>
      <c r="F218" s="135">
        <v>45992</v>
      </c>
      <c r="G218" s="127">
        <v>5</v>
      </c>
      <c r="H218" s="127">
        <v>4</v>
      </c>
      <c r="I218" s="127">
        <v>1</v>
      </c>
      <c r="J218" s="127">
        <v>0</v>
      </c>
      <c r="K218" s="127">
        <v>0</v>
      </c>
      <c r="L218" s="165">
        <v>812</v>
      </c>
      <c r="M218" s="131">
        <f>L218*H218</f>
        <v>3248</v>
      </c>
      <c r="N218" s="136"/>
      <c r="O218" s="132">
        <v>5281</v>
      </c>
      <c r="P218" s="133">
        <v>46041</v>
      </c>
      <c r="Q218" s="137">
        <f>O218-M218+N218</f>
        <v>2033</v>
      </c>
      <c r="R218" s="137"/>
      <c r="S218" s="135">
        <v>46023</v>
      </c>
      <c r="T218" s="136"/>
    </row>
    <row r="219" spans="1:20" ht="15" x14ac:dyDescent="0.2">
      <c r="A219" s="126">
        <v>315536524</v>
      </c>
      <c r="B219" s="127" t="s">
        <v>163</v>
      </c>
      <c r="C219" s="127" t="s">
        <v>113</v>
      </c>
      <c r="D219" s="133">
        <v>46014</v>
      </c>
      <c r="E219" s="133">
        <v>46016</v>
      </c>
      <c r="F219" s="135">
        <v>45992</v>
      </c>
      <c r="G219" s="127">
        <v>3</v>
      </c>
      <c r="H219" s="127">
        <v>3</v>
      </c>
      <c r="I219" s="127">
        <v>0</v>
      </c>
      <c r="J219" s="127">
        <v>0</v>
      </c>
      <c r="K219" s="127">
        <v>0</v>
      </c>
      <c r="L219" s="165">
        <v>812</v>
      </c>
      <c r="M219" s="131">
        <f t="shared" si="17"/>
        <v>2436</v>
      </c>
      <c r="N219" s="136"/>
      <c r="O219" s="132">
        <v>3168</v>
      </c>
      <c r="P219" s="133">
        <v>46041</v>
      </c>
      <c r="Q219" s="137">
        <f>O219-M219+N219</f>
        <v>732</v>
      </c>
      <c r="R219" s="137"/>
      <c r="S219" s="135">
        <v>46023</v>
      </c>
      <c r="T219" s="136"/>
    </row>
    <row r="220" spans="1:20" ht="15" x14ac:dyDescent="0.2">
      <c r="A220" s="126" t="s">
        <v>585</v>
      </c>
      <c r="B220" s="127" t="s">
        <v>584</v>
      </c>
      <c r="C220" s="127" t="s">
        <v>118</v>
      </c>
      <c r="D220" s="133">
        <v>46014</v>
      </c>
      <c r="E220" s="133">
        <v>46014</v>
      </c>
      <c r="F220" s="135">
        <v>45992</v>
      </c>
      <c r="G220" s="127">
        <v>1</v>
      </c>
      <c r="H220" s="127">
        <v>1</v>
      </c>
      <c r="I220" s="127">
        <v>0</v>
      </c>
      <c r="J220" s="127">
        <v>0</v>
      </c>
      <c r="K220" s="127">
        <v>0</v>
      </c>
      <c r="L220" s="165">
        <v>692.20119981541291</v>
      </c>
      <c r="M220" s="131">
        <f t="shared" si="17"/>
        <v>692.20119981541291</v>
      </c>
      <c r="N220" s="136"/>
      <c r="O220" s="132">
        <v>609</v>
      </c>
      <c r="P220" s="133">
        <v>46041</v>
      </c>
      <c r="Q220" s="134">
        <f t="shared" ref="Q220:Q263" si="18">O220-M220</f>
        <v>-83.201199815412906</v>
      </c>
      <c r="R220" s="134"/>
      <c r="S220" s="135"/>
      <c r="T220" s="136" t="s">
        <v>592</v>
      </c>
    </row>
    <row r="221" spans="1:20" ht="15" x14ac:dyDescent="0.2">
      <c r="A221" s="126" t="s">
        <v>587</v>
      </c>
      <c r="B221" s="127" t="s">
        <v>586</v>
      </c>
      <c r="C221" s="127" t="s">
        <v>135</v>
      </c>
      <c r="D221" s="133">
        <v>45965</v>
      </c>
      <c r="E221" s="133">
        <v>45965</v>
      </c>
      <c r="F221" s="135">
        <v>45962</v>
      </c>
      <c r="G221" s="127">
        <v>1</v>
      </c>
      <c r="H221" s="127">
        <v>1</v>
      </c>
      <c r="I221" s="127">
        <v>0</v>
      </c>
      <c r="J221" s="127">
        <v>0</v>
      </c>
      <c r="K221" s="127">
        <v>0</v>
      </c>
      <c r="L221" s="165">
        <v>776.6497461928933</v>
      </c>
      <c r="M221" s="131">
        <f t="shared" si="17"/>
        <v>776.6497461928933</v>
      </c>
      <c r="N221" s="136"/>
      <c r="O221" s="132">
        <v>678</v>
      </c>
      <c r="P221" s="133">
        <v>46007</v>
      </c>
      <c r="Q221" s="134">
        <f t="shared" si="18"/>
        <v>-98.649746192893303</v>
      </c>
      <c r="R221" s="134"/>
      <c r="S221" s="136"/>
      <c r="T221" s="136" t="s">
        <v>592</v>
      </c>
    </row>
    <row r="222" spans="1:20" ht="15" x14ac:dyDescent="0.2">
      <c r="A222" s="126"/>
      <c r="B222" s="127"/>
      <c r="C222" s="136"/>
      <c r="D222" s="133"/>
      <c r="E222" s="133"/>
      <c r="F222" s="136"/>
      <c r="G222" s="136"/>
      <c r="H222" s="136"/>
      <c r="I222" s="136"/>
      <c r="J222" s="136"/>
      <c r="K222" s="136"/>
      <c r="L222" s="165"/>
      <c r="M222" s="136"/>
      <c r="N222" s="136"/>
      <c r="O222" s="126"/>
      <c r="P222" s="127"/>
      <c r="Q222" s="134">
        <f t="shared" si="18"/>
        <v>0</v>
      </c>
      <c r="R222" s="134"/>
      <c r="S222" s="136"/>
      <c r="T222" s="136"/>
    </row>
    <row r="223" spans="1:20" ht="15" x14ac:dyDescent="0.2">
      <c r="A223" s="126"/>
      <c r="B223" s="127"/>
      <c r="C223" s="136"/>
      <c r="D223" s="133"/>
      <c r="E223" s="133"/>
      <c r="F223" s="136"/>
      <c r="G223" s="136"/>
      <c r="H223" s="136"/>
      <c r="I223" s="136"/>
      <c r="J223" s="136"/>
      <c r="K223" s="136"/>
      <c r="L223" s="165"/>
      <c r="M223" s="136"/>
      <c r="N223" s="136"/>
      <c r="O223" s="126"/>
      <c r="P223" s="127"/>
      <c r="Q223" s="134">
        <f t="shared" si="18"/>
        <v>0</v>
      </c>
      <c r="R223" s="134"/>
      <c r="S223" s="136"/>
      <c r="T223" s="136"/>
    </row>
    <row r="224" spans="1:20" ht="15" x14ac:dyDescent="0.2">
      <c r="A224" s="126"/>
      <c r="B224" s="127"/>
      <c r="C224" s="136"/>
      <c r="D224" s="133"/>
      <c r="E224" s="133"/>
      <c r="F224" s="136"/>
      <c r="G224" s="136"/>
      <c r="H224" s="136"/>
      <c r="I224" s="136"/>
      <c r="J224" s="136"/>
      <c r="K224" s="136"/>
      <c r="L224" s="165"/>
      <c r="M224" s="136"/>
      <c r="N224" s="136"/>
      <c r="O224" s="126"/>
      <c r="P224" s="127"/>
      <c r="Q224" s="137">
        <f>O227-M227</f>
        <v>0</v>
      </c>
      <c r="R224" s="134"/>
      <c r="S224" s="136"/>
      <c r="T224" s="136"/>
    </row>
    <row r="225" spans="1:20" ht="15" x14ac:dyDescent="0.2">
      <c r="A225" s="126"/>
      <c r="B225" s="127"/>
      <c r="C225" s="136"/>
      <c r="D225" s="133"/>
      <c r="E225" s="133"/>
      <c r="F225" s="136"/>
      <c r="G225" s="136"/>
      <c r="H225" s="136"/>
      <c r="I225" s="136"/>
      <c r="J225" s="136"/>
      <c r="K225" s="136"/>
      <c r="L225" s="165"/>
      <c r="M225" s="136"/>
      <c r="N225" s="136"/>
      <c r="O225" s="126"/>
      <c r="P225" s="127"/>
      <c r="Q225" s="137">
        <f>O228-M228</f>
        <v>0</v>
      </c>
      <c r="R225" s="134"/>
      <c r="S225" s="136"/>
      <c r="T225" s="136"/>
    </row>
    <row r="226" spans="1:20" ht="15" x14ac:dyDescent="0.25">
      <c r="A226" s="126"/>
      <c r="B226" s="127"/>
      <c r="C226" s="136"/>
      <c r="D226" s="133"/>
      <c r="E226" s="133"/>
      <c r="F226" s="136"/>
      <c r="G226" s="136"/>
      <c r="H226" s="136"/>
      <c r="I226" s="136"/>
      <c r="J226" s="136"/>
      <c r="K226" s="136"/>
      <c r="L226" s="165"/>
      <c r="M226" s="136"/>
      <c r="N226" s="136"/>
      <c r="O226" s="126"/>
      <c r="P226" s="127"/>
      <c r="Q226" s="137">
        <f t="shared" ref="Q226:Q228" si="19">O229-M229</f>
        <v>0</v>
      </c>
      <c r="R226" s="134"/>
      <c r="S226" s="189"/>
      <c r="T226" s="136"/>
    </row>
    <row r="227" spans="1:20" ht="15" x14ac:dyDescent="0.25">
      <c r="A227" s="126"/>
      <c r="B227" s="127"/>
      <c r="C227" s="136"/>
      <c r="D227" s="133"/>
      <c r="E227" s="133"/>
      <c r="F227" s="136"/>
      <c r="G227" s="136"/>
      <c r="H227" s="136"/>
      <c r="I227" s="136"/>
      <c r="J227" s="136"/>
      <c r="K227" s="136"/>
      <c r="L227" s="165"/>
      <c r="M227" s="136"/>
      <c r="N227" s="136"/>
      <c r="O227" s="136"/>
      <c r="P227" s="136"/>
      <c r="Q227" s="137">
        <f t="shared" si="19"/>
        <v>0</v>
      </c>
      <c r="R227" s="137"/>
      <c r="S227" s="189"/>
      <c r="T227" s="136"/>
    </row>
    <row r="228" spans="1:20" ht="15" x14ac:dyDescent="0.2">
      <c r="A228" s="126"/>
      <c r="B228" s="127"/>
      <c r="C228" s="136"/>
      <c r="D228" s="133"/>
      <c r="E228" s="133"/>
      <c r="F228" s="136"/>
      <c r="G228" s="136"/>
      <c r="H228" s="136"/>
      <c r="I228" s="136"/>
      <c r="J228" s="136"/>
      <c r="K228" s="136"/>
      <c r="L228" s="165"/>
      <c r="M228" s="136"/>
      <c r="N228" s="136"/>
      <c r="O228" s="136"/>
      <c r="P228" s="136"/>
      <c r="Q228" s="137">
        <f t="shared" si="19"/>
        <v>0</v>
      </c>
      <c r="R228" s="137"/>
      <c r="S228" s="136"/>
      <c r="T228" s="136"/>
    </row>
    <row r="229" spans="1:20" ht="15" x14ac:dyDescent="0.2">
      <c r="A229" s="126"/>
      <c r="B229" s="127"/>
      <c r="C229" s="136"/>
      <c r="D229" s="133"/>
      <c r="E229" s="133"/>
      <c r="F229" s="136"/>
      <c r="G229" s="136"/>
      <c r="H229" s="136"/>
      <c r="I229" s="136"/>
      <c r="J229" s="136"/>
      <c r="K229" s="136"/>
      <c r="L229" s="165"/>
      <c r="M229" s="136"/>
      <c r="N229" s="136"/>
      <c r="O229" s="136"/>
      <c r="P229" s="136"/>
      <c r="Q229" s="137">
        <f t="shared" si="18"/>
        <v>0</v>
      </c>
      <c r="R229" s="137"/>
      <c r="S229" s="136"/>
      <c r="T229" s="136"/>
    </row>
    <row r="230" spans="1:20" ht="15" x14ac:dyDescent="0.2">
      <c r="A230" s="126"/>
      <c r="B230" s="127"/>
      <c r="C230" s="136"/>
      <c r="D230" s="133"/>
      <c r="E230" s="133"/>
      <c r="F230" s="136"/>
      <c r="G230" s="136"/>
      <c r="H230" s="136"/>
      <c r="I230" s="136"/>
      <c r="J230" s="136"/>
      <c r="K230" s="136"/>
      <c r="L230" s="165"/>
      <c r="M230" s="136"/>
      <c r="N230" s="136"/>
      <c r="O230" s="136"/>
      <c r="P230" s="136"/>
      <c r="Q230" s="137">
        <f t="shared" si="18"/>
        <v>0</v>
      </c>
      <c r="R230" s="137"/>
      <c r="S230" s="136"/>
      <c r="T230" s="136"/>
    </row>
    <row r="231" spans="1:20" ht="15" x14ac:dyDescent="0.2">
      <c r="A231" s="126"/>
      <c r="B231" s="127"/>
      <c r="C231" s="136"/>
      <c r="D231" s="133"/>
      <c r="E231" s="133"/>
      <c r="F231" s="136"/>
      <c r="G231" s="136"/>
      <c r="H231" s="136"/>
      <c r="I231" s="136"/>
      <c r="J231" s="136"/>
      <c r="K231" s="136"/>
      <c r="L231" s="165"/>
      <c r="M231" s="136"/>
      <c r="N231" s="136"/>
      <c r="O231" s="136"/>
      <c r="P231" s="136"/>
      <c r="Q231" s="137">
        <f t="shared" si="18"/>
        <v>0</v>
      </c>
      <c r="R231" s="137"/>
      <c r="S231" s="136"/>
      <c r="T231" s="136"/>
    </row>
    <row r="232" spans="1:20" ht="15" x14ac:dyDescent="0.2">
      <c r="A232" s="126"/>
      <c r="B232" s="127"/>
      <c r="C232" s="136"/>
      <c r="D232" s="133"/>
      <c r="E232" s="133"/>
      <c r="F232" s="136"/>
      <c r="G232" s="136"/>
      <c r="H232" s="136"/>
      <c r="I232" s="136"/>
      <c r="J232" s="136"/>
      <c r="K232" s="136"/>
      <c r="L232" s="165"/>
      <c r="M232" s="136"/>
      <c r="N232" s="136"/>
      <c r="O232" s="136"/>
      <c r="P232" s="136"/>
      <c r="Q232" s="137">
        <f t="shared" si="18"/>
        <v>0</v>
      </c>
      <c r="R232" s="137"/>
      <c r="S232" s="136"/>
      <c r="T232" s="136"/>
    </row>
    <row r="233" spans="1:20" ht="15" x14ac:dyDescent="0.2">
      <c r="A233" s="126"/>
      <c r="B233" s="127"/>
      <c r="C233" s="136"/>
      <c r="D233" s="133"/>
      <c r="E233" s="133"/>
      <c r="F233" s="136"/>
      <c r="G233" s="136"/>
      <c r="H233" s="136"/>
      <c r="I233" s="136"/>
      <c r="J233" s="136"/>
      <c r="K233" s="136"/>
      <c r="L233" s="165"/>
      <c r="M233" s="136"/>
      <c r="N233" s="136"/>
      <c r="O233" s="136"/>
      <c r="P233" s="136"/>
      <c r="Q233" s="137">
        <f t="shared" si="18"/>
        <v>0</v>
      </c>
      <c r="R233" s="137"/>
      <c r="S233" s="136"/>
      <c r="T233" s="136"/>
    </row>
    <row r="234" spans="1:20" ht="15" x14ac:dyDescent="0.2">
      <c r="A234" s="126"/>
      <c r="B234" s="127"/>
      <c r="C234" s="136"/>
      <c r="D234" s="133"/>
      <c r="E234" s="133"/>
      <c r="F234" s="136"/>
      <c r="G234" s="136"/>
      <c r="H234" s="136"/>
      <c r="I234" s="136"/>
      <c r="J234" s="136"/>
      <c r="K234" s="136"/>
      <c r="L234" s="165"/>
      <c r="M234" s="136"/>
      <c r="N234" s="136"/>
      <c r="O234" s="136"/>
      <c r="P234" s="136"/>
      <c r="Q234" s="137">
        <f t="shared" si="18"/>
        <v>0</v>
      </c>
      <c r="R234" s="137"/>
      <c r="S234" s="136"/>
      <c r="T234" s="136"/>
    </row>
    <row r="235" spans="1:20" ht="15" x14ac:dyDescent="0.2">
      <c r="A235" s="126"/>
      <c r="B235" s="127"/>
      <c r="C235" s="136"/>
      <c r="D235" s="133"/>
      <c r="E235" s="133"/>
      <c r="F235" s="136"/>
      <c r="G235" s="136"/>
      <c r="H235" s="136"/>
      <c r="I235" s="136"/>
      <c r="J235" s="136"/>
      <c r="K235" s="136"/>
      <c r="L235" s="165"/>
      <c r="M235" s="136"/>
      <c r="N235" s="136"/>
      <c r="O235" s="136"/>
      <c r="P235" s="136"/>
      <c r="Q235" s="137">
        <f t="shared" si="18"/>
        <v>0</v>
      </c>
      <c r="R235" s="137"/>
      <c r="S235" s="136"/>
      <c r="T235" s="136"/>
    </row>
    <row r="236" spans="1:20" ht="15" x14ac:dyDescent="0.2">
      <c r="A236" s="126"/>
      <c r="B236" s="127"/>
      <c r="C236" s="136"/>
      <c r="D236" s="133"/>
      <c r="E236" s="133"/>
      <c r="F236" s="136"/>
      <c r="G236" s="136"/>
      <c r="H236" s="136"/>
      <c r="I236" s="136"/>
      <c r="J236" s="136"/>
      <c r="K236" s="136"/>
      <c r="L236" s="165"/>
      <c r="M236" s="136"/>
      <c r="N236" s="136"/>
      <c r="O236" s="136"/>
      <c r="P236" s="136"/>
      <c r="Q236" s="137">
        <f t="shared" si="18"/>
        <v>0</v>
      </c>
      <c r="R236" s="137"/>
      <c r="S236" s="136"/>
      <c r="T236" s="136"/>
    </row>
    <row r="237" spans="1:20" ht="15" x14ac:dyDescent="0.2">
      <c r="A237" s="126"/>
      <c r="B237" s="127"/>
      <c r="C237" s="136"/>
      <c r="D237" s="133"/>
      <c r="E237" s="133"/>
      <c r="F237" s="136"/>
      <c r="G237" s="136"/>
      <c r="H237" s="136"/>
      <c r="I237" s="136"/>
      <c r="J237" s="136"/>
      <c r="K237" s="136"/>
      <c r="L237" s="165"/>
      <c r="M237" s="136"/>
      <c r="N237" s="136"/>
      <c r="O237" s="136"/>
      <c r="P237" s="136"/>
      <c r="Q237" s="137">
        <f t="shared" si="18"/>
        <v>0</v>
      </c>
      <c r="R237" s="137"/>
      <c r="S237" s="136"/>
      <c r="T237" s="136"/>
    </row>
    <row r="238" spans="1:20" ht="15" x14ac:dyDescent="0.2">
      <c r="A238" s="126"/>
      <c r="B238" s="127"/>
      <c r="C238" s="136"/>
      <c r="D238" s="133"/>
      <c r="E238" s="133"/>
      <c r="F238" s="136"/>
      <c r="G238" s="136"/>
      <c r="H238" s="136"/>
      <c r="I238" s="136"/>
      <c r="J238" s="136"/>
      <c r="K238" s="136"/>
      <c r="L238" s="165"/>
      <c r="M238" s="136"/>
      <c r="N238" s="136"/>
      <c r="O238" s="136"/>
      <c r="P238" s="136"/>
      <c r="Q238" s="137">
        <f t="shared" si="18"/>
        <v>0</v>
      </c>
      <c r="R238" s="137"/>
      <c r="S238" s="136"/>
      <c r="T238" s="136"/>
    </row>
    <row r="239" spans="1:20" ht="15" x14ac:dyDescent="0.2">
      <c r="A239" s="126"/>
      <c r="B239" s="127"/>
      <c r="C239" s="136"/>
      <c r="D239" s="133"/>
      <c r="E239" s="133"/>
      <c r="F239" s="136"/>
      <c r="G239" s="136"/>
      <c r="H239" s="136"/>
      <c r="I239" s="136"/>
      <c r="J239" s="136"/>
      <c r="K239" s="136"/>
      <c r="L239" s="165"/>
      <c r="M239" s="136"/>
      <c r="N239" s="136"/>
      <c r="O239" s="136"/>
      <c r="P239" s="136"/>
      <c r="Q239" s="137">
        <f t="shared" si="18"/>
        <v>0</v>
      </c>
      <c r="R239" s="137"/>
      <c r="S239" s="136"/>
      <c r="T239" s="136"/>
    </row>
    <row r="240" spans="1:20" ht="15" x14ac:dyDescent="0.2">
      <c r="A240" s="126"/>
      <c r="B240" s="127"/>
      <c r="C240" s="136"/>
      <c r="D240" s="133"/>
      <c r="E240" s="133"/>
      <c r="F240" s="136"/>
      <c r="G240" s="136"/>
      <c r="H240" s="136"/>
      <c r="I240" s="136"/>
      <c r="J240" s="136"/>
      <c r="K240" s="136"/>
      <c r="L240" s="165"/>
      <c r="M240" s="136"/>
      <c r="N240" s="136"/>
      <c r="O240" s="136"/>
      <c r="P240" s="136"/>
      <c r="Q240" s="137">
        <f t="shared" si="18"/>
        <v>0</v>
      </c>
      <c r="R240" s="137"/>
      <c r="S240" s="136"/>
      <c r="T240" s="136"/>
    </row>
    <row r="241" spans="1:20" ht="15" x14ac:dyDescent="0.2">
      <c r="A241" s="126"/>
      <c r="B241" s="127"/>
      <c r="C241" s="136"/>
      <c r="D241" s="133"/>
      <c r="E241" s="133"/>
      <c r="F241" s="136"/>
      <c r="G241" s="136"/>
      <c r="H241" s="136"/>
      <c r="I241" s="136"/>
      <c r="J241" s="136"/>
      <c r="K241" s="136"/>
      <c r="L241" s="165"/>
      <c r="M241" s="136"/>
      <c r="N241" s="136"/>
      <c r="O241" s="136"/>
      <c r="P241" s="136"/>
      <c r="Q241" s="137">
        <f t="shared" si="18"/>
        <v>0</v>
      </c>
      <c r="R241" s="137"/>
      <c r="S241" s="136"/>
      <c r="T241" s="136"/>
    </row>
    <row r="242" spans="1:20" ht="15" x14ac:dyDescent="0.2">
      <c r="A242" s="126"/>
      <c r="B242" s="127"/>
      <c r="C242" s="136"/>
      <c r="D242" s="133"/>
      <c r="E242" s="133"/>
      <c r="F242" s="136"/>
      <c r="G242" s="136"/>
      <c r="H242" s="136"/>
      <c r="I242" s="136"/>
      <c r="J242" s="136"/>
      <c r="K242" s="136"/>
      <c r="L242" s="165"/>
      <c r="M242" s="136"/>
      <c r="N242" s="136"/>
      <c r="O242" s="136"/>
      <c r="P242" s="136"/>
      <c r="Q242" s="137">
        <f t="shared" si="18"/>
        <v>0</v>
      </c>
      <c r="R242" s="137"/>
      <c r="S242" s="136"/>
      <c r="T242" s="136"/>
    </row>
    <row r="243" spans="1:20" ht="15" x14ac:dyDescent="0.2">
      <c r="A243" s="126"/>
      <c r="B243" s="127"/>
      <c r="C243" s="136"/>
      <c r="D243" s="133"/>
      <c r="E243" s="133"/>
      <c r="F243" s="136"/>
      <c r="G243" s="136"/>
      <c r="H243" s="136"/>
      <c r="I243" s="136"/>
      <c r="J243" s="136"/>
      <c r="K243" s="136"/>
      <c r="L243" s="165"/>
      <c r="M243" s="136"/>
      <c r="N243" s="136"/>
      <c r="O243" s="136"/>
      <c r="P243" s="136"/>
      <c r="Q243" s="137">
        <f t="shared" si="18"/>
        <v>0</v>
      </c>
      <c r="R243" s="137"/>
      <c r="S243" s="136"/>
      <c r="T243" s="136"/>
    </row>
    <row r="244" spans="1:20" ht="15" x14ac:dyDescent="0.2">
      <c r="A244" s="126"/>
      <c r="B244" s="127"/>
      <c r="C244" s="136"/>
      <c r="D244" s="133"/>
      <c r="E244" s="133"/>
      <c r="F244" s="136"/>
      <c r="G244" s="136"/>
      <c r="H244" s="136"/>
      <c r="I244" s="136"/>
      <c r="J244" s="136"/>
      <c r="K244" s="136"/>
      <c r="L244" s="165"/>
      <c r="M244" s="136"/>
      <c r="N244" s="136"/>
      <c r="O244" s="136"/>
      <c r="P244" s="136"/>
      <c r="Q244" s="137">
        <f t="shared" si="18"/>
        <v>0</v>
      </c>
      <c r="R244" s="137"/>
      <c r="S244" s="136"/>
      <c r="T244" s="136"/>
    </row>
    <row r="245" spans="1:20" ht="15" x14ac:dyDescent="0.2">
      <c r="A245" s="126"/>
      <c r="B245" s="127"/>
      <c r="C245" s="136"/>
      <c r="D245" s="133"/>
      <c r="E245" s="133"/>
      <c r="F245" s="136"/>
      <c r="G245" s="136"/>
      <c r="H245" s="136"/>
      <c r="I245" s="136"/>
      <c r="J245" s="136"/>
      <c r="K245" s="136"/>
      <c r="L245" s="165"/>
      <c r="M245" s="136"/>
      <c r="N245" s="136"/>
      <c r="O245" s="136"/>
      <c r="P245" s="136"/>
      <c r="Q245" s="137">
        <f t="shared" si="18"/>
        <v>0</v>
      </c>
      <c r="R245" s="137"/>
      <c r="S245" s="136"/>
      <c r="T245" s="136"/>
    </row>
    <row r="246" spans="1:20" ht="15" x14ac:dyDescent="0.2">
      <c r="A246" s="126"/>
      <c r="B246" s="127"/>
      <c r="C246" s="136"/>
      <c r="D246" s="133"/>
      <c r="E246" s="133"/>
      <c r="F246" s="136"/>
      <c r="G246" s="136"/>
      <c r="H246" s="136"/>
      <c r="I246" s="136"/>
      <c r="J246" s="136"/>
      <c r="K246" s="136"/>
      <c r="L246" s="165"/>
      <c r="M246" s="136"/>
      <c r="N246" s="136"/>
      <c r="O246" s="136"/>
      <c r="P246" s="136"/>
      <c r="Q246" s="137">
        <f t="shared" si="18"/>
        <v>0</v>
      </c>
      <c r="R246" s="137"/>
      <c r="S246" s="136"/>
      <c r="T246" s="136"/>
    </row>
    <row r="247" spans="1:20" ht="15" x14ac:dyDescent="0.2">
      <c r="A247" s="126"/>
      <c r="B247" s="127"/>
      <c r="C247" s="136"/>
      <c r="D247" s="133"/>
      <c r="E247" s="133"/>
      <c r="F247" s="136"/>
      <c r="G247" s="136"/>
      <c r="H247" s="136"/>
      <c r="I247" s="136"/>
      <c r="J247" s="136"/>
      <c r="K247" s="136"/>
      <c r="L247" s="165"/>
      <c r="M247" s="136"/>
      <c r="N247" s="136"/>
      <c r="O247" s="136"/>
      <c r="P247" s="136"/>
      <c r="Q247" s="137">
        <f t="shared" si="18"/>
        <v>0</v>
      </c>
      <c r="R247" s="137"/>
      <c r="S247" s="136"/>
      <c r="T247" s="136"/>
    </row>
    <row r="248" spans="1:20" ht="15" x14ac:dyDescent="0.2">
      <c r="A248" s="126"/>
      <c r="B248" s="127"/>
      <c r="C248" s="136"/>
      <c r="D248" s="133"/>
      <c r="E248" s="133"/>
      <c r="F248" s="136"/>
      <c r="G248" s="136"/>
      <c r="H248" s="136"/>
      <c r="I248" s="136"/>
      <c r="J248" s="136"/>
      <c r="K248" s="136"/>
      <c r="L248" s="165"/>
      <c r="M248" s="136"/>
      <c r="N248" s="136"/>
      <c r="O248" s="136"/>
      <c r="P248" s="136"/>
      <c r="Q248" s="137">
        <f t="shared" si="18"/>
        <v>0</v>
      </c>
      <c r="R248" s="137"/>
      <c r="S248" s="136"/>
      <c r="T248" s="136"/>
    </row>
    <row r="249" spans="1:20" ht="15" x14ac:dyDescent="0.2">
      <c r="A249" s="126"/>
      <c r="B249" s="127"/>
      <c r="C249" s="136"/>
      <c r="D249" s="133"/>
      <c r="E249" s="133"/>
      <c r="F249" s="136"/>
      <c r="G249" s="136"/>
      <c r="H249" s="136"/>
      <c r="I249" s="136"/>
      <c r="J249" s="136"/>
      <c r="K249" s="136"/>
      <c r="L249" s="165"/>
      <c r="M249" s="136"/>
      <c r="N249" s="136"/>
      <c r="O249" s="136"/>
      <c r="P249" s="136"/>
      <c r="Q249" s="137">
        <f t="shared" si="18"/>
        <v>0</v>
      </c>
      <c r="R249" s="137"/>
      <c r="S249" s="136"/>
      <c r="T249" s="136"/>
    </row>
    <row r="250" spans="1:20" ht="15" x14ac:dyDescent="0.2">
      <c r="A250" s="126"/>
      <c r="B250" s="127"/>
      <c r="C250" s="136"/>
      <c r="D250" s="133"/>
      <c r="E250" s="133"/>
      <c r="F250" s="136"/>
      <c r="G250" s="136"/>
      <c r="H250" s="136"/>
      <c r="I250" s="136"/>
      <c r="J250" s="136"/>
      <c r="K250" s="136"/>
      <c r="L250" s="165"/>
      <c r="M250" s="136"/>
      <c r="N250" s="136"/>
      <c r="O250" s="136"/>
      <c r="P250" s="136"/>
      <c r="Q250" s="137">
        <f t="shared" si="18"/>
        <v>0</v>
      </c>
      <c r="R250" s="137"/>
      <c r="S250" s="136"/>
      <c r="T250" s="136"/>
    </row>
    <row r="251" spans="1:20" ht="15" x14ac:dyDescent="0.2">
      <c r="A251" s="126"/>
      <c r="B251" s="127"/>
      <c r="C251" s="136"/>
      <c r="D251" s="133"/>
      <c r="E251" s="133"/>
      <c r="F251" s="136"/>
      <c r="G251" s="136"/>
      <c r="H251" s="136"/>
      <c r="I251" s="136"/>
      <c r="J251" s="136"/>
      <c r="K251" s="136"/>
      <c r="L251" s="165"/>
      <c r="M251" s="136"/>
      <c r="N251" s="136"/>
      <c r="O251" s="136"/>
      <c r="P251" s="136"/>
      <c r="Q251" s="137">
        <f t="shared" si="18"/>
        <v>0</v>
      </c>
      <c r="R251" s="137"/>
      <c r="S251" s="136"/>
      <c r="T251" s="136"/>
    </row>
    <row r="252" spans="1:20" ht="15" x14ac:dyDescent="0.2">
      <c r="A252" s="126"/>
      <c r="B252" s="127"/>
      <c r="C252" s="136"/>
      <c r="D252" s="133"/>
      <c r="E252" s="133"/>
      <c r="F252" s="136"/>
      <c r="G252" s="136"/>
      <c r="H252" s="136"/>
      <c r="I252" s="136"/>
      <c r="J252" s="136"/>
      <c r="K252" s="136"/>
      <c r="L252" s="165"/>
      <c r="M252" s="136"/>
      <c r="N252" s="136"/>
      <c r="O252" s="136"/>
      <c r="P252" s="136"/>
      <c r="Q252" s="137">
        <f t="shared" si="18"/>
        <v>0</v>
      </c>
      <c r="R252" s="137"/>
      <c r="S252" s="136"/>
      <c r="T252" s="136"/>
    </row>
    <row r="253" spans="1:20" ht="15" x14ac:dyDescent="0.2">
      <c r="A253" s="126"/>
      <c r="B253" s="127"/>
      <c r="C253" s="136"/>
      <c r="D253" s="133"/>
      <c r="E253" s="133"/>
      <c r="F253" s="136"/>
      <c r="G253" s="136"/>
      <c r="H253" s="136"/>
      <c r="I253" s="136"/>
      <c r="J253" s="136"/>
      <c r="K253" s="136"/>
      <c r="L253" s="165"/>
      <c r="M253" s="136"/>
      <c r="N253" s="136"/>
      <c r="O253" s="136"/>
      <c r="P253" s="136"/>
      <c r="Q253" s="137">
        <f t="shared" si="18"/>
        <v>0</v>
      </c>
      <c r="R253" s="137"/>
      <c r="S253" s="136"/>
      <c r="T253" s="136"/>
    </row>
    <row r="254" spans="1:20" ht="15" x14ac:dyDescent="0.2">
      <c r="A254" s="126"/>
      <c r="B254" s="127"/>
      <c r="C254" s="136"/>
      <c r="D254" s="133"/>
      <c r="E254" s="133"/>
      <c r="F254" s="136"/>
      <c r="G254" s="136"/>
      <c r="H254" s="136"/>
      <c r="I254" s="136"/>
      <c r="J254" s="136"/>
      <c r="K254" s="136"/>
      <c r="L254" s="165"/>
      <c r="M254" s="136"/>
      <c r="N254" s="136"/>
      <c r="O254" s="136"/>
      <c r="P254" s="136"/>
      <c r="Q254" s="137">
        <f t="shared" si="18"/>
        <v>0</v>
      </c>
      <c r="R254" s="137"/>
      <c r="S254" s="136"/>
      <c r="T254" s="136"/>
    </row>
    <row r="255" spans="1:20" ht="15" x14ac:dyDescent="0.2">
      <c r="A255" s="126"/>
      <c r="B255" s="127"/>
      <c r="C255" s="136"/>
      <c r="D255" s="133"/>
      <c r="E255" s="133"/>
      <c r="F255" s="136"/>
      <c r="G255" s="136"/>
      <c r="H255" s="136"/>
      <c r="I255" s="136"/>
      <c r="J255" s="136"/>
      <c r="K255" s="136"/>
      <c r="L255" s="165"/>
      <c r="M255" s="136"/>
      <c r="N255" s="136"/>
      <c r="O255" s="136"/>
      <c r="P255" s="136"/>
      <c r="Q255" s="137">
        <f t="shared" si="18"/>
        <v>0</v>
      </c>
      <c r="R255" s="137"/>
      <c r="S255" s="136"/>
      <c r="T255" s="136"/>
    </row>
    <row r="256" spans="1:20" ht="15" x14ac:dyDescent="0.2">
      <c r="A256" s="126"/>
      <c r="B256" s="127"/>
      <c r="C256" s="136"/>
      <c r="D256" s="133"/>
      <c r="E256" s="133"/>
      <c r="F256" s="136"/>
      <c r="G256" s="136"/>
      <c r="H256" s="136"/>
      <c r="I256" s="136"/>
      <c r="J256" s="136"/>
      <c r="K256" s="136"/>
      <c r="L256" s="165"/>
      <c r="M256" s="136"/>
      <c r="N256" s="136"/>
      <c r="O256" s="136"/>
      <c r="P256" s="136"/>
      <c r="Q256" s="137">
        <f t="shared" si="18"/>
        <v>0</v>
      </c>
      <c r="R256" s="137"/>
      <c r="S256" s="136"/>
      <c r="T256" s="136"/>
    </row>
    <row r="257" spans="1:20" ht="15" x14ac:dyDescent="0.2">
      <c r="A257" s="126"/>
      <c r="B257" s="127"/>
      <c r="C257" s="136"/>
      <c r="D257" s="133"/>
      <c r="E257" s="133"/>
      <c r="F257" s="136"/>
      <c r="G257" s="136"/>
      <c r="H257" s="136"/>
      <c r="I257" s="136"/>
      <c r="J257" s="136"/>
      <c r="K257" s="136"/>
      <c r="L257" s="165"/>
      <c r="M257" s="136"/>
      <c r="N257" s="136"/>
      <c r="O257" s="136"/>
      <c r="P257" s="136"/>
      <c r="Q257" s="137">
        <f t="shared" si="18"/>
        <v>0</v>
      </c>
      <c r="R257" s="137"/>
      <c r="S257" s="136"/>
      <c r="T257" s="136"/>
    </row>
    <row r="258" spans="1:20" ht="15" x14ac:dyDescent="0.2">
      <c r="A258" s="126"/>
      <c r="B258" s="127"/>
      <c r="C258" s="136"/>
      <c r="D258" s="133"/>
      <c r="E258" s="133"/>
      <c r="F258" s="136"/>
      <c r="G258" s="136"/>
      <c r="H258" s="136"/>
      <c r="I258" s="136"/>
      <c r="J258" s="136"/>
      <c r="K258" s="136"/>
      <c r="L258" s="165"/>
      <c r="M258" s="136"/>
      <c r="N258" s="136"/>
      <c r="O258" s="136"/>
      <c r="P258" s="136"/>
      <c r="Q258" s="137">
        <f t="shared" si="18"/>
        <v>0</v>
      </c>
      <c r="R258" s="137"/>
      <c r="S258" s="136"/>
      <c r="T258" s="136"/>
    </row>
    <row r="259" spans="1:20" ht="15" x14ac:dyDescent="0.2">
      <c r="A259" s="126"/>
      <c r="B259" s="127"/>
      <c r="C259" s="136"/>
      <c r="D259" s="133"/>
      <c r="E259" s="133"/>
      <c r="F259" s="136"/>
      <c r="G259" s="136"/>
      <c r="H259" s="136"/>
      <c r="I259" s="136"/>
      <c r="J259" s="136"/>
      <c r="K259" s="136"/>
      <c r="L259" s="165"/>
      <c r="M259" s="136"/>
      <c r="N259" s="136"/>
      <c r="O259" s="136"/>
      <c r="P259" s="136"/>
      <c r="Q259" s="137">
        <f t="shared" si="18"/>
        <v>0</v>
      </c>
      <c r="R259" s="137"/>
      <c r="S259" s="136"/>
      <c r="T259" s="136"/>
    </row>
    <row r="260" spans="1:20" ht="15" x14ac:dyDescent="0.2">
      <c r="A260" s="126"/>
      <c r="B260" s="127"/>
      <c r="C260" s="136"/>
      <c r="D260" s="133"/>
      <c r="E260" s="133"/>
      <c r="F260" s="136"/>
      <c r="G260" s="136"/>
      <c r="H260" s="136"/>
      <c r="I260" s="136"/>
      <c r="J260" s="136"/>
      <c r="K260" s="136"/>
      <c r="L260" s="165"/>
      <c r="M260" s="136"/>
      <c r="N260" s="136"/>
      <c r="O260" s="136"/>
      <c r="P260" s="136"/>
      <c r="Q260" s="137">
        <f t="shared" si="18"/>
        <v>0</v>
      </c>
      <c r="R260" s="137"/>
      <c r="S260" s="136"/>
      <c r="T260" s="136"/>
    </row>
    <row r="261" spans="1:20" ht="15" x14ac:dyDescent="0.2">
      <c r="A261" s="126"/>
      <c r="B261" s="127"/>
      <c r="C261" s="136"/>
      <c r="D261" s="133"/>
      <c r="E261" s="133"/>
      <c r="F261" s="136"/>
      <c r="G261" s="136"/>
      <c r="H261" s="136"/>
      <c r="I261" s="136"/>
      <c r="J261" s="136"/>
      <c r="K261" s="136"/>
      <c r="L261" s="165"/>
      <c r="M261" s="136"/>
      <c r="N261" s="136"/>
      <c r="O261" s="136"/>
      <c r="P261" s="136"/>
      <c r="Q261" s="137">
        <f t="shared" si="18"/>
        <v>0</v>
      </c>
      <c r="R261" s="137"/>
      <c r="S261" s="136"/>
      <c r="T261" s="136"/>
    </row>
    <row r="262" spans="1:20" ht="15" x14ac:dyDescent="0.2">
      <c r="A262" s="126"/>
      <c r="B262" s="127"/>
      <c r="C262" s="136"/>
      <c r="D262" s="133"/>
      <c r="E262" s="133"/>
      <c r="F262" s="136"/>
      <c r="G262" s="136"/>
      <c r="H262" s="136"/>
      <c r="I262" s="136"/>
      <c r="J262" s="136"/>
      <c r="K262" s="136"/>
      <c r="L262" s="165"/>
      <c r="M262" s="136"/>
      <c r="N262" s="136"/>
      <c r="O262" s="136"/>
      <c r="P262" s="136"/>
      <c r="Q262" s="137">
        <f t="shared" si="18"/>
        <v>0</v>
      </c>
      <c r="R262" s="137"/>
      <c r="S262" s="136"/>
      <c r="T262" s="136"/>
    </row>
    <row r="263" spans="1:20" ht="15" x14ac:dyDescent="0.2">
      <c r="A263" s="126"/>
      <c r="B263" s="127"/>
      <c r="C263" s="136"/>
      <c r="D263" s="133"/>
      <c r="E263" s="133"/>
      <c r="F263" s="136"/>
      <c r="G263" s="136"/>
      <c r="H263" s="136"/>
      <c r="I263" s="136"/>
      <c r="J263" s="136"/>
      <c r="K263" s="136"/>
      <c r="L263" s="165"/>
      <c r="M263" s="136"/>
      <c r="N263" s="136"/>
      <c r="O263" s="136"/>
      <c r="P263" s="136"/>
      <c r="Q263" s="137">
        <f t="shared" si="18"/>
        <v>0</v>
      </c>
      <c r="R263" s="137"/>
      <c r="S263" s="136"/>
      <c r="T263" s="136"/>
    </row>
    <row r="264" spans="1:20" ht="15" x14ac:dyDescent="0.2">
      <c r="B264" s="117"/>
      <c r="D264" s="25"/>
      <c r="E264" s="25"/>
      <c r="L264" s="17"/>
    </row>
    <row r="265" spans="1:20" ht="15" x14ac:dyDescent="0.2">
      <c r="B265" s="2"/>
      <c r="D265" s="25"/>
      <c r="E265" s="25"/>
      <c r="L265" s="17"/>
    </row>
    <row r="266" spans="1:20" ht="15" x14ac:dyDescent="0.2">
      <c r="B266" s="2"/>
      <c r="D266" s="25"/>
      <c r="E266" s="25"/>
      <c r="L266" s="17"/>
    </row>
    <row r="267" spans="1:20" ht="15" x14ac:dyDescent="0.2">
      <c r="B267" s="2"/>
      <c r="D267" s="25"/>
      <c r="E267" s="25"/>
      <c r="L267" s="17"/>
    </row>
    <row r="268" spans="1:20" ht="15" x14ac:dyDescent="0.2">
      <c r="B268" s="2"/>
      <c r="D268" s="25"/>
      <c r="E268" s="25"/>
      <c r="L268" s="17"/>
    </row>
    <row r="269" spans="1:20" ht="15" x14ac:dyDescent="0.2">
      <c r="B269" s="2"/>
      <c r="D269" s="25"/>
      <c r="E269" s="25"/>
      <c r="L269" s="17"/>
    </row>
    <row r="270" spans="1:20" ht="15" x14ac:dyDescent="0.2">
      <c r="B270" s="2"/>
      <c r="D270" s="25"/>
      <c r="E270" s="25"/>
      <c r="L270" s="17"/>
    </row>
    <row r="271" spans="1:20" ht="15" x14ac:dyDescent="0.2">
      <c r="B271" s="2"/>
      <c r="D271" s="25"/>
      <c r="E271" s="25"/>
      <c r="L271" s="17"/>
    </row>
    <row r="272" spans="1:20" ht="15" x14ac:dyDescent="0.2">
      <c r="B272" s="2"/>
      <c r="D272" s="25"/>
      <c r="E272" s="25"/>
      <c r="L272" s="17"/>
    </row>
    <row r="273" spans="2:12" ht="15" x14ac:dyDescent="0.2">
      <c r="B273" s="2"/>
      <c r="D273" s="25"/>
      <c r="E273" s="25"/>
      <c r="L273" s="17"/>
    </row>
    <row r="274" spans="2:12" ht="15" x14ac:dyDescent="0.2">
      <c r="B274" s="2"/>
      <c r="D274" s="25"/>
      <c r="E274" s="25"/>
      <c r="L274" s="17"/>
    </row>
    <row r="275" spans="2:12" ht="15" x14ac:dyDescent="0.2">
      <c r="B275" s="2"/>
      <c r="D275" s="25"/>
      <c r="E275" s="25"/>
      <c r="L275" s="17"/>
    </row>
    <row r="276" spans="2:12" ht="15" x14ac:dyDescent="0.2">
      <c r="B276" s="2"/>
      <c r="D276" s="25"/>
      <c r="E276" s="25"/>
      <c r="L276" s="17"/>
    </row>
    <row r="277" spans="2:12" ht="15" x14ac:dyDescent="0.2">
      <c r="B277" s="2"/>
      <c r="D277" s="25"/>
      <c r="E277" s="25"/>
      <c r="L277" s="17"/>
    </row>
    <row r="278" spans="2:12" ht="15" x14ac:dyDescent="0.2">
      <c r="B278" s="2"/>
      <c r="D278" s="25"/>
      <c r="E278" s="25"/>
      <c r="L278" s="17"/>
    </row>
    <row r="279" spans="2:12" ht="15" x14ac:dyDescent="0.2">
      <c r="B279" s="2"/>
      <c r="D279" s="25"/>
      <c r="E279" s="25"/>
      <c r="L279" s="17"/>
    </row>
    <row r="280" spans="2:12" ht="15" x14ac:dyDescent="0.2">
      <c r="B280" s="2"/>
      <c r="D280" s="25"/>
      <c r="E280" s="25"/>
      <c r="L280" s="17"/>
    </row>
    <row r="281" spans="2:12" ht="15" x14ac:dyDescent="0.2">
      <c r="B281" s="2"/>
      <c r="D281" s="25"/>
      <c r="E281" s="25"/>
      <c r="L281" s="17"/>
    </row>
    <row r="282" spans="2:12" ht="15" x14ac:dyDescent="0.2">
      <c r="B282" s="2"/>
      <c r="D282" s="25"/>
      <c r="E282" s="25"/>
      <c r="L282" s="17"/>
    </row>
    <row r="283" spans="2:12" ht="15" x14ac:dyDescent="0.2">
      <c r="B283" s="2"/>
      <c r="D283" s="25"/>
      <c r="E283" s="25"/>
      <c r="L283" s="17"/>
    </row>
    <row r="284" spans="2:12" ht="15" x14ac:dyDescent="0.2">
      <c r="B284" s="2"/>
      <c r="D284" s="25"/>
      <c r="E284" s="25"/>
      <c r="L284" s="17"/>
    </row>
    <row r="285" spans="2:12" ht="15" x14ac:dyDescent="0.2">
      <c r="B285" s="2"/>
      <c r="D285" s="25"/>
      <c r="E285" s="25"/>
      <c r="L285" s="17"/>
    </row>
    <row r="286" spans="2:12" ht="15" x14ac:dyDescent="0.2">
      <c r="B286" s="2"/>
      <c r="D286" s="25"/>
      <c r="E286" s="25"/>
      <c r="L286" s="17"/>
    </row>
    <row r="287" spans="2:12" ht="15" x14ac:dyDescent="0.2">
      <c r="B287" s="2"/>
      <c r="D287" s="25"/>
      <c r="E287" s="25"/>
      <c r="L287" s="17"/>
    </row>
    <row r="288" spans="2:12" ht="15" x14ac:dyDescent="0.2">
      <c r="D288" s="25"/>
      <c r="E288" s="25"/>
      <c r="L288" s="17"/>
    </row>
    <row r="289" spans="4:12" ht="15" x14ac:dyDescent="0.2">
      <c r="D289" s="25"/>
      <c r="E289" s="25"/>
      <c r="L289" s="17"/>
    </row>
    <row r="290" spans="4:12" ht="15" x14ac:dyDescent="0.2">
      <c r="D290" s="25"/>
      <c r="E290" s="25"/>
      <c r="L290" s="17"/>
    </row>
    <row r="291" spans="4:12" ht="15" x14ac:dyDescent="0.2">
      <c r="D291" s="25"/>
      <c r="E291" s="25"/>
      <c r="L291" s="17"/>
    </row>
    <row r="292" spans="4:12" ht="15" x14ac:dyDescent="0.2">
      <c r="D292" s="25"/>
      <c r="E292" s="25"/>
      <c r="L292" s="17"/>
    </row>
    <row r="293" spans="4:12" ht="15" x14ac:dyDescent="0.2">
      <c r="D293" s="25"/>
      <c r="E293" s="25"/>
      <c r="L293" s="17"/>
    </row>
    <row r="294" spans="4:12" ht="15" x14ac:dyDescent="0.2">
      <c r="D294" s="25"/>
      <c r="E294" s="25"/>
      <c r="L294" s="17"/>
    </row>
    <row r="295" spans="4:12" ht="15" x14ac:dyDescent="0.2">
      <c r="D295" s="25"/>
      <c r="E295" s="25"/>
      <c r="L295" s="17"/>
    </row>
    <row r="296" spans="4:12" ht="15" x14ac:dyDescent="0.2">
      <c r="D296" s="25"/>
      <c r="E296" s="25"/>
      <c r="L296" s="17"/>
    </row>
    <row r="297" spans="4:12" ht="15" x14ac:dyDescent="0.2">
      <c r="D297" s="25"/>
      <c r="E297" s="25"/>
      <c r="L297" s="17"/>
    </row>
    <row r="298" spans="4:12" ht="15" x14ac:dyDescent="0.2">
      <c r="D298" s="25"/>
      <c r="E298" s="25"/>
      <c r="L298" s="17"/>
    </row>
    <row r="299" spans="4:12" ht="15" x14ac:dyDescent="0.2">
      <c r="D299" s="25"/>
      <c r="E299" s="25"/>
      <c r="L299" s="17"/>
    </row>
    <row r="300" spans="4:12" ht="15" x14ac:dyDescent="0.2">
      <c r="D300" s="25"/>
      <c r="E300" s="25"/>
      <c r="L300" s="17"/>
    </row>
    <row r="301" spans="4:12" ht="15" x14ac:dyDescent="0.2">
      <c r="D301" s="25"/>
      <c r="E301" s="25"/>
      <c r="L301" s="17"/>
    </row>
    <row r="302" spans="4:12" ht="15" x14ac:dyDescent="0.2">
      <c r="D302" s="25"/>
      <c r="E302" s="25"/>
      <c r="L302" s="17"/>
    </row>
    <row r="303" spans="4:12" ht="15" x14ac:dyDescent="0.2">
      <c r="D303" s="25"/>
      <c r="E303" s="25"/>
      <c r="L303" s="17"/>
    </row>
    <row r="304" spans="4:12" ht="15" x14ac:dyDescent="0.2">
      <c r="D304" s="25"/>
      <c r="E304" s="25"/>
      <c r="L304" s="17"/>
    </row>
    <row r="305" spans="4:12" ht="15" x14ac:dyDescent="0.2">
      <c r="D305" s="25"/>
      <c r="E305" s="25"/>
      <c r="L305" s="17"/>
    </row>
    <row r="306" spans="4:12" ht="15" x14ac:dyDescent="0.2">
      <c r="D306" s="25"/>
      <c r="E306" s="25"/>
      <c r="L306" s="17"/>
    </row>
    <row r="307" spans="4:12" ht="15" x14ac:dyDescent="0.2">
      <c r="D307" s="25"/>
      <c r="E307" s="25"/>
      <c r="L307" s="17"/>
    </row>
    <row r="308" spans="4:12" ht="15" x14ac:dyDescent="0.2">
      <c r="D308" s="25"/>
      <c r="E308" s="25"/>
      <c r="L308" s="17"/>
    </row>
    <row r="309" spans="4:12" ht="15" x14ac:dyDescent="0.2">
      <c r="D309" s="25"/>
      <c r="E309" s="25"/>
      <c r="L309" s="17"/>
    </row>
    <row r="310" spans="4:12" ht="15" x14ac:dyDescent="0.2">
      <c r="D310" s="25"/>
      <c r="E310" s="25"/>
      <c r="L310" s="17"/>
    </row>
    <row r="311" spans="4:12" ht="15" x14ac:dyDescent="0.2">
      <c r="D311" s="25"/>
      <c r="E311" s="25"/>
      <c r="L311" s="17"/>
    </row>
    <row r="312" spans="4:12" x14ac:dyDescent="0.2">
      <c r="D312" s="25"/>
      <c r="E312" s="25"/>
    </row>
    <row r="313" spans="4:12" x14ac:dyDescent="0.2">
      <c r="D313" s="25"/>
      <c r="E313" s="25"/>
    </row>
    <row r="314" spans="4:12" x14ac:dyDescent="0.2">
      <c r="D314" s="25"/>
      <c r="E314" s="25"/>
    </row>
    <row r="315" spans="4:12" x14ac:dyDescent="0.2">
      <c r="D315" s="25"/>
      <c r="E315" s="25"/>
    </row>
    <row r="316" spans="4:12" x14ac:dyDescent="0.2">
      <c r="D316" s="25"/>
      <c r="E316" s="25"/>
    </row>
    <row r="317" spans="4:12" x14ac:dyDescent="0.2">
      <c r="D317" s="25"/>
      <c r="E317" s="25"/>
    </row>
    <row r="318" spans="4:12" x14ac:dyDescent="0.2">
      <c r="D318" s="25"/>
      <c r="E318" s="25"/>
    </row>
    <row r="319" spans="4:12" x14ac:dyDescent="0.2">
      <c r="D319" s="25"/>
      <c r="E319" s="25"/>
    </row>
    <row r="320" spans="4:12" x14ac:dyDescent="0.2">
      <c r="D320" s="25"/>
      <c r="E320" s="25"/>
    </row>
    <row r="321" spans="4:5" x14ac:dyDescent="0.2">
      <c r="D321" s="25"/>
      <c r="E321" s="25"/>
    </row>
    <row r="322" spans="4:5" x14ac:dyDescent="0.2">
      <c r="D322" s="25"/>
      <c r="E322" s="25"/>
    </row>
    <row r="323" spans="4:5" x14ac:dyDescent="0.2">
      <c r="D323" s="25"/>
      <c r="E323" s="25"/>
    </row>
    <row r="324" spans="4:5" x14ac:dyDescent="0.2">
      <c r="D324" s="25"/>
      <c r="E324" s="25"/>
    </row>
    <row r="325" spans="4:5" x14ac:dyDescent="0.2">
      <c r="D325" s="25"/>
      <c r="E325" s="25"/>
    </row>
    <row r="326" spans="4:5" x14ac:dyDescent="0.2">
      <c r="D326" s="25"/>
      <c r="E326" s="25"/>
    </row>
    <row r="327" spans="4:5" x14ac:dyDescent="0.2">
      <c r="D327" s="25"/>
      <c r="E327" s="25"/>
    </row>
    <row r="328" spans="4:5" x14ac:dyDescent="0.2">
      <c r="D328" s="25"/>
      <c r="E328" s="25"/>
    </row>
    <row r="329" spans="4:5" x14ac:dyDescent="0.2">
      <c r="D329" s="25"/>
      <c r="E329" s="25"/>
    </row>
    <row r="330" spans="4:5" x14ac:dyDescent="0.2">
      <c r="D330" s="25"/>
      <c r="E330" s="25"/>
    </row>
    <row r="331" spans="4:5" x14ac:dyDescent="0.2">
      <c r="D331" s="25"/>
      <c r="E331" s="25"/>
    </row>
    <row r="332" spans="4:5" x14ac:dyDescent="0.2">
      <c r="D332" s="25"/>
      <c r="E332" s="25"/>
    </row>
    <row r="333" spans="4:5" x14ac:dyDescent="0.2">
      <c r="D333" s="25"/>
      <c r="E333" s="25"/>
    </row>
    <row r="334" spans="4:5" x14ac:dyDescent="0.2">
      <c r="D334" s="25"/>
      <c r="E334" s="25"/>
    </row>
    <row r="335" spans="4:5" x14ac:dyDescent="0.2">
      <c r="D335" s="25"/>
      <c r="E335" s="25"/>
    </row>
    <row r="336" spans="4:5" x14ac:dyDescent="0.2">
      <c r="D336" s="25"/>
      <c r="E336" s="25"/>
    </row>
    <row r="337" spans="4:5" x14ac:dyDescent="0.2">
      <c r="D337" s="25"/>
      <c r="E337" s="25"/>
    </row>
    <row r="338" spans="4:5" x14ac:dyDescent="0.2">
      <c r="D338" s="25"/>
      <c r="E338" s="25"/>
    </row>
    <row r="339" spans="4:5" x14ac:dyDescent="0.2">
      <c r="D339" s="25"/>
      <c r="E339" s="25"/>
    </row>
    <row r="340" spans="4:5" x14ac:dyDescent="0.2">
      <c r="D340" s="25"/>
      <c r="E340" s="25"/>
    </row>
    <row r="341" spans="4:5" x14ac:dyDescent="0.2">
      <c r="D341" s="25"/>
      <c r="E341" s="25"/>
    </row>
    <row r="342" spans="4:5" x14ac:dyDescent="0.2">
      <c r="D342" s="25"/>
      <c r="E342" s="25"/>
    </row>
    <row r="343" spans="4:5" x14ac:dyDescent="0.2">
      <c r="D343" s="25"/>
      <c r="E343" s="25"/>
    </row>
    <row r="344" spans="4:5" x14ac:dyDescent="0.2">
      <c r="D344" s="25"/>
      <c r="E344" s="25"/>
    </row>
    <row r="345" spans="4:5" x14ac:dyDescent="0.2">
      <c r="D345" s="25"/>
      <c r="E345" s="25"/>
    </row>
    <row r="346" spans="4:5" x14ac:dyDescent="0.2">
      <c r="D346" s="25"/>
      <c r="E346" s="25"/>
    </row>
    <row r="347" spans="4:5" x14ac:dyDescent="0.2">
      <c r="D347" s="25"/>
      <c r="E347" s="25"/>
    </row>
    <row r="348" spans="4:5" x14ac:dyDescent="0.2">
      <c r="D348" s="25"/>
      <c r="E348" s="25"/>
    </row>
    <row r="349" spans="4:5" x14ac:dyDescent="0.2">
      <c r="D349" s="25"/>
      <c r="E349" s="25"/>
    </row>
    <row r="350" spans="4:5" x14ac:dyDescent="0.2">
      <c r="D350" s="25"/>
      <c r="E350" s="25"/>
    </row>
    <row r="351" spans="4:5" x14ac:dyDescent="0.2">
      <c r="D351" s="25"/>
      <c r="E351" s="25"/>
    </row>
    <row r="352" spans="4:5" x14ac:dyDescent="0.2">
      <c r="D352" s="25"/>
      <c r="E352" s="25"/>
    </row>
    <row r="353" spans="4:5" x14ac:dyDescent="0.2">
      <c r="D353" s="25"/>
      <c r="E353" s="25"/>
    </row>
    <row r="354" spans="4:5" x14ac:dyDescent="0.2">
      <c r="D354" s="25"/>
      <c r="E354" s="25"/>
    </row>
    <row r="355" spans="4:5" x14ac:dyDescent="0.2">
      <c r="D355" s="25"/>
      <c r="E355" s="25"/>
    </row>
    <row r="356" spans="4:5" x14ac:dyDescent="0.2">
      <c r="D356" s="25"/>
      <c r="E356" s="25"/>
    </row>
    <row r="357" spans="4:5" x14ac:dyDescent="0.2">
      <c r="D357" s="25"/>
      <c r="E357" s="25"/>
    </row>
    <row r="358" spans="4:5" x14ac:dyDescent="0.2">
      <c r="D358" s="25"/>
      <c r="E358" s="25"/>
    </row>
    <row r="359" spans="4:5" x14ac:dyDescent="0.2">
      <c r="D359" s="25"/>
      <c r="E359" s="25"/>
    </row>
    <row r="360" spans="4:5" x14ac:dyDescent="0.2">
      <c r="D360" s="25"/>
      <c r="E360" s="25"/>
    </row>
    <row r="361" spans="4:5" x14ac:dyDescent="0.2">
      <c r="D361" s="25"/>
      <c r="E361" s="25"/>
    </row>
    <row r="362" spans="4:5" x14ac:dyDescent="0.2">
      <c r="D362" s="25"/>
      <c r="E362" s="25"/>
    </row>
    <row r="363" spans="4:5" x14ac:dyDescent="0.2">
      <c r="D363" s="25"/>
      <c r="E363" s="25"/>
    </row>
    <row r="364" spans="4:5" x14ac:dyDescent="0.2">
      <c r="D364" s="25"/>
      <c r="E364" s="25"/>
    </row>
    <row r="365" spans="4:5" x14ac:dyDescent="0.2">
      <c r="D365" s="25"/>
      <c r="E365" s="25"/>
    </row>
    <row r="366" spans="4:5" x14ac:dyDescent="0.2">
      <c r="D366" s="25"/>
      <c r="E366" s="25"/>
    </row>
    <row r="367" spans="4:5" x14ac:dyDescent="0.2">
      <c r="D367" s="25"/>
      <c r="E367" s="25"/>
    </row>
    <row r="368" spans="4:5" x14ac:dyDescent="0.2">
      <c r="D368" s="25"/>
      <c r="E368" s="25"/>
    </row>
    <row r="369" spans="4:5" x14ac:dyDescent="0.2">
      <c r="D369" s="25"/>
      <c r="E369" s="25"/>
    </row>
    <row r="370" spans="4:5" x14ac:dyDescent="0.2">
      <c r="D370" s="25"/>
      <c r="E370" s="25"/>
    </row>
    <row r="371" spans="4:5" x14ac:dyDescent="0.2">
      <c r="D371" s="25"/>
      <c r="E371" s="25"/>
    </row>
    <row r="372" spans="4:5" x14ac:dyDescent="0.2">
      <c r="D372" s="25"/>
      <c r="E372" s="25"/>
    </row>
    <row r="373" spans="4:5" x14ac:dyDescent="0.2">
      <c r="D373" s="25"/>
      <c r="E373" s="25"/>
    </row>
    <row r="374" spans="4:5" x14ac:dyDescent="0.2">
      <c r="D374" s="25"/>
      <c r="E374" s="25"/>
    </row>
    <row r="375" spans="4:5" x14ac:dyDescent="0.2">
      <c r="D375" s="25"/>
      <c r="E375" s="25"/>
    </row>
    <row r="376" spans="4:5" x14ac:dyDescent="0.2">
      <c r="D376" s="25"/>
      <c r="E376" s="25"/>
    </row>
    <row r="377" spans="4:5" x14ac:dyDescent="0.2">
      <c r="D377" s="25"/>
      <c r="E377" s="25"/>
    </row>
    <row r="378" spans="4:5" x14ac:dyDescent="0.2">
      <c r="D378" s="25"/>
      <c r="E378" s="25"/>
    </row>
    <row r="379" spans="4:5" x14ac:dyDescent="0.2">
      <c r="D379" s="25"/>
      <c r="E379" s="25"/>
    </row>
    <row r="380" spans="4:5" x14ac:dyDescent="0.2">
      <c r="D380" s="25"/>
      <c r="E380" s="25"/>
    </row>
    <row r="381" spans="4:5" x14ac:dyDescent="0.2">
      <c r="D381" s="25"/>
      <c r="E381" s="25"/>
    </row>
    <row r="382" spans="4:5" x14ac:dyDescent="0.2">
      <c r="D382" s="25"/>
      <c r="E382" s="25"/>
    </row>
    <row r="383" spans="4:5" x14ac:dyDescent="0.2">
      <c r="D383" s="25"/>
      <c r="E383" s="25"/>
    </row>
    <row r="384" spans="4:5" x14ac:dyDescent="0.2">
      <c r="D384" s="25"/>
      <c r="E384" s="25"/>
    </row>
    <row r="385" spans="4:5" x14ac:dyDescent="0.2">
      <c r="D385" s="25"/>
      <c r="E385" s="25"/>
    </row>
    <row r="386" spans="4:5" x14ac:dyDescent="0.2">
      <c r="D386" s="25"/>
      <c r="E386" s="25"/>
    </row>
    <row r="387" spans="4:5" x14ac:dyDescent="0.2">
      <c r="D387" s="25"/>
      <c r="E387" s="25"/>
    </row>
    <row r="388" spans="4:5" x14ac:dyDescent="0.2">
      <c r="D388" s="25"/>
      <c r="E388" s="25"/>
    </row>
    <row r="389" spans="4:5" x14ac:dyDescent="0.2">
      <c r="D389" s="25"/>
      <c r="E389" s="25"/>
    </row>
    <row r="390" spans="4:5" x14ac:dyDescent="0.2">
      <c r="D390" s="25"/>
      <c r="E390" s="25"/>
    </row>
    <row r="391" spans="4:5" x14ac:dyDescent="0.2">
      <c r="D391" s="25"/>
      <c r="E391" s="25"/>
    </row>
    <row r="392" spans="4:5" x14ac:dyDescent="0.2">
      <c r="D392" s="25"/>
      <c r="E392" s="25"/>
    </row>
    <row r="393" spans="4:5" x14ac:dyDescent="0.2">
      <c r="D393" s="25"/>
      <c r="E393" s="25"/>
    </row>
    <row r="394" spans="4:5" x14ac:dyDescent="0.2">
      <c r="D394" s="25"/>
      <c r="E394" s="25"/>
    </row>
    <row r="395" spans="4:5" x14ac:dyDescent="0.2">
      <c r="D395" s="25"/>
      <c r="E395" s="25"/>
    </row>
    <row r="396" spans="4:5" x14ac:dyDescent="0.2">
      <c r="D396" s="25"/>
      <c r="E396" s="25"/>
    </row>
    <row r="397" spans="4:5" x14ac:dyDescent="0.2">
      <c r="D397" s="25"/>
      <c r="E397" s="25"/>
    </row>
    <row r="398" spans="4:5" x14ac:dyDescent="0.2">
      <c r="D398" s="25"/>
      <c r="E398" s="25"/>
    </row>
    <row r="399" spans="4:5" x14ac:dyDescent="0.2">
      <c r="D399" s="25"/>
      <c r="E399" s="25"/>
    </row>
    <row r="400" spans="4:5" x14ac:dyDescent="0.2">
      <c r="D400" s="25"/>
      <c r="E400" s="25"/>
    </row>
    <row r="401" spans="4:5" x14ac:dyDescent="0.2">
      <c r="D401" s="25"/>
      <c r="E401" s="25"/>
    </row>
    <row r="402" spans="4:5" x14ac:dyDescent="0.2">
      <c r="D402" s="25"/>
      <c r="E402" s="25"/>
    </row>
    <row r="403" spans="4:5" x14ac:dyDescent="0.2">
      <c r="D403" s="25"/>
      <c r="E403" s="25"/>
    </row>
    <row r="404" spans="4:5" x14ac:dyDescent="0.2">
      <c r="D404" s="25"/>
      <c r="E404" s="25"/>
    </row>
    <row r="405" spans="4:5" x14ac:dyDescent="0.2">
      <c r="D405" s="25"/>
      <c r="E405" s="25"/>
    </row>
    <row r="406" spans="4:5" x14ac:dyDescent="0.2">
      <c r="D406" s="25"/>
      <c r="E406" s="25"/>
    </row>
    <row r="407" spans="4:5" x14ac:dyDescent="0.2">
      <c r="D407" s="25"/>
      <c r="E407" s="25"/>
    </row>
    <row r="408" spans="4:5" x14ac:dyDescent="0.2">
      <c r="D408" s="25"/>
      <c r="E408" s="25"/>
    </row>
    <row r="409" spans="4:5" x14ac:dyDescent="0.2">
      <c r="D409" s="25"/>
      <c r="E409" s="25"/>
    </row>
    <row r="410" spans="4:5" x14ac:dyDescent="0.2">
      <c r="D410" s="25"/>
      <c r="E410" s="25"/>
    </row>
    <row r="411" spans="4:5" x14ac:dyDescent="0.2">
      <c r="D411" s="25"/>
      <c r="E411" s="25"/>
    </row>
    <row r="412" spans="4:5" x14ac:dyDescent="0.2">
      <c r="D412" s="25"/>
      <c r="E412" s="25"/>
    </row>
    <row r="413" spans="4:5" x14ac:dyDescent="0.2">
      <c r="D413" s="25"/>
      <c r="E413" s="25"/>
    </row>
    <row r="414" spans="4:5" x14ac:dyDescent="0.2">
      <c r="D414" s="25"/>
      <c r="E414" s="25"/>
    </row>
    <row r="415" spans="4:5" x14ac:dyDescent="0.2">
      <c r="D415" s="25"/>
      <c r="E415" s="25"/>
    </row>
    <row r="416" spans="4:5" x14ac:dyDescent="0.2">
      <c r="D416" s="25"/>
      <c r="E416" s="25"/>
    </row>
    <row r="417" spans="4:5" x14ac:dyDescent="0.2">
      <c r="D417" s="25"/>
      <c r="E417" s="25"/>
    </row>
    <row r="418" spans="4:5" x14ac:dyDescent="0.2">
      <c r="D418" s="25"/>
      <c r="E418" s="25"/>
    </row>
    <row r="419" spans="4:5" x14ac:dyDescent="0.2">
      <c r="D419" s="25"/>
      <c r="E419" s="25"/>
    </row>
    <row r="420" spans="4:5" x14ac:dyDescent="0.2">
      <c r="D420" s="25"/>
      <c r="E420" s="25"/>
    </row>
    <row r="421" spans="4:5" x14ac:dyDescent="0.2">
      <c r="D421" s="25"/>
      <c r="E421" s="25"/>
    </row>
    <row r="422" spans="4:5" x14ac:dyDescent="0.2">
      <c r="D422" s="25"/>
      <c r="E422" s="25"/>
    </row>
    <row r="423" spans="4:5" x14ac:dyDescent="0.2">
      <c r="D423" s="25"/>
      <c r="E423" s="25"/>
    </row>
    <row r="424" spans="4:5" x14ac:dyDescent="0.2">
      <c r="D424" s="25"/>
      <c r="E424" s="25"/>
    </row>
    <row r="425" spans="4:5" x14ac:dyDescent="0.2">
      <c r="D425" s="25"/>
      <c r="E425" s="25"/>
    </row>
    <row r="426" spans="4:5" x14ac:dyDescent="0.2">
      <c r="D426" s="25"/>
      <c r="E426" s="25"/>
    </row>
    <row r="427" spans="4:5" x14ac:dyDescent="0.2">
      <c r="D427" s="25"/>
      <c r="E427" s="25"/>
    </row>
    <row r="428" spans="4:5" x14ac:dyDescent="0.2">
      <c r="D428" s="25"/>
      <c r="E428" s="25"/>
    </row>
    <row r="429" spans="4:5" x14ac:dyDescent="0.2">
      <c r="D429" s="25"/>
      <c r="E429" s="25"/>
    </row>
    <row r="430" spans="4:5" x14ac:dyDescent="0.2">
      <c r="D430" s="25"/>
      <c r="E430" s="25"/>
    </row>
    <row r="431" spans="4:5" x14ac:dyDescent="0.2">
      <c r="D431" s="25"/>
      <c r="E431" s="25"/>
    </row>
    <row r="432" spans="4:5" x14ac:dyDescent="0.2">
      <c r="D432" s="25"/>
      <c r="E432" s="25"/>
    </row>
    <row r="433" spans="4:5" x14ac:dyDescent="0.2">
      <c r="D433" s="25"/>
      <c r="E433" s="25"/>
    </row>
    <row r="434" spans="4:5" x14ac:dyDescent="0.2">
      <c r="D434" s="25"/>
      <c r="E434" s="25"/>
    </row>
    <row r="435" spans="4:5" x14ac:dyDescent="0.2">
      <c r="D435" s="25"/>
      <c r="E435" s="25"/>
    </row>
    <row r="436" spans="4:5" x14ac:dyDescent="0.2">
      <c r="D436" s="25"/>
      <c r="E436" s="25"/>
    </row>
    <row r="437" spans="4:5" x14ac:dyDescent="0.2">
      <c r="D437" s="25"/>
      <c r="E437" s="25"/>
    </row>
    <row r="438" spans="4:5" x14ac:dyDescent="0.2">
      <c r="D438" s="25"/>
      <c r="E438" s="25"/>
    </row>
    <row r="439" spans="4:5" x14ac:dyDescent="0.2">
      <c r="D439" s="25"/>
      <c r="E439" s="25"/>
    </row>
    <row r="440" spans="4:5" x14ac:dyDescent="0.2">
      <c r="D440" s="25"/>
      <c r="E440" s="25"/>
    </row>
    <row r="441" spans="4:5" x14ac:dyDescent="0.2">
      <c r="D441" s="25"/>
      <c r="E441" s="25"/>
    </row>
    <row r="442" spans="4:5" x14ac:dyDescent="0.2">
      <c r="D442" s="25"/>
      <c r="E442" s="25"/>
    </row>
    <row r="443" spans="4:5" x14ac:dyDescent="0.2">
      <c r="D443" s="25"/>
      <c r="E443" s="25"/>
    </row>
    <row r="444" spans="4:5" x14ac:dyDescent="0.2">
      <c r="D444" s="25"/>
      <c r="E444" s="25"/>
    </row>
    <row r="445" spans="4:5" x14ac:dyDescent="0.2">
      <c r="D445" s="25"/>
      <c r="E445" s="25"/>
    </row>
    <row r="446" spans="4:5" x14ac:dyDescent="0.2">
      <c r="D446" s="25"/>
      <c r="E446" s="25"/>
    </row>
    <row r="447" spans="4:5" x14ac:dyDescent="0.2">
      <c r="D447" s="25"/>
      <c r="E447" s="25"/>
    </row>
    <row r="448" spans="4:5" x14ac:dyDescent="0.2">
      <c r="D448" s="25"/>
      <c r="E448" s="25"/>
    </row>
    <row r="449" spans="4:5" x14ac:dyDescent="0.2">
      <c r="D449" s="25"/>
      <c r="E449" s="25"/>
    </row>
  </sheetData>
  <autoFilter ref="A1:T223" xr:uid="{C8C535D4-3D6E-491B-9091-C606FAC7DEA6}">
    <sortState xmlns:xlrd2="http://schemas.microsoft.com/office/spreadsheetml/2017/richdata2" ref="A2:T223">
      <sortCondition ref="F1:F223"/>
    </sortState>
  </autoFilter>
  <mergeCells count="1">
    <mergeCell ref="T70:T72"/>
  </mergeCells>
  <phoneticPr fontId="21" type="noConversion"/>
  <dataValidations count="9">
    <dataValidation type="list" operator="equal" allowBlank="1" showInputMessage="1" showErrorMessage="1" sqref="F215:F368" xr:uid="{0D30F9EC-44B6-4E90-839B-E63AA0C02C09}">
      <formula1>F215:F655</formula1>
    </dataValidation>
    <dataValidation type="list" operator="equal" allowBlank="1" showInputMessage="1" showErrorMessage="1" sqref="F186:F214 F121:F131 F19:F90" xr:uid="{22921A7B-6335-4BEF-B2E7-BDF6E70D4C12}">
      <formula1>F19:F454</formula1>
    </dataValidation>
    <dataValidation type="list" allowBlank="1" showInputMessage="1" showErrorMessage="1" sqref="C205:C219 C2:C164 C182:C200 C166:C174" xr:uid="{9A7A390D-5271-4537-99E6-023CFB34CD01}">
      <formula1>$C$2:$C$374</formula1>
    </dataValidation>
    <dataValidation type="list" operator="equal" allowBlank="1" showInputMessage="1" showErrorMessage="1" sqref="F164:F165 F137:F162" xr:uid="{7D0947C4-DA65-475F-B471-E168F7A9DAD6}">
      <formula1>F137:F570</formula1>
    </dataValidation>
    <dataValidation type="list" operator="equal" allowBlank="1" showInputMessage="1" showErrorMessage="1" sqref="F166:F185" xr:uid="{DD8FF599-738D-4918-A4C2-3C5247F6A6EF}">
      <formula1>F166:F600</formula1>
    </dataValidation>
    <dataValidation type="list" operator="equal" allowBlank="1" showInputMessage="1" showErrorMessage="1" sqref="F132:F136" xr:uid="{582DE985-3418-4B99-92EC-C48A4AE76514}">
      <formula1>F132:F564</formula1>
    </dataValidation>
    <dataValidation type="list" operator="equal" allowBlank="1" showInputMessage="1" showErrorMessage="1" sqref="F163" xr:uid="{3986DCD3-D051-4839-8C95-82BE9EB3F8F6}">
      <formula1>F2:F596</formula1>
    </dataValidation>
    <dataValidation type="list" operator="equal" allowBlank="1" showInputMessage="1" showErrorMessage="1" sqref="F91:F120 F5:F18" xr:uid="{12C38D7B-D352-412D-9471-DADF3A4BA20B}">
      <formula1>F5:F441</formula1>
    </dataValidation>
    <dataValidation type="list" operator="equal" allowBlank="1" showInputMessage="1" showErrorMessage="1" sqref="F2:F4" xr:uid="{E4F841A2-2D6F-404A-8491-88D50FD55926}">
      <formula1>F2:F439</formula1>
    </dataValidation>
  </dataValidations>
  <pageMargins left="0.75" right="0.75" top="1" bottom="1" header="0.5" footer="0.5"/>
  <pageSetup paperSize="9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4C0967-2E6D-47A8-AF3A-6A91123175C9}">
          <x14:formula1>
            <xm:f>'📈 היסטוריית שכר'!$B$5:$B$40</xm:f>
          </x14:formula1>
          <xm:sqref>B165 B173:B287 P222:P226 B2:B162</xm:sqref>
        </x14:dataValidation>
        <x14:dataValidation type="list" allowBlank="1" showInputMessage="1" showErrorMessage="1" xr:uid="{74897A94-4434-4853-B457-D635889EE954}">
          <x14:formula1>
            <xm:f>'📈 היסטוריית שכר'!$B$5:$B$30</xm:f>
          </x14:formula1>
          <xm:sqref>B163:B164</xm:sqref>
        </x14:dataValidation>
        <x14:dataValidation type="list" allowBlank="1" showInputMessage="1" showErrorMessage="1" xr:uid="{DEAA9511-AB82-4AF6-AC8C-B0121CC9E2FE}">
          <x14:formula1>
            <xm:f>'📈 היסטוריית שכר'!$B$5:$B$376</xm:f>
          </x14:formula1>
          <xm:sqref>B166:B172</xm:sqref>
        </x14:dataValidation>
        <x14:dataValidation type="list" allowBlank="1" errorTitle="ערך לא תקין" error="בחר חודש מהרשימה" promptTitle="חודש תשלום" prompt="בחר חודש תשלום" xr:uid="{D046997E-394E-4C02-9BA9-DAF2975432EC}">
          <x14:formula1>
            <xm:f>רשימות!$A$2:$A$37</xm:f>
          </x14:formula1>
          <xm:sqref>T2:T70 T73:T1010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1E95-7067-4557-9CE8-370DF540C93A}">
  <dimension ref="A1:E753"/>
  <sheetViews>
    <sheetView rightToLeft="1" topLeftCell="A69" workbookViewId="0">
      <selection activeCell="A149" sqref="A149:A153"/>
    </sheetView>
  </sheetViews>
  <sheetFormatPr defaultRowHeight="14.25" x14ac:dyDescent="0.2"/>
  <sheetData>
    <row r="1" spans="1:5" x14ac:dyDescent="0.2">
      <c r="A1" s="70" t="s">
        <v>588</v>
      </c>
      <c r="B1" s="70" t="s">
        <v>166</v>
      </c>
      <c r="C1" s="70" t="s">
        <v>104</v>
      </c>
      <c r="D1" s="70" t="s">
        <v>589</v>
      </c>
      <c r="E1" s="116" t="s">
        <v>595</v>
      </c>
    </row>
    <row r="2" spans="1:5" x14ac:dyDescent="0.2">
      <c r="A2" s="71">
        <v>45956</v>
      </c>
      <c r="B2" s="63" t="s">
        <v>567</v>
      </c>
      <c r="C2" s="63" t="s">
        <v>578</v>
      </c>
      <c r="D2" s="63">
        <v>1</v>
      </c>
    </row>
    <row r="3" spans="1:5" x14ac:dyDescent="0.2">
      <c r="A3" s="71">
        <v>45957</v>
      </c>
      <c r="B3" s="63" t="s">
        <v>567</v>
      </c>
      <c r="C3" s="63" t="s">
        <v>578</v>
      </c>
      <c r="D3" s="63">
        <v>1</v>
      </c>
    </row>
    <row r="4" spans="1:5" x14ac:dyDescent="0.2">
      <c r="A4" s="71">
        <v>45958</v>
      </c>
      <c r="B4" s="63" t="s">
        <v>567</v>
      </c>
      <c r="C4" s="63" t="s">
        <v>578</v>
      </c>
      <c r="D4" s="63">
        <v>1</v>
      </c>
    </row>
    <row r="5" spans="1:5" x14ac:dyDescent="0.2">
      <c r="A5" s="72">
        <v>45959</v>
      </c>
      <c r="B5" s="73" t="s">
        <v>567</v>
      </c>
      <c r="C5" s="73" t="s">
        <v>578</v>
      </c>
      <c r="D5" s="73">
        <v>1</v>
      </c>
    </row>
    <row r="6" spans="1:5" x14ac:dyDescent="0.2">
      <c r="A6" s="71">
        <v>45977</v>
      </c>
      <c r="B6" s="63" t="s">
        <v>567</v>
      </c>
      <c r="C6" s="63" t="s">
        <v>578</v>
      </c>
      <c r="D6" s="63">
        <v>1</v>
      </c>
    </row>
    <row r="7" spans="1:5" x14ac:dyDescent="0.2">
      <c r="A7" s="71">
        <v>45978</v>
      </c>
      <c r="B7" s="63" t="s">
        <v>567</v>
      </c>
      <c r="C7" s="63" t="s">
        <v>578</v>
      </c>
      <c r="D7" s="63">
        <v>1</v>
      </c>
    </row>
    <row r="8" spans="1:5" x14ac:dyDescent="0.2">
      <c r="A8" s="72">
        <v>45979</v>
      </c>
      <c r="B8" s="73" t="s">
        <v>567</v>
      </c>
      <c r="C8" s="73" t="s">
        <v>578</v>
      </c>
      <c r="D8" s="73">
        <v>1</v>
      </c>
    </row>
    <row r="9" spans="1:5" x14ac:dyDescent="0.2">
      <c r="A9" s="71">
        <v>45735</v>
      </c>
      <c r="B9" s="63" t="s">
        <v>112</v>
      </c>
      <c r="C9" s="63" t="s">
        <v>113</v>
      </c>
      <c r="D9" s="63">
        <v>1</v>
      </c>
    </row>
    <row r="10" spans="1:5" x14ac:dyDescent="0.2">
      <c r="A10" s="74">
        <v>46005</v>
      </c>
      <c r="B10" s="75" t="s">
        <v>112</v>
      </c>
      <c r="C10" s="75" t="s">
        <v>113</v>
      </c>
      <c r="D10" s="75">
        <v>1</v>
      </c>
      <c r="E10" t="s">
        <v>596</v>
      </c>
    </row>
    <row r="11" spans="1:5" ht="15" thickBot="1" x14ac:dyDescent="0.25">
      <c r="A11" s="76">
        <v>46006</v>
      </c>
      <c r="B11" s="77" t="s">
        <v>112</v>
      </c>
      <c r="C11" s="77" t="s">
        <v>113</v>
      </c>
      <c r="D11" s="77">
        <v>1</v>
      </c>
      <c r="E11" t="s">
        <v>596</v>
      </c>
    </row>
    <row r="12" spans="1:5" x14ac:dyDescent="0.2">
      <c r="A12" s="78">
        <v>45901</v>
      </c>
      <c r="B12" s="79" t="s">
        <v>117</v>
      </c>
      <c r="C12" s="79" t="s">
        <v>118</v>
      </c>
      <c r="D12" s="80">
        <v>1</v>
      </c>
    </row>
    <row r="13" spans="1:5" x14ac:dyDescent="0.2">
      <c r="A13" s="81">
        <v>45902</v>
      </c>
      <c r="B13" s="63" t="s">
        <v>117</v>
      </c>
      <c r="C13" s="63" t="s">
        <v>118</v>
      </c>
      <c r="D13" s="82">
        <v>1</v>
      </c>
    </row>
    <row r="14" spans="1:5" x14ac:dyDescent="0.2">
      <c r="A14" s="81">
        <v>45903</v>
      </c>
      <c r="B14" s="63" t="s">
        <v>117</v>
      </c>
      <c r="C14" s="63" t="s">
        <v>118</v>
      </c>
      <c r="D14" s="82">
        <v>1</v>
      </c>
    </row>
    <row r="15" spans="1:5" x14ac:dyDescent="0.2">
      <c r="A15" s="81">
        <v>45904</v>
      </c>
      <c r="B15" s="63" t="s">
        <v>117</v>
      </c>
      <c r="C15" s="63" t="s">
        <v>118</v>
      </c>
      <c r="D15" s="82">
        <v>1</v>
      </c>
    </row>
    <row r="16" spans="1:5" x14ac:dyDescent="0.2">
      <c r="A16" s="81">
        <v>45905</v>
      </c>
      <c r="B16" s="63" t="s">
        <v>117</v>
      </c>
      <c r="C16" s="63" t="s">
        <v>118</v>
      </c>
      <c r="D16" s="82">
        <v>1</v>
      </c>
    </row>
    <row r="17" spans="1:4" x14ac:dyDescent="0.2">
      <c r="A17" s="81">
        <v>45906</v>
      </c>
      <c r="B17" s="63" t="s">
        <v>117</v>
      </c>
      <c r="C17" s="63" t="s">
        <v>118</v>
      </c>
      <c r="D17" s="82">
        <v>1</v>
      </c>
    </row>
    <row r="18" spans="1:4" x14ac:dyDescent="0.2">
      <c r="A18" s="81">
        <v>45907</v>
      </c>
      <c r="B18" s="63" t="s">
        <v>117</v>
      </c>
      <c r="C18" s="63" t="s">
        <v>118</v>
      </c>
      <c r="D18" s="82">
        <v>1</v>
      </c>
    </row>
    <row r="19" spans="1:4" x14ac:dyDescent="0.2">
      <c r="A19" s="81">
        <v>45908</v>
      </c>
      <c r="B19" s="63" t="s">
        <v>117</v>
      </c>
      <c r="C19" s="63" t="s">
        <v>118</v>
      </c>
      <c r="D19" s="82">
        <v>1</v>
      </c>
    </row>
    <row r="20" spans="1:4" x14ac:dyDescent="0.2">
      <c r="A20" s="81">
        <v>45909</v>
      </c>
      <c r="B20" s="63" t="s">
        <v>117</v>
      </c>
      <c r="C20" s="63" t="s">
        <v>118</v>
      </c>
      <c r="D20" s="82">
        <v>1</v>
      </c>
    </row>
    <row r="21" spans="1:4" x14ac:dyDescent="0.2">
      <c r="A21" s="81">
        <v>45910</v>
      </c>
      <c r="B21" s="63" t="s">
        <v>117</v>
      </c>
      <c r="C21" s="63" t="s">
        <v>118</v>
      </c>
      <c r="D21" s="82">
        <v>1</v>
      </c>
    </row>
    <row r="22" spans="1:4" x14ac:dyDescent="0.2">
      <c r="A22" s="81">
        <v>45911</v>
      </c>
      <c r="B22" s="63" t="s">
        <v>117</v>
      </c>
      <c r="C22" s="63" t="s">
        <v>118</v>
      </c>
      <c r="D22" s="82">
        <v>1</v>
      </c>
    </row>
    <row r="23" spans="1:4" x14ac:dyDescent="0.2">
      <c r="A23" s="81">
        <v>45912</v>
      </c>
      <c r="B23" s="63" t="s">
        <v>117</v>
      </c>
      <c r="C23" s="63" t="s">
        <v>118</v>
      </c>
      <c r="D23" s="82">
        <v>1</v>
      </c>
    </row>
    <row r="24" spans="1:4" x14ac:dyDescent="0.2">
      <c r="A24" s="81">
        <v>45913</v>
      </c>
      <c r="B24" s="63" t="s">
        <v>117</v>
      </c>
      <c r="C24" s="63" t="s">
        <v>118</v>
      </c>
      <c r="D24" s="82">
        <v>1</v>
      </c>
    </row>
    <row r="25" spans="1:4" x14ac:dyDescent="0.2">
      <c r="A25" s="81">
        <v>45914</v>
      </c>
      <c r="B25" s="63" t="s">
        <v>117</v>
      </c>
      <c r="C25" s="63" t="s">
        <v>118</v>
      </c>
      <c r="D25" s="82">
        <v>1</v>
      </c>
    </row>
    <row r="26" spans="1:4" x14ac:dyDescent="0.2">
      <c r="A26" s="81">
        <v>45915</v>
      </c>
      <c r="B26" s="63" t="s">
        <v>117</v>
      </c>
      <c r="C26" s="63" t="s">
        <v>118</v>
      </c>
      <c r="D26" s="82">
        <v>1</v>
      </c>
    </row>
    <row r="27" spans="1:4" x14ac:dyDescent="0.2">
      <c r="A27" s="81">
        <v>45916</v>
      </c>
      <c r="B27" s="63" t="s">
        <v>117</v>
      </c>
      <c r="C27" s="63" t="s">
        <v>118</v>
      </c>
      <c r="D27" s="82">
        <v>1</v>
      </c>
    </row>
    <row r="28" spans="1:4" x14ac:dyDescent="0.2">
      <c r="A28" s="83">
        <v>45917</v>
      </c>
      <c r="B28" s="75" t="s">
        <v>117</v>
      </c>
      <c r="C28" s="75" t="s">
        <v>118</v>
      </c>
      <c r="D28" s="84">
        <v>1</v>
      </c>
    </row>
    <row r="29" spans="1:4" ht="15" thickBot="1" x14ac:dyDescent="0.25">
      <c r="A29" s="113">
        <v>45943</v>
      </c>
      <c r="B29" s="114" t="s">
        <v>117</v>
      </c>
      <c r="C29" s="114" t="s">
        <v>118</v>
      </c>
      <c r="D29" s="115">
        <v>1</v>
      </c>
    </row>
    <row r="30" spans="1:4" x14ac:dyDescent="0.2">
      <c r="A30" s="88">
        <v>45957</v>
      </c>
      <c r="B30" s="69" t="s">
        <v>579</v>
      </c>
      <c r="C30" s="69" t="s">
        <v>118</v>
      </c>
      <c r="D30" s="69">
        <v>1</v>
      </c>
    </row>
    <row r="31" spans="1:4" x14ac:dyDescent="0.2">
      <c r="A31" s="71">
        <v>45965</v>
      </c>
      <c r="B31" s="63" t="s">
        <v>579</v>
      </c>
      <c r="C31" s="63" t="s">
        <v>118</v>
      </c>
      <c r="D31" s="63">
        <v>1</v>
      </c>
    </row>
    <row r="32" spans="1:4" x14ac:dyDescent="0.2">
      <c r="A32" s="89">
        <v>45972</v>
      </c>
      <c r="B32" s="90" t="s">
        <v>579</v>
      </c>
      <c r="C32" s="90" t="s">
        <v>118</v>
      </c>
      <c r="D32" s="90">
        <v>1</v>
      </c>
    </row>
    <row r="33" spans="1:5" x14ac:dyDescent="0.2">
      <c r="A33" s="89">
        <v>45973</v>
      </c>
      <c r="B33" s="90" t="s">
        <v>579</v>
      </c>
      <c r="C33" s="90" t="s">
        <v>118</v>
      </c>
      <c r="D33" s="90">
        <v>1</v>
      </c>
    </row>
    <row r="34" spans="1:5" x14ac:dyDescent="0.2">
      <c r="A34" s="71">
        <v>45998</v>
      </c>
      <c r="B34" s="63" t="s">
        <v>579</v>
      </c>
      <c r="C34" s="63" t="s">
        <v>118</v>
      </c>
      <c r="D34" s="63">
        <v>1</v>
      </c>
      <c r="E34" t="s">
        <v>596</v>
      </c>
    </row>
    <row r="35" spans="1:5" x14ac:dyDescent="0.2">
      <c r="A35" s="91">
        <v>45999</v>
      </c>
      <c r="B35" s="92" t="s">
        <v>579</v>
      </c>
      <c r="C35" s="92" t="s">
        <v>118</v>
      </c>
      <c r="D35" s="92">
        <v>1</v>
      </c>
      <c r="E35" t="s">
        <v>596</v>
      </c>
    </row>
    <row r="36" spans="1:5" x14ac:dyDescent="0.2">
      <c r="A36" s="71">
        <v>46009</v>
      </c>
      <c r="B36" s="63" t="s">
        <v>579</v>
      </c>
      <c r="C36" s="63" t="s">
        <v>118</v>
      </c>
      <c r="D36" s="63">
        <v>1</v>
      </c>
      <c r="E36" t="s">
        <v>596</v>
      </c>
    </row>
    <row r="37" spans="1:5" x14ac:dyDescent="0.2">
      <c r="A37" s="91">
        <v>46014</v>
      </c>
      <c r="B37" s="92" t="s">
        <v>579</v>
      </c>
      <c r="C37" s="92" t="s">
        <v>118</v>
      </c>
      <c r="D37" s="92">
        <v>1</v>
      </c>
      <c r="E37" t="s">
        <v>596</v>
      </c>
    </row>
    <row r="38" spans="1:5" x14ac:dyDescent="0.2">
      <c r="A38" s="89">
        <v>46019</v>
      </c>
      <c r="B38" s="90" t="s">
        <v>579</v>
      </c>
      <c r="C38" s="90" t="s">
        <v>118</v>
      </c>
      <c r="D38" s="90">
        <v>1</v>
      </c>
      <c r="E38" t="s">
        <v>596</v>
      </c>
    </row>
    <row r="39" spans="1:5" x14ac:dyDescent="0.2">
      <c r="A39" s="71">
        <v>45658</v>
      </c>
      <c r="B39" s="63" t="s">
        <v>121</v>
      </c>
      <c r="C39" s="63" t="s">
        <v>113</v>
      </c>
      <c r="D39" s="63">
        <v>1</v>
      </c>
    </row>
    <row r="40" spans="1:5" x14ac:dyDescent="0.2">
      <c r="A40" s="71">
        <v>45659</v>
      </c>
      <c r="B40" s="63" t="s">
        <v>121</v>
      </c>
      <c r="C40" s="63" t="s">
        <v>113</v>
      </c>
      <c r="D40" s="63">
        <v>1</v>
      </c>
    </row>
    <row r="41" spans="1:5" x14ac:dyDescent="0.2">
      <c r="A41" s="71">
        <v>45660</v>
      </c>
      <c r="B41" s="63" t="s">
        <v>121</v>
      </c>
      <c r="C41" s="63" t="s">
        <v>113</v>
      </c>
      <c r="D41" s="63">
        <v>1</v>
      </c>
    </row>
    <row r="42" spans="1:5" x14ac:dyDescent="0.2">
      <c r="A42" s="89">
        <v>45796</v>
      </c>
      <c r="B42" s="90" t="s">
        <v>121</v>
      </c>
      <c r="C42" s="90" t="s">
        <v>113</v>
      </c>
      <c r="D42" s="90">
        <v>1</v>
      </c>
    </row>
    <row r="43" spans="1:5" x14ac:dyDescent="0.2">
      <c r="A43" s="89">
        <v>45797</v>
      </c>
      <c r="B43" s="90" t="s">
        <v>121</v>
      </c>
      <c r="C43" s="90" t="s">
        <v>113</v>
      </c>
      <c r="D43" s="90">
        <v>1</v>
      </c>
    </row>
    <row r="44" spans="1:5" ht="15" thickBot="1" x14ac:dyDescent="0.25">
      <c r="A44" s="93">
        <v>45798</v>
      </c>
      <c r="B44" s="94" t="s">
        <v>121</v>
      </c>
      <c r="C44" s="94" t="s">
        <v>113</v>
      </c>
      <c r="D44" s="94">
        <v>1</v>
      </c>
    </row>
    <row r="45" spans="1:5" x14ac:dyDescent="0.2">
      <c r="A45" s="78">
        <v>45820</v>
      </c>
      <c r="B45" s="79" t="s">
        <v>121</v>
      </c>
      <c r="C45" s="79" t="s">
        <v>113</v>
      </c>
      <c r="D45" s="80">
        <v>1</v>
      </c>
    </row>
    <row r="46" spans="1:5" x14ac:dyDescent="0.2">
      <c r="A46" s="81">
        <v>45821</v>
      </c>
      <c r="B46" s="63" t="s">
        <v>121</v>
      </c>
      <c r="C46" s="63" t="s">
        <v>113</v>
      </c>
      <c r="D46" s="82">
        <v>1</v>
      </c>
    </row>
    <row r="47" spans="1:5" x14ac:dyDescent="0.2">
      <c r="A47" s="81">
        <v>45822</v>
      </c>
      <c r="B47" s="63" t="s">
        <v>121</v>
      </c>
      <c r="C47" s="63" t="s">
        <v>113</v>
      </c>
      <c r="D47" s="82">
        <v>1</v>
      </c>
    </row>
    <row r="48" spans="1:5" x14ac:dyDescent="0.2">
      <c r="A48" s="81">
        <v>45823</v>
      </c>
      <c r="B48" s="63" t="s">
        <v>121</v>
      </c>
      <c r="C48" s="63" t="s">
        <v>113</v>
      </c>
      <c r="D48" s="82">
        <v>1</v>
      </c>
    </row>
    <row r="49" spans="1:4" x14ac:dyDescent="0.2">
      <c r="A49" s="81">
        <v>45824</v>
      </c>
      <c r="B49" s="63" t="s">
        <v>121</v>
      </c>
      <c r="C49" s="63" t="s">
        <v>113</v>
      </c>
      <c r="D49" s="82">
        <v>1</v>
      </c>
    </row>
    <row r="50" spans="1:4" x14ac:dyDescent="0.2">
      <c r="A50" s="81">
        <v>45825</v>
      </c>
      <c r="B50" s="63" t="s">
        <v>121</v>
      </c>
      <c r="C50" s="63" t="s">
        <v>113</v>
      </c>
      <c r="D50" s="82">
        <v>1</v>
      </c>
    </row>
    <row r="51" spans="1:4" x14ac:dyDescent="0.2">
      <c r="A51" s="81">
        <v>45826</v>
      </c>
      <c r="B51" s="63" t="s">
        <v>121</v>
      </c>
      <c r="C51" s="63" t="s">
        <v>113</v>
      </c>
      <c r="D51" s="82">
        <v>1</v>
      </c>
    </row>
    <row r="52" spans="1:4" x14ac:dyDescent="0.2">
      <c r="A52" s="81">
        <v>45827</v>
      </c>
      <c r="B52" s="63" t="s">
        <v>121</v>
      </c>
      <c r="C52" s="63" t="s">
        <v>113</v>
      </c>
      <c r="D52" s="82">
        <v>1</v>
      </c>
    </row>
    <row r="53" spans="1:4" x14ac:dyDescent="0.2">
      <c r="A53" s="81">
        <v>45828</v>
      </c>
      <c r="B53" s="63" t="s">
        <v>121</v>
      </c>
      <c r="C53" s="63" t="s">
        <v>113</v>
      </c>
      <c r="D53" s="82">
        <v>1</v>
      </c>
    </row>
    <row r="54" spans="1:4" x14ac:dyDescent="0.2">
      <c r="A54" s="81">
        <v>45829</v>
      </c>
      <c r="B54" s="63" t="s">
        <v>121</v>
      </c>
      <c r="C54" s="63" t="s">
        <v>113</v>
      </c>
      <c r="D54" s="82">
        <v>1</v>
      </c>
    </row>
    <row r="55" spans="1:4" x14ac:dyDescent="0.2">
      <c r="A55" s="81">
        <v>45830</v>
      </c>
      <c r="B55" s="63" t="s">
        <v>121</v>
      </c>
      <c r="C55" s="63" t="s">
        <v>113</v>
      </c>
      <c r="D55" s="82">
        <v>1</v>
      </c>
    </row>
    <row r="56" spans="1:4" x14ac:dyDescent="0.2">
      <c r="A56" s="81">
        <v>45831</v>
      </c>
      <c r="B56" s="63" t="s">
        <v>121</v>
      </c>
      <c r="C56" s="63" t="s">
        <v>113</v>
      </c>
      <c r="D56" s="82">
        <v>1</v>
      </c>
    </row>
    <row r="57" spans="1:4" x14ac:dyDescent="0.2">
      <c r="A57" s="81">
        <v>45832</v>
      </c>
      <c r="B57" s="63" t="s">
        <v>121</v>
      </c>
      <c r="C57" s="63" t="s">
        <v>113</v>
      </c>
      <c r="D57" s="82">
        <v>1</v>
      </c>
    </row>
    <row r="58" spans="1:4" x14ac:dyDescent="0.2">
      <c r="A58" s="81">
        <v>45833</v>
      </c>
      <c r="B58" s="63" t="s">
        <v>121</v>
      </c>
      <c r="C58" s="63" t="s">
        <v>113</v>
      </c>
      <c r="D58" s="82">
        <v>1</v>
      </c>
    </row>
    <row r="59" spans="1:4" ht="15" thickBot="1" x14ac:dyDescent="0.25">
      <c r="A59" s="85">
        <v>45834</v>
      </c>
      <c r="B59" s="86" t="s">
        <v>121</v>
      </c>
      <c r="C59" s="86" t="s">
        <v>113</v>
      </c>
      <c r="D59" s="87">
        <v>1</v>
      </c>
    </row>
    <row r="60" spans="1:4" x14ac:dyDescent="0.2">
      <c r="A60" s="78">
        <v>45867</v>
      </c>
      <c r="B60" s="79" t="s">
        <v>121</v>
      </c>
      <c r="C60" s="79" t="s">
        <v>113</v>
      </c>
      <c r="D60" s="80">
        <v>1</v>
      </c>
    </row>
    <row r="61" spans="1:4" x14ac:dyDescent="0.2">
      <c r="A61" s="81">
        <v>45868</v>
      </c>
      <c r="B61" s="63" t="s">
        <v>121</v>
      </c>
      <c r="C61" s="63" t="s">
        <v>113</v>
      </c>
      <c r="D61" s="82">
        <v>1</v>
      </c>
    </row>
    <row r="62" spans="1:4" ht="15" thickBot="1" x14ac:dyDescent="0.25">
      <c r="A62" s="95">
        <v>45869</v>
      </c>
      <c r="B62" s="96" t="s">
        <v>121</v>
      </c>
      <c r="C62" s="96" t="s">
        <v>113</v>
      </c>
      <c r="D62" s="97">
        <v>1</v>
      </c>
    </row>
    <row r="63" spans="1:4" x14ac:dyDescent="0.2">
      <c r="A63" s="78">
        <v>45911</v>
      </c>
      <c r="B63" s="79" t="s">
        <v>121</v>
      </c>
      <c r="C63" s="79" t="s">
        <v>113</v>
      </c>
      <c r="D63" s="80">
        <v>1</v>
      </c>
    </row>
    <row r="64" spans="1:4" x14ac:dyDescent="0.2">
      <c r="A64" s="81">
        <v>45912</v>
      </c>
      <c r="B64" s="63" t="s">
        <v>121</v>
      </c>
      <c r="C64" s="63" t="s">
        <v>113</v>
      </c>
      <c r="D64" s="82">
        <v>1</v>
      </c>
    </row>
    <row r="65" spans="1:5" x14ac:dyDescent="0.2">
      <c r="A65" s="81">
        <v>45913</v>
      </c>
      <c r="B65" s="63" t="s">
        <v>121</v>
      </c>
      <c r="C65" s="63" t="s">
        <v>113</v>
      </c>
      <c r="D65" s="82">
        <v>1</v>
      </c>
    </row>
    <row r="66" spans="1:5" ht="15" thickBot="1" x14ac:dyDescent="0.25">
      <c r="A66" s="85">
        <v>45914</v>
      </c>
      <c r="B66" s="86" t="s">
        <v>121</v>
      </c>
      <c r="C66" s="86" t="s">
        <v>113</v>
      </c>
      <c r="D66" s="87">
        <v>1</v>
      </c>
    </row>
    <row r="67" spans="1:5" ht="15" thickBot="1" x14ac:dyDescent="0.25">
      <c r="A67" s="98">
        <v>46015</v>
      </c>
      <c r="B67" s="99" t="s">
        <v>581</v>
      </c>
      <c r="C67" s="99" t="s">
        <v>118</v>
      </c>
      <c r="D67" s="99">
        <v>1</v>
      </c>
      <c r="E67" t="s">
        <v>596</v>
      </c>
    </row>
    <row r="68" spans="1:5" x14ac:dyDescent="0.2">
      <c r="A68" s="78">
        <v>45676</v>
      </c>
      <c r="B68" s="79" t="s">
        <v>125</v>
      </c>
      <c r="C68" s="79" t="s">
        <v>118</v>
      </c>
      <c r="D68" s="80">
        <v>1</v>
      </c>
    </row>
    <row r="69" spans="1:5" x14ac:dyDescent="0.2">
      <c r="A69" s="81">
        <v>45677</v>
      </c>
      <c r="B69" s="63" t="s">
        <v>125</v>
      </c>
      <c r="C69" s="63" t="s">
        <v>118</v>
      </c>
      <c r="D69" s="82">
        <v>1</v>
      </c>
    </row>
    <row r="70" spans="1:5" x14ac:dyDescent="0.2">
      <c r="A70" s="81">
        <v>45678</v>
      </c>
      <c r="B70" s="63" t="s">
        <v>125</v>
      </c>
      <c r="C70" s="63" t="s">
        <v>118</v>
      </c>
      <c r="D70" s="82">
        <v>1</v>
      </c>
    </row>
    <row r="71" spans="1:5" ht="15" thickBot="1" x14ac:dyDescent="0.25">
      <c r="A71" s="85">
        <v>45679</v>
      </c>
      <c r="B71" s="86" t="s">
        <v>125</v>
      </c>
      <c r="C71" s="86" t="s">
        <v>118</v>
      </c>
      <c r="D71" s="87">
        <v>1</v>
      </c>
    </row>
    <row r="72" spans="1:5" x14ac:dyDescent="0.2">
      <c r="A72" s="78">
        <v>45718</v>
      </c>
      <c r="B72" s="79" t="s">
        <v>125</v>
      </c>
      <c r="C72" s="79" t="s">
        <v>118</v>
      </c>
      <c r="D72" s="80">
        <v>1</v>
      </c>
    </row>
    <row r="73" spans="1:5" x14ac:dyDescent="0.2">
      <c r="A73" s="81">
        <v>45719</v>
      </c>
      <c r="B73" s="63" t="s">
        <v>125</v>
      </c>
      <c r="C73" s="63" t="s">
        <v>118</v>
      </c>
      <c r="D73" s="82">
        <v>1</v>
      </c>
    </row>
    <row r="74" spans="1:5" x14ac:dyDescent="0.2">
      <c r="A74" s="81">
        <v>45720</v>
      </c>
      <c r="B74" s="63" t="s">
        <v>125</v>
      </c>
      <c r="C74" s="63" t="s">
        <v>118</v>
      </c>
      <c r="D74" s="82">
        <v>1</v>
      </c>
    </row>
    <row r="75" spans="1:5" ht="15" thickBot="1" x14ac:dyDescent="0.25">
      <c r="A75" s="85">
        <v>45721</v>
      </c>
      <c r="B75" s="86" t="s">
        <v>125</v>
      </c>
      <c r="C75" s="86" t="s">
        <v>118</v>
      </c>
      <c r="D75" s="87">
        <v>1</v>
      </c>
    </row>
    <row r="76" spans="1:5" x14ac:dyDescent="0.2">
      <c r="A76" s="88">
        <v>45770</v>
      </c>
      <c r="B76" s="69" t="s">
        <v>125</v>
      </c>
      <c r="C76" s="69" t="s">
        <v>118</v>
      </c>
      <c r="D76" s="69">
        <v>1</v>
      </c>
    </row>
    <row r="77" spans="1:5" ht="15" thickBot="1" x14ac:dyDescent="0.25">
      <c r="A77" s="100">
        <v>45774</v>
      </c>
      <c r="B77" s="101" t="s">
        <v>125</v>
      </c>
      <c r="C77" s="101" t="s">
        <v>118</v>
      </c>
      <c r="D77" s="101">
        <v>1</v>
      </c>
    </row>
    <row r="78" spans="1:5" x14ac:dyDescent="0.2">
      <c r="A78" s="78">
        <v>45781</v>
      </c>
      <c r="B78" s="79" t="s">
        <v>125</v>
      </c>
      <c r="C78" s="79" t="s">
        <v>118</v>
      </c>
      <c r="D78" s="80">
        <v>1</v>
      </c>
    </row>
    <row r="79" spans="1:5" x14ac:dyDescent="0.2">
      <c r="A79" s="81">
        <v>45782</v>
      </c>
      <c r="B79" s="63" t="s">
        <v>125</v>
      </c>
      <c r="C79" s="63" t="s">
        <v>118</v>
      </c>
      <c r="D79" s="82">
        <v>1</v>
      </c>
    </row>
    <row r="80" spans="1:5" x14ac:dyDescent="0.2">
      <c r="A80" s="81">
        <v>45783</v>
      </c>
      <c r="B80" s="63" t="s">
        <v>125</v>
      </c>
      <c r="C80" s="63" t="s">
        <v>118</v>
      </c>
      <c r="D80" s="82">
        <v>1</v>
      </c>
    </row>
    <row r="81" spans="1:4" x14ac:dyDescent="0.2">
      <c r="A81" s="81">
        <v>45784</v>
      </c>
      <c r="B81" s="63" t="s">
        <v>125</v>
      </c>
      <c r="C81" s="63" t="s">
        <v>118</v>
      </c>
      <c r="D81" s="82">
        <v>1</v>
      </c>
    </row>
    <row r="82" spans="1:4" x14ac:dyDescent="0.2">
      <c r="A82" s="81">
        <v>45785</v>
      </c>
      <c r="B82" s="63" t="s">
        <v>125</v>
      </c>
      <c r="C82" s="63" t="s">
        <v>118</v>
      </c>
      <c r="D82" s="82">
        <v>1</v>
      </c>
    </row>
    <row r="83" spans="1:4" x14ac:dyDescent="0.2">
      <c r="A83" s="81">
        <v>45786</v>
      </c>
      <c r="B83" s="63" t="s">
        <v>125</v>
      </c>
      <c r="C83" s="63" t="s">
        <v>118</v>
      </c>
      <c r="D83" s="82">
        <v>1</v>
      </c>
    </row>
    <row r="84" spans="1:4" x14ac:dyDescent="0.2">
      <c r="A84" s="81">
        <v>45787</v>
      </c>
      <c r="B84" s="63" t="s">
        <v>125</v>
      </c>
      <c r="C84" s="63" t="s">
        <v>118</v>
      </c>
      <c r="D84" s="82">
        <v>1</v>
      </c>
    </row>
    <row r="85" spans="1:4" x14ac:dyDescent="0.2">
      <c r="A85" s="81">
        <v>45788</v>
      </c>
      <c r="B85" s="63" t="s">
        <v>125</v>
      </c>
      <c r="C85" s="63" t="s">
        <v>118</v>
      </c>
      <c r="D85" s="82">
        <v>1</v>
      </c>
    </row>
    <row r="86" spans="1:4" x14ac:dyDescent="0.2">
      <c r="A86" s="81">
        <v>45789</v>
      </c>
      <c r="B86" s="63" t="s">
        <v>125</v>
      </c>
      <c r="C86" s="63" t="s">
        <v>118</v>
      </c>
      <c r="D86" s="82">
        <v>1</v>
      </c>
    </row>
    <row r="87" spans="1:4" x14ac:dyDescent="0.2">
      <c r="A87" s="81">
        <v>45790</v>
      </c>
      <c r="B87" s="63" t="s">
        <v>125</v>
      </c>
      <c r="C87" s="63" t="s">
        <v>118</v>
      </c>
      <c r="D87" s="82">
        <v>1</v>
      </c>
    </row>
    <row r="88" spans="1:4" x14ac:dyDescent="0.2">
      <c r="A88" s="81">
        <v>45791</v>
      </c>
      <c r="B88" s="63" t="s">
        <v>125</v>
      </c>
      <c r="C88" s="63" t="s">
        <v>118</v>
      </c>
      <c r="D88" s="82">
        <v>1</v>
      </c>
    </row>
    <row r="89" spans="1:4" x14ac:dyDescent="0.2">
      <c r="A89" s="81">
        <v>45792</v>
      </c>
      <c r="B89" s="63" t="s">
        <v>125</v>
      </c>
      <c r="C89" s="63" t="s">
        <v>118</v>
      </c>
      <c r="D89" s="82">
        <v>1</v>
      </c>
    </row>
    <row r="90" spans="1:4" x14ac:dyDescent="0.2">
      <c r="A90" s="81">
        <v>45793</v>
      </c>
      <c r="B90" s="63" t="s">
        <v>125</v>
      </c>
      <c r="C90" s="63" t="s">
        <v>118</v>
      </c>
      <c r="D90" s="82">
        <v>1</v>
      </c>
    </row>
    <row r="91" spans="1:4" x14ac:dyDescent="0.2">
      <c r="A91" s="81">
        <v>45794</v>
      </c>
      <c r="B91" s="63" t="s">
        <v>125</v>
      </c>
      <c r="C91" s="63" t="s">
        <v>118</v>
      </c>
      <c r="D91" s="82">
        <v>1</v>
      </c>
    </row>
    <row r="92" spans="1:4" x14ac:dyDescent="0.2">
      <c r="A92" s="81">
        <v>45795</v>
      </c>
      <c r="B92" s="63" t="s">
        <v>125</v>
      </c>
      <c r="C92" s="63" t="s">
        <v>118</v>
      </c>
      <c r="D92" s="82">
        <v>1</v>
      </c>
    </row>
    <row r="93" spans="1:4" x14ac:dyDescent="0.2">
      <c r="A93" s="81">
        <v>45796</v>
      </c>
      <c r="B93" s="63" t="s">
        <v>125</v>
      </c>
      <c r="C93" s="63" t="s">
        <v>118</v>
      </c>
      <c r="D93" s="82">
        <v>1</v>
      </c>
    </row>
    <row r="94" spans="1:4" x14ac:dyDescent="0.2">
      <c r="A94" s="81">
        <v>45797</v>
      </c>
      <c r="B94" s="63" t="s">
        <v>125</v>
      </c>
      <c r="C94" s="63" t="s">
        <v>118</v>
      </c>
      <c r="D94" s="82">
        <v>1</v>
      </c>
    </row>
    <row r="95" spans="1:4" x14ac:dyDescent="0.2">
      <c r="A95" s="81">
        <v>45798</v>
      </c>
      <c r="B95" s="63" t="s">
        <v>125</v>
      </c>
      <c r="C95" s="63" t="s">
        <v>118</v>
      </c>
      <c r="D95" s="82">
        <v>1</v>
      </c>
    </row>
    <row r="96" spans="1:4" x14ac:dyDescent="0.2">
      <c r="A96" s="81">
        <v>45799</v>
      </c>
      <c r="B96" s="63" t="s">
        <v>125</v>
      </c>
      <c r="C96" s="63" t="s">
        <v>118</v>
      </c>
      <c r="D96" s="82">
        <v>1</v>
      </c>
    </row>
    <row r="97" spans="1:4" x14ac:dyDescent="0.2">
      <c r="A97" s="81">
        <v>45800</v>
      </c>
      <c r="B97" s="63" t="s">
        <v>125</v>
      </c>
      <c r="C97" s="63" t="s">
        <v>118</v>
      </c>
      <c r="D97" s="82">
        <v>1</v>
      </c>
    </row>
    <row r="98" spans="1:4" ht="15" thickBot="1" x14ac:dyDescent="0.25">
      <c r="A98" s="85">
        <v>45801</v>
      </c>
      <c r="B98" s="86" t="s">
        <v>125</v>
      </c>
      <c r="C98" s="86" t="s">
        <v>118</v>
      </c>
      <c r="D98" s="87">
        <v>1</v>
      </c>
    </row>
    <row r="99" spans="1:4" x14ac:dyDescent="0.2">
      <c r="A99" s="78">
        <v>45886</v>
      </c>
      <c r="B99" s="79" t="s">
        <v>125</v>
      </c>
      <c r="C99" s="79" t="s">
        <v>118</v>
      </c>
      <c r="D99" s="80">
        <v>1</v>
      </c>
    </row>
    <row r="100" spans="1:4" x14ac:dyDescent="0.2">
      <c r="A100" s="81">
        <v>45887</v>
      </c>
      <c r="B100" s="63" t="s">
        <v>125</v>
      </c>
      <c r="C100" s="63" t="s">
        <v>118</v>
      </c>
      <c r="D100" s="82">
        <v>1</v>
      </c>
    </row>
    <row r="101" spans="1:4" x14ac:dyDescent="0.2">
      <c r="A101" s="81">
        <v>45888</v>
      </c>
      <c r="B101" s="63" t="s">
        <v>125</v>
      </c>
      <c r="C101" s="63" t="s">
        <v>118</v>
      </c>
      <c r="D101" s="82">
        <v>1</v>
      </c>
    </row>
    <row r="102" spans="1:4" x14ac:dyDescent="0.2">
      <c r="A102" s="81">
        <v>45889</v>
      </c>
      <c r="B102" s="63" t="s">
        <v>125</v>
      </c>
      <c r="C102" s="63" t="s">
        <v>118</v>
      </c>
      <c r="D102" s="82">
        <v>1</v>
      </c>
    </row>
    <row r="103" spans="1:4" ht="15" thickBot="1" x14ac:dyDescent="0.25">
      <c r="A103" s="85">
        <v>45890</v>
      </c>
      <c r="B103" s="86" t="s">
        <v>125</v>
      </c>
      <c r="C103" s="86" t="s">
        <v>118</v>
      </c>
      <c r="D103" s="87">
        <v>1</v>
      </c>
    </row>
    <row r="104" spans="1:4" x14ac:dyDescent="0.2">
      <c r="A104" s="78">
        <v>45978</v>
      </c>
      <c r="B104" s="79" t="s">
        <v>125</v>
      </c>
      <c r="C104" s="79" t="s">
        <v>118</v>
      </c>
      <c r="D104" s="80">
        <v>1</v>
      </c>
    </row>
    <row r="105" spans="1:4" x14ac:dyDescent="0.2">
      <c r="A105" s="81">
        <v>45979</v>
      </c>
      <c r="B105" s="63" t="s">
        <v>125</v>
      </c>
      <c r="C105" s="63" t="s">
        <v>118</v>
      </c>
      <c r="D105" s="82">
        <v>1</v>
      </c>
    </row>
    <row r="106" spans="1:4" ht="15" thickBot="1" x14ac:dyDescent="0.25">
      <c r="A106" s="85">
        <v>45980</v>
      </c>
      <c r="B106" s="86" t="s">
        <v>125</v>
      </c>
      <c r="C106" s="86" t="s">
        <v>118</v>
      </c>
      <c r="D106" s="87">
        <v>1</v>
      </c>
    </row>
    <row r="107" spans="1:4" x14ac:dyDescent="0.2">
      <c r="A107" s="78">
        <v>45981</v>
      </c>
      <c r="B107" s="79" t="s">
        <v>573</v>
      </c>
      <c r="C107" s="79" t="s">
        <v>118</v>
      </c>
      <c r="D107" s="80">
        <v>1</v>
      </c>
    </row>
    <row r="108" spans="1:4" x14ac:dyDescent="0.2">
      <c r="A108" s="81">
        <v>45982</v>
      </c>
      <c r="B108" s="63" t="s">
        <v>573</v>
      </c>
      <c r="C108" s="63" t="s">
        <v>118</v>
      </c>
      <c r="D108" s="82">
        <v>1</v>
      </c>
    </row>
    <row r="109" spans="1:4" x14ac:dyDescent="0.2">
      <c r="A109" s="81">
        <v>45983</v>
      </c>
      <c r="B109" s="63" t="s">
        <v>573</v>
      </c>
      <c r="C109" s="63" t="s">
        <v>118</v>
      </c>
      <c r="D109" s="82">
        <v>1</v>
      </c>
    </row>
    <row r="110" spans="1:4" ht="15" thickBot="1" x14ac:dyDescent="0.25">
      <c r="A110" s="85">
        <v>45984</v>
      </c>
      <c r="B110" s="86" t="s">
        <v>573</v>
      </c>
      <c r="C110" s="86" t="s">
        <v>118</v>
      </c>
      <c r="D110" s="87">
        <v>1</v>
      </c>
    </row>
    <row r="111" spans="1:4" x14ac:dyDescent="0.2">
      <c r="A111" s="78">
        <v>45683</v>
      </c>
      <c r="B111" s="79" t="s">
        <v>128</v>
      </c>
      <c r="C111" s="79" t="s">
        <v>118</v>
      </c>
      <c r="D111" s="80">
        <v>1</v>
      </c>
    </row>
    <row r="112" spans="1:4" x14ac:dyDescent="0.2">
      <c r="A112" s="81">
        <v>45684</v>
      </c>
      <c r="B112" s="63" t="s">
        <v>128</v>
      </c>
      <c r="C112" s="63" t="s">
        <v>118</v>
      </c>
      <c r="D112" s="82">
        <v>1</v>
      </c>
    </row>
    <row r="113" spans="1:4" x14ac:dyDescent="0.2">
      <c r="A113" s="81">
        <v>45685</v>
      </c>
      <c r="B113" s="63" t="s">
        <v>128</v>
      </c>
      <c r="C113" s="63" t="s">
        <v>118</v>
      </c>
      <c r="D113" s="82">
        <v>1</v>
      </c>
    </row>
    <row r="114" spans="1:4" x14ac:dyDescent="0.2">
      <c r="A114" s="81">
        <v>45686</v>
      </c>
      <c r="B114" s="63" t="s">
        <v>128</v>
      </c>
      <c r="C114" s="63" t="s">
        <v>118</v>
      </c>
      <c r="D114" s="82">
        <v>1</v>
      </c>
    </row>
    <row r="115" spans="1:4" ht="15" thickBot="1" x14ac:dyDescent="0.25">
      <c r="A115" s="85">
        <v>45687</v>
      </c>
      <c r="B115" s="86" t="s">
        <v>128</v>
      </c>
      <c r="C115" s="86" t="s">
        <v>118</v>
      </c>
      <c r="D115" s="87">
        <v>1</v>
      </c>
    </row>
    <row r="116" spans="1:4" x14ac:dyDescent="0.2">
      <c r="A116" s="78">
        <v>45769</v>
      </c>
      <c r="B116" s="79" t="s">
        <v>128</v>
      </c>
      <c r="C116" s="79" t="s">
        <v>118</v>
      </c>
      <c r="D116" s="80">
        <v>1</v>
      </c>
    </row>
    <row r="117" spans="1:4" x14ac:dyDescent="0.2">
      <c r="A117" s="81">
        <v>45770</v>
      </c>
      <c r="B117" s="63" t="s">
        <v>128</v>
      </c>
      <c r="C117" s="63" t="s">
        <v>118</v>
      </c>
      <c r="D117" s="82">
        <v>1</v>
      </c>
    </row>
    <row r="118" spans="1:4" x14ac:dyDescent="0.2">
      <c r="A118" s="81">
        <v>45771</v>
      </c>
      <c r="B118" s="63" t="s">
        <v>128</v>
      </c>
      <c r="C118" s="63" t="s">
        <v>118</v>
      </c>
      <c r="D118" s="82">
        <v>1</v>
      </c>
    </row>
    <row r="119" spans="1:4" x14ac:dyDescent="0.2">
      <c r="A119" s="81">
        <v>45772</v>
      </c>
      <c r="B119" s="63" t="s">
        <v>128</v>
      </c>
      <c r="C119" s="63" t="s">
        <v>118</v>
      </c>
      <c r="D119" s="82">
        <v>1</v>
      </c>
    </row>
    <row r="120" spans="1:4" x14ac:dyDescent="0.2">
      <c r="A120" s="81">
        <v>45773</v>
      </c>
      <c r="B120" s="63" t="s">
        <v>128</v>
      </c>
      <c r="C120" s="63" t="s">
        <v>118</v>
      </c>
      <c r="D120" s="82">
        <v>1</v>
      </c>
    </row>
    <row r="121" spans="1:4" x14ac:dyDescent="0.2">
      <c r="A121" s="81">
        <v>45774</v>
      </c>
      <c r="B121" s="63" t="s">
        <v>128</v>
      </c>
      <c r="C121" s="63" t="s">
        <v>118</v>
      </c>
      <c r="D121" s="82">
        <v>1</v>
      </c>
    </row>
    <row r="122" spans="1:4" x14ac:dyDescent="0.2">
      <c r="A122" s="81">
        <v>45775</v>
      </c>
      <c r="B122" s="63" t="s">
        <v>128</v>
      </c>
      <c r="C122" s="63" t="s">
        <v>118</v>
      </c>
      <c r="D122" s="82">
        <v>1</v>
      </c>
    </row>
    <row r="123" spans="1:4" x14ac:dyDescent="0.2">
      <c r="A123" s="81">
        <v>45776</v>
      </c>
      <c r="B123" s="63" t="s">
        <v>128</v>
      </c>
      <c r="C123" s="63" t="s">
        <v>118</v>
      </c>
      <c r="D123" s="82">
        <v>1</v>
      </c>
    </row>
    <row r="124" spans="1:4" ht="15" thickBot="1" x14ac:dyDescent="0.25">
      <c r="A124" s="85">
        <v>45777</v>
      </c>
      <c r="B124" s="86" t="s">
        <v>128</v>
      </c>
      <c r="C124" s="86" t="s">
        <v>118</v>
      </c>
      <c r="D124" s="87">
        <v>1</v>
      </c>
    </row>
    <row r="125" spans="1:4" x14ac:dyDescent="0.2">
      <c r="A125" s="78">
        <v>45778</v>
      </c>
      <c r="B125" s="79" t="s">
        <v>128</v>
      </c>
      <c r="C125" s="79" t="s">
        <v>118</v>
      </c>
      <c r="D125" s="80">
        <v>1</v>
      </c>
    </row>
    <row r="126" spans="1:4" x14ac:dyDescent="0.2">
      <c r="A126" s="81">
        <v>45779</v>
      </c>
      <c r="B126" s="63" t="s">
        <v>128</v>
      </c>
      <c r="C126" s="63" t="s">
        <v>118</v>
      </c>
      <c r="D126" s="82">
        <v>1</v>
      </c>
    </row>
    <row r="127" spans="1:4" x14ac:dyDescent="0.2">
      <c r="A127" s="81">
        <v>45780</v>
      </c>
      <c r="B127" s="63" t="s">
        <v>128</v>
      </c>
      <c r="C127" s="63" t="s">
        <v>118</v>
      </c>
      <c r="D127" s="82">
        <v>1</v>
      </c>
    </row>
    <row r="128" spans="1:4" x14ac:dyDescent="0.2">
      <c r="A128" s="81">
        <v>45781</v>
      </c>
      <c r="B128" s="63" t="s">
        <v>128</v>
      </c>
      <c r="C128" s="63" t="s">
        <v>118</v>
      </c>
      <c r="D128" s="82">
        <v>1</v>
      </c>
    </row>
    <row r="129" spans="1:4" x14ac:dyDescent="0.2">
      <c r="A129" s="81">
        <v>45782</v>
      </c>
      <c r="B129" s="63" t="s">
        <v>128</v>
      </c>
      <c r="C129" s="63" t="s">
        <v>118</v>
      </c>
      <c r="D129" s="82">
        <v>1</v>
      </c>
    </row>
    <row r="130" spans="1:4" x14ac:dyDescent="0.2">
      <c r="A130" s="81">
        <v>45783</v>
      </c>
      <c r="B130" s="63" t="s">
        <v>128</v>
      </c>
      <c r="C130" s="63" t="s">
        <v>118</v>
      </c>
      <c r="D130" s="82">
        <v>1</v>
      </c>
    </row>
    <row r="131" spans="1:4" x14ac:dyDescent="0.2">
      <c r="A131" s="81">
        <v>45784</v>
      </c>
      <c r="B131" s="63" t="s">
        <v>128</v>
      </c>
      <c r="C131" s="63" t="s">
        <v>118</v>
      </c>
      <c r="D131" s="82">
        <v>1</v>
      </c>
    </row>
    <row r="132" spans="1:4" x14ac:dyDescent="0.2">
      <c r="A132" s="81">
        <v>45785</v>
      </c>
      <c r="B132" s="63" t="s">
        <v>128</v>
      </c>
      <c r="C132" s="63" t="s">
        <v>118</v>
      </c>
      <c r="D132" s="82">
        <v>1</v>
      </c>
    </row>
    <row r="133" spans="1:4" x14ac:dyDescent="0.2">
      <c r="A133" s="81">
        <v>45786</v>
      </c>
      <c r="B133" s="63" t="s">
        <v>128</v>
      </c>
      <c r="C133" s="63" t="s">
        <v>118</v>
      </c>
      <c r="D133" s="82">
        <v>1</v>
      </c>
    </row>
    <row r="134" spans="1:4" x14ac:dyDescent="0.2">
      <c r="A134" s="81">
        <v>45787</v>
      </c>
      <c r="B134" s="63" t="s">
        <v>128</v>
      </c>
      <c r="C134" s="63" t="s">
        <v>118</v>
      </c>
      <c r="D134" s="82">
        <v>1</v>
      </c>
    </row>
    <row r="135" spans="1:4" x14ac:dyDescent="0.2">
      <c r="A135" s="81">
        <v>45788</v>
      </c>
      <c r="B135" s="63" t="s">
        <v>128</v>
      </c>
      <c r="C135" s="63" t="s">
        <v>118</v>
      </c>
      <c r="D135" s="82">
        <v>1</v>
      </c>
    </row>
    <row r="136" spans="1:4" x14ac:dyDescent="0.2">
      <c r="A136" s="81">
        <v>45789</v>
      </c>
      <c r="B136" s="63" t="s">
        <v>128</v>
      </c>
      <c r="C136" s="63" t="s">
        <v>118</v>
      </c>
      <c r="D136" s="82">
        <v>1</v>
      </c>
    </row>
    <row r="137" spans="1:4" x14ac:dyDescent="0.2">
      <c r="A137" s="81">
        <v>45790</v>
      </c>
      <c r="B137" s="63" t="s">
        <v>128</v>
      </c>
      <c r="C137" s="63" t="s">
        <v>118</v>
      </c>
      <c r="D137" s="82">
        <v>1</v>
      </c>
    </row>
    <row r="138" spans="1:4" x14ac:dyDescent="0.2">
      <c r="A138" s="81">
        <v>45791</v>
      </c>
      <c r="B138" s="63" t="s">
        <v>128</v>
      </c>
      <c r="C138" s="63" t="s">
        <v>118</v>
      </c>
      <c r="D138" s="82">
        <v>1</v>
      </c>
    </row>
    <row r="139" spans="1:4" x14ac:dyDescent="0.2">
      <c r="A139" s="81">
        <v>45792</v>
      </c>
      <c r="B139" s="63" t="s">
        <v>128</v>
      </c>
      <c r="C139" s="63" t="s">
        <v>118</v>
      </c>
      <c r="D139" s="82">
        <v>1</v>
      </c>
    </row>
    <row r="140" spans="1:4" x14ac:dyDescent="0.2">
      <c r="A140" s="81">
        <v>45793</v>
      </c>
      <c r="B140" s="63" t="s">
        <v>128</v>
      </c>
      <c r="C140" s="63" t="s">
        <v>118</v>
      </c>
      <c r="D140" s="82">
        <v>1</v>
      </c>
    </row>
    <row r="141" spans="1:4" x14ac:dyDescent="0.2">
      <c r="A141" s="81">
        <v>45794</v>
      </c>
      <c r="B141" s="63" t="s">
        <v>128</v>
      </c>
      <c r="C141" s="63" t="s">
        <v>118</v>
      </c>
      <c r="D141" s="82">
        <v>1</v>
      </c>
    </row>
    <row r="142" spans="1:4" x14ac:dyDescent="0.2">
      <c r="A142" s="81">
        <v>45795</v>
      </c>
      <c r="B142" s="63" t="s">
        <v>128</v>
      </c>
      <c r="C142" s="63" t="s">
        <v>118</v>
      </c>
      <c r="D142" s="82">
        <v>1</v>
      </c>
    </row>
    <row r="143" spans="1:4" x14ac:dyDescent="0.2">
      <c r="A143" s="81">
        <v>45796</v>
      </c>
      <c r="B143" s="63" t="s">
        <v>128</v>
      </c>
      <c r="C143" s="63" t="s">
        <v>118</v>
      </c>
      <c r="D143" s="82">
        <v>1</v>
      </c>
    </row>
    <row r="144" spans="1:4" x14ac:dyDescent="0.2">
      <c r="A144" s="81">
        <v>45797</v>
      </c>
      <c r="B144" s="63" t="s">
        <v>128</v>
      </c>
      <c r="C144" s="63" t="s">
        <v>118</v>
      </c>
      <c r="D144" s="82">
        <v>1</v>
      </c>
    </row>
    <row r="145" spans="1:4" x14ac:dyDescent="0.2">
      <c r="A145" s="81">
        <v>45798</v>
      </c>
      <c r="B145" s="63" t="s">
        <v>128</v>
      </c>
      <c r="C145" s="63" t="s">
        <v>118</v>
      </c>
      <c r="D145" s="82">
        <v>1</v>
      </c>
    </row>
    <row r="146" spans="1:4" x14ac:dyDescent="0.2">
      <c r="A146" s="81">
        <v>45799</v>
      </c>
      <c r="B146" s="63" t="s">
        <v>128</v>
      </c>
      <c r="C146" s="63" t="s">
        <v>118</v>
      </c>
      <c r="D146" s="82">
        <v>1</v>
      </c>
    </row>
    <row r="147" spans="1:4" x14ac:dyDescent="0.2">
      <c r="A147" s="81">
        <v>45800</v>
      </c>
      <c r="B147" s="63" t="s">
        <v>128</v>
      </c>
      <c r="C147" s="63" t="s">
        <v>118</v>
      </c>
      <c r="D147" s="82">
        <v>1</v>
      </c>
    </row>
    <row r="148" spans="1:4" x14ac:dyDescent="0.2">
      <c r="A148" s="81">
        <v>45801</v>
      </c>
      <c r="B148" s="63" t="s">
        <v>128</v>
      </c>
      <c r="C148" s="63" t="s">
        <v>118</v>
      </c>
      <c r="D148" s="82">
        <v>1</v>
      </c>
    </row>
    <row r="149" spans="1:4" x14ac:dyDescent="0.2">
      <c r="A149" s="81">
        <v>45802</v>
      </c>
      <c r="B149" s="63" t="s">
        <v>128</v>
      </c>
      <c r="C149" s="63" t="s">
        <v>118</v>
      </c>
      <c r="D149" s="82">
        <v>1</v>
      </c>
    </row>
    <row r="150" spans="1:4" x14ac:dyDescent="0.2">
      <c r="A150" s="81">
        <v>45803</v>
      </c>
      <c r="B150" s="63" t="s">
        <v>128</v>
      </c>
      <c r="C150" s="63" t="s">
        <v>118</v>
      </c>
      <c r="D150" s="82">
        <v>1</v>
      </c>
    </row>
    <row r="151" spans="1:4" x14ac:dyDescent="0.2">
      <c r="A151" s="81">
        <v>45804</v>
      </c>
      <c r="B151" s="63" t="s">
        <v>128</v>
      </c>
      <c r="C151" s="63" t="s">
        <v>118</v>
      </c>
      <c r="D151" s="82">
        <v>1</v>
      </c>
    </row>
    <row r="152" spans="1:4" x14ac:dyDescent="0.2">
      <c r="A152" s="81">
        <v>45805</v>
      </c>
      <c r="B152" s="63" t="s">
        <v>128</v>
      </c>
      <c r="C152" s="63" t="s">
        <v>118</v>
      </c>
      <c r="D152" s="82">
        <v>1</v>
      </c>
    </row>
    <row r="153" spans="1:4" ht="15" thickBot="1" x14ac:dyDescent="0.25">
      <c r="A153" s="85">
        <v>45806</v>
      </c>
      <c r="B153" s="86" t="s">
        <v>128</v>
      </c>
      <c r="C153" s="86" t="s">
        <v>118</v>
      </c>
      <c r="D153" s="87">
        <v>1</v>
      </c>
    </row>
    <row r="154" spans="1:4" x14ac:dyDescent="0.2">
      <c r="A154" s="78">
        <v>45811</v>
      </c>
      <c r="B154" s="79" t="s">
        <v>128</v>
      </c>
      <c r="C154" s="79" t="s">
        <v>118</v>
      </c>
      <c r="D154" s="80">
        <v>1</v>
      </c>
    </row>
    <row r="155" spans="1:4" x14ac:dyDescent="0.2">
      <c r="A155" s="81">
        <v>45812</v>
      </c>
      <c r="B155" s="63" t="s">
        <v>128</v>
      </c>
      <c r="C155" s="63" t="s">
        <v>118</v>
      </c>
      <c r="D155" s="82">
        <v>1</v>
      </c>
    </row>
    <row r="156" spans="1:4" x14ac:dyDescent="0.2">
      <c r="A156" s="81">
        <v>45813</v>
      </c>
      <c r="B156" s="63" t="s">
        <v>128</v>
      </c>
      <c r="C156" s="63" t="s">
        <v>118</v>
      </c>
      <c r="D156" s="82">
        <v>1</v>
      </c>
    </row>
    <row r="157" spans="1:4" x14ac:dyDescent="0.2">
      <c r="A157" s="81">
        <v>45814</v>
      </c>
      <c r="B157" s="63" t="s">
        <v>128</v>
      </c>
      <c r="C157" s="63" t="s">
        <v>118</v>
      </c>
      <c r="D157" s="82">
        <v>1</v>
      </c>
    </row>
    <row r="158" spans="1:4" x14ac:dyDescent="0.2">
      <c r="A158" s="81">
        <v>45815</v>
      </c>
      <c r="B158" s="63" t="s">
        <v>128</v>
      </c>
      <c r="C158" s="63" t="s">
        <v>118</v>
      </c>
      <c r="D158" s="82">
        <v>1</v>
      </c>
    </row>
    <row r="159" spans="1:4" x14ac:dyDescent="0.2">
      <c r="A159" s="81">
        <v>45816</v>
      </c>
      <c r="B159" s="63" t="s">
        <v>128</v>
      </c>
      <c r="C159" s="63" t="s">
        <v>118</v>
      </c>
      <c r="D159" s="82">
        <v>1</v>
      </c>
    </row>
    <row r="160" spans="1:4" x14ac:dyDescent="0.2">
      <c r="A160" s="81">
        <v>45817</v>
      </c>
      <c r="B160" s="63" t="s">
        <v>128</v>
      </c>
      <c r="C160" s="63" t="s">
        <v>118</v>
      </c>
      <c r="D160" s="82">
        <v>1</v>
      </c>
    </row>
    <row r="161" spans="1:4" x14ac:dyDescent="0.2">
      <c r="A161" s="81">
        <v>45818</v>
      </c>
      <c r="B161" s="63" t="s">
        <v>128</v>
      </c>
      <c r="C161" s="63" t="s">
        <v>118</v>
      </c>
      <c r="D161" s="82">
        <v>1</v>
      </c>
    </row>
    <row r="162" spans="1:4" x14ac:dyDescent="0.2">
      <c r="A162" s="81">
        <v>45819</v>
      </c>
      <c r="B162" s="63" t="s">
        <v>128</v>
      </c>
      <c r="C162" s="63" t="s">
        <v>118</v>
      </c>
      <c r="D162" s="82">
        <v>1</v>
      </c>
    </row>
    <row r="163" spans="1:4" x14ac:dyDescent="0.2">
      <c r="A163" s="81">
        <v>45820</v>
      </c>
      <c r="B163" s="63" t="s">
        <v>128</v>
      </c>
      <c r="C163" s="63" t="s">
        <v>118</v>
      </c>
      <c r="D163" s="82">
        <v>1</v>
      </c>
    </row>
    <row r="164" spans="1:4" x14ac:dyDescent="0.2">
      <c r="A164" s="81">
        <v>45821</v>
      </c>
      <c r="B164" s="63" t="s">
        <v>128</v>
      </c>
      <c r="C164" s="63" t="s">
        <v>118</v>
      </c>
      <c r="D164" s="82">
        <v>1</v>
      </c>
    </row>
    <row r="165" spans="1:4" x14ac:dyDescent="0.2">
      <c r="A165" s="81">
        <v>45822</v>
      </c>
      <c r="B165" s="63" t="s">
        <v>128</v>
      </c>
      <c r="C165" s="63" t="s">
        <v>118</v>
      </c>
      <c r="D165" s="82">
        <v>1</v>
      </c>
    </row>
    <row r="166" spans="1:4" x14ac:dyDescent="0.2">
      <c r="A166" s="81">
        <v>45823</v>
      </c>
      <c r="B166" s="63" t="s">
        <v>128</v>
      </c>
      <c r="C166" s="63" t="s">
        <v>118</v>
      </c>
      <c r="D166" s="82">
        <v>1</v>
      </c>
    </row>
    <row r="167" spans="1:4" x14ac:dyDescent="0.2">
      <c r="A167" s="81">
        <v>45824</v>
      </c>
      <c r="B167" s="63" t="s">
        <v>128</v>
      </c>
      <c r="C167" s="63" t="s">
        <v>118</v>
      </c>
      <c r="D167" s="82">
        <v>1</v>
      </c>
    </row>
    <row r="168" spans="1:4" x14ac:dyDescent="0.2">
      <c r="A168" s="81">
        <v>45825</v>
      </c>
      <c r="B168" s="63" t="s">
        <v>128</v>
      </c>
      <c r="C168" s="63" t="s">
        <v>118</v>
      </c>
      <c r="D168" s="82">
        <v>1</v>
      </c>
    </row>
    <row r="169" spans="1:4" x14ac:dyDescent="0.2">
      <c r="A169" s="81">
        <v>45826</v>
      </c>
      <c r="B169" s="63" t="s">
        <v>128</v>
      </c>
      <c r="C169" s="63" t="s">
        <v>118</v>
      </c>
      <c r="D169" s="82">
        <v>1</v>
      </c>
    </row>
    <row r="170" spans="1:4" x14ac:dyDescent="0.2">
      <c r="A170" s="81">
        <v>45827</v>
      </c>
      <c r="B170" s="63" t="s">
        <v>128</v>
      </c>
      <c r="C170" s="63" t="s">
        <v>118</v>
      </c>
      <c r="D170" s="82">
        <v>1</v>
      </c>
    </row>
    <row r="171" spans="1:4" x14ac:dyDescent="0.2">
      <c r="A171" s="81">
        <v>45828</v>
      </c>
      <c r="B171" s="63" t="s">
        <v>128</v>
      </c>
      <c r="C171" s="63" t="s">
        <v>118</v>
      </c>
      <c r="D171" s="82">
        <v>1</v>
      </c>
    </row>
    <row r="172" spans="1:4" x14ac:dyDescent="0.2">
      <c r="A172" s="81">
        <v>45829</v>
      </c>
      <c r="B172" s="63" t="s">
        <v>128</v>
      </c>
      <c r="C172" s="63" t="s">
        <v>118</v>
      </c>
      <c r="D172" s="82">
        <v>1</v>
      </c>
    </row>
    <row r="173" spans="1:4" x14ac:dyDescent="0.2">
      <c r="A173" s="81">
        <v>45830</v>
      </c>
      <c r="B173" s="63" t="s">
        <v>128</v>
      </c>
      <c r="C173" s="63" t="s">
        <v>118</v>
      </c>
      <c r="D173" s="82">
        <v>1</v>
      </c>
    </row>
    <row r="174" spans="1:4" x14ac:dyDescent="0.2">
      <c r="A174" s="81">
        <v>45831</v>
      </c>
      <c r="B174" s="63" t="s">
        <v>128</v>
      </c>
      <c r="C174" s="63" t="s">
        <v>118</v>
      </c>
      <c r="D174" s="82">
        <v>1</v>
      </c>
    </row>
    <row r="175" spans="1:4" x14ac:dyDescent="0.2">
      <c r="A175" s="81">
        <v>45832</v>
      </c>
      <c r="B175" s="63" t="s">
        <v>128</v>
      </c>
      <c r="C175" s="63" t="s">
        <v>118</v>
      </c>
      <c r="D175" s="82">
        <v>1</v>
      </c>
    </row>
    <row r="176" spans="1:4" x14ac:dyDescent="0.2">
      <c r="A176" s="81">
        <v>45833</v>
      </c>
      <c r="B176" s="63" t="s">
        <v>128</v>
      </c>
      <c r="C176" s="63" t="s">
        <v>118</v>
      </c>
      <c r="D176" s="82">
        <v>1</v>
      </c>
    </row>
    <row r="177" spans="1:4" x14ac:dyDescent="0.2">
      <c r="A177" s="81">
        <v>45834</v>
      </c>
      <c r="B177" s="63" t="s">
        <v>128</v>
      </c>
      <c r="C177" s="63" t="s">
        <v>118</v>
      </c>
      <c r="D177" s="82">
        <v>1</v>
      </c>
    </row>
    <row r="178" spans="1:4" x14ac:dyDescent="0.2">
      <c r="A178" s="81">
        <v>45835</v>
      </c>
      <c r="B178" s="63" t="s">
        <v>128</v>
      </c>
      <c r="C178" s="63" t="s">
        <v>118</v>
      </c>
      <c r="D178" s="82">
        <v>1</v>
      </c>
    </row>
    <row r="179" spans="1:4" x14ac:dyDescent="0.2">
      <c r="A179" s="81">
        <v>45836</v>
      </c>
      <c r="B179" s="63" t="s">
        <v>128</v>
      </c>
      <c r="C179" s="63" t="s">
        <v>118</v>
      </c>
      <c r="D179" s="82">
        <v>1</v>
      </c>
    </row>
    <row r="180" spans="1:4" x14ac:dyDescent="0.2">
      <c r="A180" s="81">
        <v>45837</v>
      </c>
      <c r="B180" s="63" t="s">
        <v>128</v>
      </c>
      <c r="C180" s="63" t="s">
        <v>118</v>
      </c>
      <c r="D180" s="82">
        <v>1</v>
      </c>
    </row>
    <row r="181" spans="1:4" ht="15" thickBot="1" x14ac:dyDescent="0.25">
      <c r="A181" s="85">
        <v>45838</v>
      </c>
      <c r="B181" s="86" t="s">
        <v>128</v>
      </c>
      <c r="C181" s="86" t="s">
        <v>118</v>
      </c>
      <c r="D181" s="87">
        <v>1</v>
      </c>
    </row>
    <row r="182" spans="1:4" ht="15" thickBot="1" x14ac:dyDescent="0.25">
      <c r="A182" s="102">
        <v>45845</v>
      </c>
      <c r="B182" s="103" t="s">
        <v>128</v>
      </c>
      <c r="C182" s="103" t="s">
        <v>118</v>
      </c>
      <c r="D182" s="104">
        <v>1</v>
      </c>
    </row>
    <row r="183" spans="1:4" x14ac:dyDescent="0.2">
      <c r="A183" s="78">
        <v>45865</v>
      </c>
      <c r="B183" s="79" t="s">
        <v>128</v>
      </c>
      <c r="C183" s="79" t="s">
        <v>118</v>
      </c>
      <c r="D183" s="80">
        <v>1</v>
      </c>
    </row>
    <row r="184" spans="1:4" ht="15" thickBot="1" x14ac:dyDescent="0.25">
      <c r="A184" s="85">
        <v>45866</v>
      </c>
      <c r="B184" s="86" t="s">
        <v>128</v>
      </c>
      <c r="C184" s="86" t="s">
        <v>118</v>
      </c>
      <c r="D184" s="87">
        <v>1</v>
      </c>
    </row>
    <row r="185" spans="1:4" x14ac:dyDescent="0.2">
      <c r="A185" s="78">
        <v>45875</v>
      </c>
      <c r="B185" s="79" t="s">
        <v>128</v>
      </c>
      <c r="C185" s="79" t="s">
        <v>118</v>
      </c>
      <c r="D185" s="80">
        <v>1</v>
      </c>
    </row>
    <row r="186" spans="1:4" ht="15" thickBot="1" x14ac:dyDescent="0.25">
      <c r="A186" s="85">
        <v>45876</v>
      </c>
      <c r="B186" s="86" t="s">
        <v>128</v>
      </c>
      <c r="C186" s="86" t="s">
        <v>118</v>
      </c>
      <c r="D186" s="87">
        <v>1</v>
      </c>
    </row>
    <row r="187" spans="1:4" x14ac:dyDescent="0.2">
      <c r="A187" s="78">
        <v>45909</v>
      </c>
      <c r="B187" s="79" t="s">
        <v>128</v>
      </c>
      <c r="C187" s="79" t="s">
        <v>118</v>
      </c>
      <c r="D187" s="80">
        <v>1</v>
      </c>
    </row>
    <row r="188" spans="1:4" x14ac:dyDescent="0.2">
      <c r="A188" s="81">
        <v>45910</v>
      </c>
      <c r="B188" s="63" t="s">
        <v>128</v>
      </c>
      <c r="C188" s="63" t="s">
        <v>118</v>
      </c>
      <c r="D188" s="82">
        <v>1</v>
      </c>
    </row>
    <row r="189" spans="1:4" ht="15" thickBot="1" x14ac:dyDescent="0.25">
      <c r="A189" s="85">
        <v>45911</v>
      </c>
      <c r="B189" s="86" t="s">
        <v>128</v>
      </c>
      <c r="C189" s="86" t="s">
        <v>118</v>
      </c>
      <c r="D189" s="87">
        <v>1</v>
      </c>
    </row>
    <row r="190" spans="1:4" ht="15" thickBot="1" x14ac:dyDescent="0.25">
      <c r="A190" s="102">
        <v>45930</v>
      </c>
      <c r="B190" s="103" t="s">
        <v>128</v>
      </c>
      <c r="C190" s="103" t="s">
        <v>118</v>
      </c>
      <c r="D190" s="104">
        <v>1</v>
      </c>
    </row>
    <row r="191" spans="1:4" x14ac:dyDescent="0.2">
      <c r="A191" s="78">
        <v>45963</v>
      </c>
      <c r="B191" s="79" t="s">
        <v>128</v>
      </c>
      <c r="C191" s="79" t="s">
        <v>118</v>
      </c>
      <c r="D191" s="80">
        <v>1</v>
      </c>
    </row>
    <row r="192" spans="1:4" x14ac:dyDescent="0.2">
      <c r="A192" s="81">
        <v>45964</v>
      </c>
      <c r="B192" s="63" t="s">
        <v>128</v>
      </c>
      <c r="C192" s="63" t="s">
        <v>118</v>
      </c>
      <c r="D192" s="82">
        <v>1</v>
      </c>
    </row>
    <row r="193" spans="1:5" x14ac:dyDescent="0.2">
      <c r="A193" s="81">
        <v>45965</v>
      </c>
      <c r="B193" s="63" t="s">
        <v>128</v>
      </c>
      <c r="C193" s="63" t="s">
        <v>118</v>
      </c>
      <c r="D193" s="82">
        <v>1</v>
      </c>
    </row>
    <row r="194" spans="1:5" x14ac:dyDescent="0.2">
      <c r="A194" s="81">
        <v>45966</v>
      </c>
      <c r="B194" s="63" t="s">
        <v>128</v>
      </c>
      <c r="C194" s="63" t="s">
        <v>118</v>
      </c>
      <c r="D194" s="82">
        <v>1</v>
      </c>
    </row>
    <row r="195" spans="1:5" ht="15" thickBot="1" x14ac:dyDescent="0.25">
      <c r="A195" s="85">
        <v>45967</v>
      </c>
      <c r="B195" s="86" t="s">
        <v>128</v>
      </c>
      <c r="C195" s="86" t="s">
        <v>118</v>
      </c>
      <c r="D195" s="87">
        <v>1</v>
      </c>
    </row>
    <row r="196" spans="1:5" x14ac:dyDescent="0.2">
      <c r="A196" s="78">
        <v>45970</v>
      </c>
      <c r="B196" s="79" t="s">
        <v>128</v>
      </c>
      <c r="C196" s="79" t="s">
        <v>118</v>
      </c>
      <c r="D196" s="80">
        <v>1</v>
      </c>
    </row>
    <row r="197" spans="1:5" x14ac:dyDescent="0.2">
      <c r="A197" s="81">
        <v>45971</v>
      </c>
      <c r="B197" s="63" t="s">
        <v>128</v>
      </c>
      <c r="C197" s="63" t="s">
        <v>118</v>
      </c>
      <c r="D197" s="82">
        <v>1</v>
      </c>
    </row>
    <row r="198" spans="1:5" x14ac:dyDescent="0.2">
      <c r="A198" s="81">
        <v>45972</v>
      </c>
      <c r="B198" s="63" t="s">
        <v>128</v>
      </c>
      <c r="C198" s="63" t="s">
        <v>118</v>
      </c>
      <c r="D198" s="82">
        <v>1</v>
      </c>
    </row>
    <row r="199" spans="1:5" ht="15" thickBot="1" x14ac:dyDescent="0.25">
      <c r="A199" s="85">
        <v>45973</v>
      </c>
      <c r="B199" s="86" t="s">
        <v>128</v>
      </c>
      <c r="C199" s="86" t="s">
        <v>118</v>
      </c>
      <c r="D199" s="87">
        <v>1</v>
      </c>
    </row>
    <row r="200" spans="1:5" ht="15" thickBot="1" x14ac:dyDescent="0.25">
      <c r="A200" s="102">
        <v>45979</v>
      </c>
      <c r="B200" s="103" t="s">
        <v>128</v>
      </c>
      <c r="C200" s="103" t="s">
        <v>118</v>
      </c>
      <c r="D200" s="104">
        <v>1</v>
      </c>
    </row>
    <row r="201" spans="1:5" x14ac:dyDescent="0.2">
      <c r="A201" s="78">
        <v>45998</v>
      </c>
      <c r="B201" s="79" t="s">
        <v>128</v>
      </c>
      <c r="C201" s="79" t="s">
        <v>118</v>
      </c>
      <c r="D201" s="80">
        <v>1</v>
      </c>
      <c r="E201" t="s">
        <v>596</v>
      </c>
    </row>
    <row r="202" spans="1:5" x14ac:dyDescent="0.2">
      <c r="A202" s="81">
        <v>45999</v>
      </c>
      <c r="B202" s="63" t="s">
        <v>128</v>
      </c>
      <c r="C202" s="63" t="s">
        <v>118</v>
      </c>
      <c r="D202" s="82">
        <v>1</v>
      </c>
      <c r="E202" t="s">
        <v>596</v>
      </c>
    </row>
    <row r="203" spans="1:5" x14ac:dyDescent="0.2">
      <c r="A203" s="81">
        <v>46000</v>
      </c>
      <c r="B203" s="63" t="s">
        <v>128</v>
      </c>
      <c r="C203" s="63" t="s">
        <v>118</v>
      </c>
      <c r="D203" s="82">
        <v>1</v>
      </c>
      <c r="E203" t="s">
        <v>596</v>
      </c>
    </row>
    <row r="204" spans="1:5" x14ac:dyDescent="0.2">
      <c r="A204" s="81">
        <v>46001</v>
      </c>
      <c r="B204" s="63" t="s">
        <v>128</v>
      </c>
      <c r="C204" s="63" t="s">
        <v>118</v>
      </c>
      <c r="D204" s="82">
        <v>1</v>
      </c>
      <c r="E204" t="s">
        <v>596</v>
      </c>
    </row>
    <row r="205" spans="1:5" ht="15" thickBot="1" x14ac:dyDescent="0.25">
      <c r="A205" s="85">
        <v>46002</v>
      </c>
      <c r="B205" s="86" t="s">
        <v>128</v>
      </c>
      <c r="C205" s="86" t="s">
        <v>118</v>
      </c>
      <c r="D205" s="87">
        <v>1</v>
      </c>
      <c r="E205" t="s">
        <v>596</v>
      </c>
    </row>
    <row r="206" spans="1:5" x14ac:dyDescent="0.2">
      <c r="A206" s="88">
        <v>46006</v>
      </c>
      <c r="B206" s="69" t="s">
        <v>128</v>
      </c>
      <c r="C206" s="69" t="s">
        <v>118</v>
      </c>
      <c r="D206" s="69">
        <v>1</v>
      </c>
      <c r="E206" t="s">
        <v>596</v>
      </c>
    </row>
    <row r="207" spans="1:5" x14ac:dyDescent="0.2">
      <c r="A207" s="71">
        <v>46008</v>
      </c>
      <c r="B207" s="63" t="s">
        <v>128</v>
      </c>
      <c r="C207" s="63" t="s">
        <v>118</v>
      </c>
      <c r="D207" s="63">
        <v>1</v>
      </c>
      <c r="E207" t="s">
        <v>596</v>
      </c>
    </row>
    <row r="208" spans="1:5" ht="15" thickBot="1" x14ac:dyDescent="0.25">
      <c r="A208" s="100">
        <v>45813</v>
      </c>
      <c r="B208" s="101" t="s">
        <v>590</v>
      </c>
      <c r="C208" s="101" t="s">
        <v>118</v>
      </c>
      <c r="D208" s="101">
        <v>1</v>
      </c>
    </row>
    <row r="209" spans="1:4" ht="15" thickBot="1" x14ac:dyDescent="0.25">
      <c r="A209" s="105">
        <v>45708</v>
      </c>
      <c r="B209" s="106" t="s">
        <v>134</v>
      </c>
      <c r="C209" s="106" t="s">
        <v>135</v>
      </c>
      <c r="D209" s="107">
        <v>1</v>
      </c>
    </row>
    <row r="210" spans="1:4" ht="15" thickBot="1" x14ac:dyDescent="0.25">
      <c r="A210" s="102">
        <v>45711</v>
      </c>
      <c r="B210" s="103" t="s">
        <v>134</v>
      </c>
      <c r="C210" s="103" t="s">
        <v>135</v>
      </c>
      <c r="D210" s="104">
        <v>1</v>
      </c>
    </row>
    <row r="211" spans="1:4" x14ac:dyDescent="0.2">
      <c r="A211" s="78">
        <v>45820</v>
      </c>
      <c r="B211" s="79" t="s">
        <v>134</v>
      </c>
      <c r="C211" s="79" t="s">
        <v>135</v>
      </c>
      <c r="D211" s="80">
        <v>1</v>
      </c>
    </row>
    <row r="212" spans="1:4" x14ac:dyDescent="0.2">
      <c r="A212" s="81">
        <v>45821</v>
      </c>
      <c r="B212" s="63" t="s">
        <v>134</v>
      </c>
      <c r="C212" s="63" t="s">
        <v>135</v>
      </c>
      <c r="D212" s="82">
        <v>1</v>
      </c>
    </row>
    <row r="213" spans="1:4" x14ac:dyDescent="0.2">
      <c r="A213" s="81">
        <v>45822</v>
      </c>
      <c r="B213" s="63" t="s">
        <v>134</v>
      </c>
      <c r="C213" s="63" t="s">
        <v>135</v>
      </c>
      <c r="D213" s="82">
        <v>1</v>
      </c>
    </row>
    <row r="214" spans="1:4" x14ac:dyDescent="0.2">
      <c r="A214" s="81">
        <v>45823</v>
      </c>
      <c r="B214" s="63" t="s">
        <v>134</v>
      </c>
      <c r="C214" s="63" t="s">
        <v>135</v>
      </c>
      <c r="D214" s="82">
        <v>1</v>
      </c>
    </row>
    <row r="215" spans="1:4" x14ac:dyDescent="0.2">
      <c r="A215" s="81">
        <v>45824</v>
      </c>
      <c r="B215" s="63" t="s">
        <v>134</v>
      </c>
      <c r="C215" s="63" t="s">
        <v>135</v>
      </c>
      <c r="D215" s="82">
        <v>1</v>
      </c>
    </row>
    <row r="216" spans="1:4" x14ac:dyDescent="0.2">
      <c r="A216" s="81">
        <v>45825</v>
      </c>
      <c r="B216" s="63" t="s">
        <v>134</v>
      </c>
      <c r="C216" s="63" t="s">
        <v>135</v>
      </c>
      <c r="D216" s="82">
        <v>1</v>
      </c>
    </row>
    <row r="217" spans="1:4" x14ac:dyDescent="0.2">
      <c r="A217" s="81">
        <v>45826</v>
      </c>
      <c r="B217" s="63" t="s">
        <v>134</v>
      </c>
      <c r="C217" s="63" t="s">
        <v>135</v>
      </c>
      <c r="D217" s="82">
        <v>1</v>
      </c>
    </row>
    <row r="218" spans="1:4" x14ac:dyDescent="0.2">
      <c r="A218" s="81">
        <v>45827</v>
      </c>
      <c r="B218" s="63" t="s">
        <v>134</v>
      </c>
      <c r="C218" s="63" t="s">
        <v>135</v>
      </c>
      <c r="D218" s="82">
        <v>1</v>
      </c>
    </row>
    <row r="219" spans="1:4" x14ac:dyDescent="0.2">
      <c r="A219" s="81">
        <v>45828</v>
      </c>
      <c r="B219" s="63" t="s">
        <v>134</v>
      </c>
      <c r="C219" s="63" t="s">
        <v>135</v>
      </c>
      <c r="D219" s="82">
        <v>1</v>
      </c>
    </row>
    <row r="220" spans="1:4" x14ac:dyDescent="0.2">
      <c r="A220" s="81">
        <v>45829</v>
      </c>
      <c r="B220" s="63" t="s">
        <v>134</v>
      </c>
      <c r="C220" s="63" t="s">
        <v>135</v>
      </c>
      <c r="D220" s="82">
        <v>1</v>
      </c>
    </row>
    <row r="221" spans="1:4" x14ac:dyDescent="0.2">
      <c r="A221" s="81">
        <v>45830</v>
      </c>
      <c r="B221" s="63" t="s">
        <v>134</v>
      </c>
      <c r="C221" s="63" t="s">
        <v>135</v>
      </c>
      <c r="D221" s="82">
        <v>1</v>
      </c>
    </row>
    <row r="222" spans="1:4" x14ac:dyDescent="0.2">
      <c r="A222" s="81">
        <v>45831</v>
      </c>
      <c r="B222" s="63" t="s">
        <v>134</v>
      </c>
      <c r="C222" s="63" t="s">
        <v>135</v>
      </c>
      <c r="D222" s="82">
        <v>1</v>
      </c>
    </row>
    <row r="223" spans="1:4" x14ac:dyDescent="0.2">
      <c r="A223" s="81">
        <v>45832</v>
      </c>
      <c r="B223" s="63" t="s">
        <v>134</v>
      </c>
      <c r="C223" s="63" t="s">
        <v>135</v>
      </c>
      <c r="D223" s="82">
        <v>1</v>
      </c>
    </row>
    <row r="224" spans="1:4" x14ac:dyDescent="0.2">
      <c r="A224" s="81">
        <v>45833</v>
      </c>
      <c r="B224" s="63" t="s">
        <v>134</v>
      </c>
      <c r="C224" s="63" t="s">
        <v>135</v>
      </c>
      <c r="D224" s="82">
        <v>1</v>
      </c>
    </row>
    <row r="225" spans="1:4" x14ac:dyDescent="0.2">
      <c r="A225" s="81">
        <v>45834</v>
      </c>
      <c r="B225" s="63" t="s">
        <v>134</v>
      </c>
      <c r="C225" s="63" t="s">
        <v>135</v>
      </c>
      <c r="D225" s="82">
        <v>1</v>
      </c>
    </row>
    <row r="226" spans="1:4" x14ac:dyDescent="0.2">
      <c r="A226" s="81">
        <v>45835</v>
      </c>
      <c r="B226" s="63" t="s">
        <v>134</v>
      </c>
      <c r="C226" s="63" t="s">
        <v>135</v>
      </c>
      <c r="D226" s="82">
        <v>1</v>
      </c>
    </row>
    <row r="227" spans="1:4" x14ac:dyDescent="0.2">
      <c r="A227" s="81">
        <v>45836</v>
      </c>
      <c r="B227" s="63" t="s">
        <v>134</v>
      </c>
      <c r="C227" s="63" t="s">
        <v>135</v>
      </c>
      <c r="D227" s="82">
        <v>1</v>
      </c>
    </row>
    <row r="228" spans="1:4" ht="15" thickBot="1" x14ac:dyDescent="0.25">
      <c r="A228" s="85">
        <v>45837</v>
      </c>
      <c r="B228" s="86" t="s">
        <v>134</v>
      </c>
      <c r="C228" s="86" t="s">
        <v>135</v>
      </c>
      <c r="D228" s="87">
        <v>1</v>
      </c>
    </row>
    <row r="229" spans="1:4" ht="15" thickBot="1" x14ac:dyDescent="0.25">
      <c r="A229" s="102">
        <v>45658</v>
      </c>
      <c r="B229" s="103" t="s">
        <v>139</v>
      </c>
      <c r="C229" s="103" t="s">
        <v>135</v>
      </c>
      <c r="D229" s="104">
        <v>1</v>
      </c>
    </row>
    <row r="230" spans="1:4" x14ac:dyDescent="0.2">
      <c r="A230" s="78">
        <v>45676</v>
      </c>
      <c r="B230" s="79" t="s">
        <v>139</v>
      </c>
      <c r="C230" s="79" t="s">
        <v>135</v>
      </c>
      <c r="D230" s="80">
        <v>1</v>
      </c>
    </row>
    <row r="231" spans="1:4" x14ac:dyDescent="0.2">
      <c r="A231" s="81">
        <v>45677</v>
      </c>
      <c r="B231" s="63" t="s">
        <v>139</v>
      </c>
      <c r="C231" s="63" t="s">
        <v>135</v>
      </c>
      <c r="D231" s="82">
        <v>1</v>
      </c>
    </row>
    <row r="232" spans="1:4" x14ac:dyDescent="0.2">
      <c r="A232" s="81">
        <v>45678</v>
      </c>
      <c r="B232" s="63" t="s">
        <v>139</v>
      </c>
      <c r="C232" s="63" t="s">
        <v>135</v>
      </c>
      <c r="D232" s="82">
        <v>1</v>
      </c>
    </row>
    <row r="233" spans="1:4" x14ac:dyDescent="0.2">
      <c r="A233" s="81">
        <v>45679</v>
      </c>
      <c r="B233" s="63" t="s">
        <v>139</v>
      </c>
      <c r="C233" s="63" t="s">
        <v>135</v>
      </c>
      <c r="D233" s="82">
        <v>1</v>
      </c>
    </row>
    <row r="234" spans="1:4" ht="15" thickBot="1" x14ac:dyDescent="0.25">
      <c r="A234" s="85">
        <v>45680</v>
      </c>
      <c r="B234" s="86" t="s">
        <v>139</v>
      </c>
      <c r="C234" s="86" t="s">
        <v>135</v>
      </c>
      <c r="D234" s="87">
        <v>1</v>
      </c>
    </row>
    <row r="235" spans="1:4" ht="15" thickBot="1" x14ac:dyDescent="0.25">
      <c r="A235" s="102">
        <v>45698</v>
      </c>
      <c r="B235" s="103" t="s">
        <v>139</v>
      </c>
      <c r="C235" s="103" t="s">
        <v>135</v>
      </c>
      <c r="D235" s="104">
        <v>1</v>
      </c>
    </row>
    <row r="236" spans="1:4" x14ac:dyDescent="0.2">
      <c r="A236" s="78">
        <v>45706</v>
      </c>
      <c r="B236" s="79" t="s">
        <v>139</v>
      </c>
      <c r="C236" s="79" t="s">
        <v>135</v>
      </c>
      <c r="D236" s="80">
        <v>1</v>
      </c>
    </row>
    <row r="237" spans="1:4" ht="15" thickBot="1" x14ac:dyDescent="0.25">
      <c r="A237" s="85">
        <v>45707</v>
      </c>
      <c r="B237" s="86" t="s">
        <v>139</v>
      </c>
      <c r="C237" s="86" t="s">
        <v>135</v>
      </c>
      <c r="D237" s="87">
        <v>1</v>
      </c>
    </row>
    <row r="238" spans="1:4" ht="15" thickBot="1" x14ac:dyDescent="0.25">
      <c r="A238" s="98">
        <v>45714</v>
      </c>
      <c r="B238" s="99" t="s">
        <v>139</v>
      </c>
      <c r="C238" s="99" t="s">
        <v>135</v>
      </c>
      <c r="D238" s="99">
        <v>1</v>
      </c>
    </row>
    <row r="239" spans="1:4" ht="15" thickBot="1" x14ac:dyDescent="0.25">
      <c r="A239" s="102">
        <v>45720</v>
      </c>
      <c r="B239" s="103" t="s">
        <v>139</v>
      </c>
      <c r="C239" s="103" t="s">
        <v>135</v>
      </c>
      <c r="D239" s="104">
        <v>1</v>
      </c>
    </row>
    <row r="240" spans="1:4" x14ac:dyDescent="0.2">
      <c r="A240" s="78">
        <v>45733</v>
      </c>
      <c r="B240" s="79" t="s">
        <v>139</v>
      </c>
      <c r="C240" s="79" t="s">
        <v>135</v>
      </c>
      <c r="D240" s="80">
        <v>1</v>
      </c>
    </row>
    <row r="241" spans="1:4" ht="15" thickBot="1" x14ac:dyDescent="0.25">
      <c r="A241" s="85">
        <v>45734</v>
      </c>
      <c r="B241" s="86" t="s">
        <v>139</v>
      </c>
      <c r="C241" s="86" t="s">
        <v>135</v>
      </c>
      <c r="D241" s="87">
        <v>1</v>
      </c>
    </row>
    <row r="242" spans="1:4" x14ac:dyDescent="0.2">
      <c r="A242" s="88">
        <v>45746</v>
      </c>
      <c r="B242" s="69" t="s">
        <v>139</v>
      </c>
      <c r="C242" s="69" t="s">
        <v>135</v>
      </c>
      <c r="D242" s="69">
        <v>1</v>
      </c>
    </row>
    <row r="243" spans="1:4" ht="15" thickBot="1" x14ac:dyDescent="0.25">
      <c r="A243" s="100">
        <v>45747</v>
      </c>
      <c r="B243" s="101" t="s">
        <v>139</v>
      </c>
      <c r="C243" s="101" t="s">
        <v>135</v>
      </c>
      <c r="D243" s="101">
        <v>1</v>
      </c>
    </row>
    <row r="244" spans="1:4" x14ac:dyDescent="0.2">
      <c r="A244" s="78">
        <v>45748</v>
      </c>
      <c r="B244" s="79" t="s">
        <v>139</v>
      </c>
      <c r="C244" s="79" t="s">
        <v>135</v>
      </c>
      <c r="D244" s="80">
        <v>1</v>
      </c>
    </row>
    <row r="245" spans="1:4" x14ac:dyDescent="0.2">
      <c r="A245" s="81">
        <v>45749</v>
      </c>
      <c r="B245" s="63" t="s">
        <v>139</v>
      </c>
      <c r="C245" s="63" t="s">
        <v>135</v>
      </c>
      <c r="D245" s="82">
        <v>1</v>
      </c>
    </row>
    <row r="246" spans="1:4" ht="15" thickBot="1" x14ac:dyDescent="0.25">
      <c r="A246" s="85">
        <v>45750</v>
      </c>
      <c r="B246" s="86" t="s">
        <v>139</v>
      </c>
      <c r="C246" s="86" t="s">
        <v>135</v>
      </c>
      <c r="D246" s="87">
        <v>1</v>
      </c>
    </row>
    <row r="247" spans="1:4" x14ac:dyDescent="0.2">
      <c r="A247" s="78">
        <v>45756</v>
      </c>
      <c r="B247" s="79" t="s">
        <v>139</v>
      </c>
      <c r="C247" s="79" t="s">
        <v>135</v>
      </c>
      <c r="D247" s="80">
        <v>1</v>
      </c>
    </row>
    <row r="248" spans="1:4" ht="15" thickBot="1" x14ac:dyDescent="0.25">
      <c r="A248" s="85">
        <v>45757</v>
      </c>
      <c r="B248" s="86" t="s">
        <v>139</v>
      </c>
      <c r="C248" s="86" t="s">
        <v>135</v>
      </c>
      <c r="D248" s="87">
        <v>1</v>
      </c>
    </row>
    <row r="249" spans="1:4" x14ac:dyDescent="0.2">
      <c r="A249" s="78">
        <v>45782</v>
      </c>
      <c r="B249" s="79" t="s">
        <v>139</v>
      </c>
      <c r="C249" s="79" t="s">
        <v>135</v>
      </c>
      <c r="D249" s="80">
        <v>1</v>
      </c>
    </row>
    <row r="250" spans="1:4" x14ac:dyDescent="0.2">
      <c r="A250" s="81">
        <v>45783</v>
      </c>
      <c r="B250" s="63" t="s">
        <v>139</v>
      </c>
      <c r="C250" s="63" t="s">
        <v>135</v>
      </c>
      <c r="D250" s="82">
        <v>1</v>
      </c>
    </row>
    <row r="251" spans="1:4" x14ac:dyDescent="0.2">
      <c r="A251" s="81">
        <v>45784</v>
      </c>
      <c r="B251" s="63" t="s">
        <v>139</v>
      </c>
      <c r="C251" s="63" t="s">
        <v>135</v>
      </c>
      <c r="D251" s="82">
        <v>1</v>
      </c>
    </row>
    <row r="252" spans="1:4" ht="15" thickBot="1" x14ac:dyDescent="0.25">
      <c r="A252" s="85">
        <v>45785</v>
      </c>
      <c r="B252" s="86" t="s">
        <v>139</v>
      </c>
      <c r="C252" s="86" t="s">
        <v>135</v>
      </c>
      <c r="D252" s="87">
        <v>1</v>
      </c>
    </row>
    <row r="253" spans="1:4" ht="15" thickBot="1" x14ac:dyDescent="0.25">
      <c r="A253" s="98">
        <v>45789</v>
      </c>
      <c r="B253" s="99" t="s">
        <v>139</v>
      </c>
      <c r="C253" s="99" t="s">
        <v>135</v>
      </c>
      <c r="D253" s="99">
        <v>1</v>
      </c>
    </row>
    <row r="254" spans="1:4" ht="15" thickBot="1" x14ac:dyDescent="0.25">
      <c r="A254" s="102">
        <v>45805</v>
      </c>
      <c r="B254" s="103" t="s">
        <v>139</v>
      </c>
      <c r="C254" s="103" t="s">
        <v>135</v>
      </c>
      <c r="D254" s="104">
        <v>1</v>
      </c>
    </row>
    <row r="255" spans="1:4" ht="15" thickBot="1" x14ac:dyDescent="0.25">
      <c r="A255" s="98">
        <v>45813</v>
      </c>
      <c r="B255" s="99" t="s">
        <v>139</v>
      </c>
      <c r="C255" s="99" t="s">
        <v>135</v>
      </c>
      <c r="D255" s="99">
        <v>1</v>
      </c>
    </row>
    <row r="256" spans="1:4" x14ac:dyDescent="0.2">
      <c r="A256" s="78">
        <v>45819</v>
      </c>
      <c r="B256" s="79" t="s">
        <v>139</v>
      </c>
      <c r="C256" s="79" t="s">
        <v>135</v>
      </c>
      <c r="D256" s="80">
        <v>1</v>
      </c>
    </row>
    <row r="257" spans="1:4" ht="15" thickBot="1" x14ac:dyDescent="0.25">
      <c r="A257" s="85">
        <v>45820</v>
      </c>
      <c r="B257" s="86" t="s">
        <v>139</v>
      </c>
      <c r="C257" s="86" t="s">
        <v>135</v>
      </c>
      <c r="D257" s="87">
        <v>1</v>
      </c>
    </row>
    <row r="258" spans="1:4" x14ac:dyDescent="0.2">
      <c r="A258" s="78">
        <v>45866</v>
      </c>
      <c r="B258" s="79" t="s">
        <v>139</v>
      </c>
      <c r="C258" s="79" t="s">
        <v>135</v>
      </c>
      <c r="D258" s="80">
        <v>1</v>
      </c>
    </row>
    <row r="259" spans="1:4" x14ac:dyDescent="0.2">
      <c r="A259" s="81">
        <v>45867</v>
      </c>
      <c r="B259" s="63" t="s">
        <v>139</v>
      </c>
      <c r="C259" s="63" t="s">
        <v>135</v>
      </c>
      <c r="D259" s="82">
        <v>1</v>
      </c>
    </row>
    <row r="260" spans="1:4" x14ac:dyDescent="0.2">
      <c r="A260" s="81">
        <v>45868</v>
      </c>
      <c r="B260" s="63" t="s">
        <v>139</v>
      </c>
      <c r="C260" s="63" t="s">
        <v>135</v>
      </c>
      <c r="D260" s="82">
        <v>1</v>
      </c>
    </row>
    <row r="261" spans="1:4" ht="15" thickBot="1" x14ac:dyDescent="0.25">
      <c r="A261" s="85">
        <v>45869</v>
      </c>
      <c r="B261" s="86" t="s">
        <v>139</v>
      </c>
      <c r="C261" s="86" t="s">
        <v>135</v>
      </c>
      <c r="D261" s="87">
        <v>1</v>
      </c>
    </row>
    <row r="262" spans="1:4" ht="15" thickBot="1" x14ac:dyDescent="0.25">
      <c r="A262" s="98">
        <v>45917</v>
      </c>
      <c r="B262" s="99" t="s">
        <v>139</v>
      </c>
      <c r="C262" s="99" t="s">
        <v>135</v>
      </c>
      <c r="D262" s="99">
        <v>1</v>
      </c>
    </row>
    <row r="263" spans="1:4" x14ac:dyDescent="0.2">
      <c r="A263" s="78">
        <v>45951</v>
      </c>
      <c r="B263" s="79" t="s">
        <v>139</v>
      </c>
      <c r="C263" s="79" t="s">
        <v>135</v>
      </c>
      <c r="D263" s="80">
        <v>1</v>
      </c>
    </row>
    <row r="264" spans="1:4" ht="15" thickBot="1" x14ac:dyDescent="0.25">
      <c r="A264" s="95">
        <v>45952</v>
      </c>
      <c r="B264" s="96" t="s">
        <v>139</v>
      </c>
      <c r="C264" s="96" t="s">
        <v>135</v>
      </c>
      <c r="D264" s="97">
        <v>1</v>
      </c>
    </row>
    <row r="265" spans="1:4" ht="15" thickBot="1" x14ac:dyDescent="0.25">
      <c r="A265" s="102">
        <v>45859</v>
      </c>
      <c r="B265" s="103" t="s">
        <v>142</v>
      </c>
      <c r="C265" s="103" t="s">
        <v>113</v>
      </c>
      <c r="D265" s="104">
        <v>1</v>
      </c>
    </row>
    <row r="266" spans="1:4" x14ac:dyDescent="0.2">
      <c r="A266" s="78">
        <v>45861</v>
      </c>
      <c r="B266" s="79" t="s">
        <v>142</v>
      </c>
      <c r="C266" s="79" t="s">
        <v>113</v>
      </c>
      <c r="D266" s="80">
        <v>1</v>
      </c>
    </row>
    <row r="267" spans="1:4" ht="15" thickBot="1" x14ac:dyDescent="0.25">
      <c r="A267" s="85">
        <v>45862</v>
      </c>
      <c r="B267" s="86" t="s">
        <v>142</v>
      </c>
      <c r="C267" s="86" t="s">
        <v>113</v>
      </c>
      <c r="D267" s="87">
        <v>1</v>
      </c>
    </row>
    <row r="268" spans="1:4" x14ac:dyDescent="0.2">
      <c r="A268" s="78">
        <v>45866</v>
      </c>
      <c r="B268" s="79" t="s">
        <v>142</v>
      </c>
      <c r="C268" s="79" t="s">
        <v>113</v>
      </c>
      <c r="D268" s="80">
        <v>1</v>
      </c>
    </row>
    <row r="269" spans="1:4" x14ac:dyDescent="0.2">
      <c r="A269" s="81">
        <v>45867</v>
      </c>
      <c r="B269" s="63" t="s">
        <v>142</v>
      </c>
      <c r="C269" s="63" t="s">
        <v>113</v>
      </c>
      <c r="D269" s="82">
        <v>1</v>
      </c>
    </row>
    <row r="270" spans="1:4" ht="15" thickBot="1" x14ac:dyDescent="0.25">
      <c r="A270" s="85">
        <v>45868</v>
      </c>
      <c r="B270" s="86" t="s">
        <v>142</v>
      </c>
      <c r="C270" s="86" t="s">
        <v>113</v>
      </c>
      <c r="D270" s="87">
        <v>1</v>
      </c>
    </row>
    <row r="271" spans="1:4" x14ac:dyDescent="0.2">
      <c r="A271" s="88">
        <v>45873</v>
      </c>
      <c r="B271" s="69" t="s">
        <v>142</v>
      </c>
      <c r="C271" s="69" t="s">
        <v>113</v>
      </c>
      <c r="D271" s="69">
        <v>1</v>
      </c>
    </row>
    <row r="272" spans="1:4" x14ac:dyDescent="0.2">
      <c r="A272" s="71">
        <v>45876</v>
      </c>
      <c r="B272" s="63" t="s">
        <v>142</v>
      </c>
      <c r="C272" s="63" t="s">
        <v>113</v>
      </c>
      <c r="D272" s="63">
        <v>1</v>
      </c>
    </row>
    <row r="273" spans="1:4" ht="15" thickBot="1" x14ac:dyDescent="0.25">
      <c r="A273" s="100">
        <v>45881</v>
      </c>
      <c r="B273" s="101" t="s">
        <v>142</v>
      </c>
      <c r="C273" s="101" t="s">
        <v>113</v>
      </c>
      <c r="D273" s="101">
        <v>1</v>
      </c>
    </row>
    <row r="274" spans="1:4" x14ac:dyDescent="0.2">
      <c r="A274" s="78">
        <v>45915</v>
      </c>
      <c r="B274" s="79" t="s">
        <v>142</v>
      </c>
      <c r="C274" s="79" t="s">
        <v>113</v>
      </c>
      <c r="D274" s="80">
        <v>1</v>
      </c>
    </row>
    <row r="275" spans="1:4" ht="15" thickBot="1" x14ac:dyDescent="0.25">
      <c r="A275" s="85">
        <v>45916</v>
      </c>
      <c r="B275" s="86" t="s">
        <v>142</v>
      </c>
      <c r="C275" s="86" t="s">
        <v>113</v>
      </c>
      <c r="D275" s="87">
        <v>1</v>
      </c>
    </row>
    <row r="276" spans="1:4" x14ac:dyDescent="0.2">
      <c r="A276" s="108">
        <v>45921</v>
      </c>
      <c r="B276" s="109" t="s">
        <v>142</v>
      </c>
      <c r="C276" s="109" t="s">
        <v>113</v>
      </c>
      <c r="D276" s="109">
        <v>1</v>
      </c>
    </row>
    <row r="277" spans="1:4" ht="15" thickBot="1" x14ac:dyDescent="0.25">
      <c r="A277" s="100">
        <v>45740</v>
      </c>
      <c r="B277" s="101" t="s">
        <v>145</v>
      </c>
      <c r="C277" s="101" t="s">
        <v>135</v>
      </c>
      <c r="D277" s="101">
        <v>1</v>
      </c>
    </row>
    <row r="278" spans="1:4" x14ac:dyDescent="0.2">
      <c r="A278" s="78">
        <v>45802</v>
      </c>
      <c r="B278" s="79" t="s">
        <v>145</v>
      </c>
      <c r="C278" s="79" t="s">
        <v>135</v>
      </c>
      <c r="D278" s="80">
        <v>1</v>
      </c>
    </row>
    <row r="279" spans="1:4" x14ac:dyDescent="0.2">
      <c r="A279" s="81">
        <v>45803</v>
      </c>
      <c r="B279" s="63" t="s">
        <v>145</v>
      </c>
      <c r="C279" s="63" t="s">
        <v>135</v>
      </c>
      <c r="D279" s="82">
        <v>1</v>
      </c>
    </row>
    <row r="280" spans="1:4" ht="15" thickBot="1" x14ac:dyDescent="0.25">
      <c r="A280" s="85">
        <v>45804</v>
      </c>
      <c r="B280" s="86" t="s">
        <v>145</v>
      </c>
      <c r="C280" s="86" t="s">
        <v>135</v>
      </c>
      <c r="D280" s="87">
        <v>1</v>
      </c>
    </row>
    <row r="281" spans="1:4" x14ac:dyDescent="0.2">
      <c r="A281" s="78">
        <v>45824</v>
      </c>
      <c r="B281" s="79" t="s">
        <v>145</v>
      </c>
      <c r="C281" s="79" t="s">
        <v>135</v>
      </c>
      <c r="D281" s="80">
        <v>1</v>
      </c>
    </row>
    <row r="282" spans="1:4" x14ac:dyDescent="0.2">
      <c r="A282" s="81">
        <v>45825</v>
      </c>
      <c r="B282" s="63" t="s">
        <v>145</v>
      </c>
      <c r="C282" s="63" t="s">
        <v>135</v>
      </c>
      <c r="D282" s="82">
        <v>1</v>
      </c>
    </row>
    <row r="283" spans="1:4" x14ac:dyDescent="0.2">
      <c r="A283" s="81">
        <v>45826</v>
      </c>
      <c r="B283" s="63" t="s">
        <v>145</v>
      </c>
      <c r="C283" s="63" t="s">
        <v>135</v>
      </c>
      <c r="D283" s="82">
        <v>1</v>
      </c>
    </row>
    <row r="284" spans="1:4" x14ac:dyDescent="0.2">
      <c r="A284" s="81">
        <v>45827</v>
      </c>
      <c r="B284" s="63" t="s">
        <v>145</v>
      </c>
      <c r="C284" s="63" t="s">
        <v>135</v>
      </c>
      <c r="D284" s="82">
        <v>1</v>
      </c>
    </row>
    <row r="285" spans="1:4" x14ac:dyDescent="0.2">
      <c r="A285" s="81">
        <v>45828</v>
      </c>
      <c r="B285" s="63" t="s">
        <v>145</v>
      </c>
      <c r="C285" s="63" t="s">
        <v>135</v>
      </c>
      <c r="D285" s="82">
        <v>1</v>
      </c>
    </row>
    <row r="286" spans="1:4" x14ac:dyDescent="0.2">
      <c r="A286" s="81">
        <v>45829</v>
      </c>
      <c r="B286" s="63" t="s">
        <v>145</v>
      </c>
      <c r="C286" s="63" t="s">
        <v>135</v>
      </c>
      <c r="D286" s="82">
        <v>1</v>
      </c>
    </row>
    <row r="287" spans="1:4" x14ac:dyDescent="0.2">
      <c r="A287" s="81">
        <v>45830</v>
      </c>
      <c r="B287" s="63" t="s">
        <v>145</v>
      </c>
      <c r="C287" s="63" t="s">
        <v>135</v>
      </c>
      <c r="D287" s="82">
        <v>1</v>
      </c>
    </row>
    <row r="288" spans="1:4" ht="15" thickBot="1" x14ac:dyDescent="0.25">
      <c r="A288" s="85">
        <v>45831</v>
      </c>
      <c r="B288" s="86" t="s">
        <v>145</v>
      </c>
      <c r="C288" s="86" t="s">
        <v>135</v>
      </c>
      <c r="D288" s="87">
        <v>1</v>
      </c>
    </row>
    <row r="289" spans="1:5" x14ac:dyDescent="0.2">
      <c r="A289" s="78">
        <v>45865</v>
      </c>
      <c r="B289" s="79" t="s">
        <v>145</v>
      </c>
      <c r="C289" s="79" t="s">
        <v>135</v>
      </c>
      <c r="D289" s="80">
        <v>1</v>
      </c>
    </row>
    <row r="290" spans="1:5" x14ac:dyDescent="0.2">
      <c r="A290" s="81">
        <v>45866</v>
      </c>
      <c r="B290" s="63" t="s">
        <v>145</v>
      </c>
      <c r="C290" s="63" t="s">
        <v>135</v>
      </c>
      <c r="D290" s="82">
        <v>1</v>
      </c>
    </row>
    <row r="291" spans="1:5" ht="15" thickBot="1" x14ac:dyDescent="0.25">
      <c r="A291" s="85">
        <v>45867</v>
      </c>
      <c r="B291" s="86" t="s">
        <v>145</v>
      </c>
      <c r="C291" s="86" t="s">
        <v>135</v>
      </c>
      <c r="D291" s="87">
        <v>1</v>
      </c>
    </row>
    <row r="292" spans="1:5" x14ac:dyDescent="0.2">
      <c r="A292" s="78">
        <v>45886</v>
      </c>
      <c r="B292" s="79" t="s">
        <v>145</v>
      </c>
      <c r="C292" s="79" t="s">
        <v>135</v>
      </c>
      <c r="D292" s="80">
        <v>1</v>
      </c>
    </row>
    <row r="293" spans="1:5" x14ac:dyDescent="0.2">
      <c r="A293" s="81">
        <v>45887</v>
      </c>
      <c r="B293" s="63" t="s">
        <v>145</v>
      </c>
      <c r="C293" s="63" t="s">
        <v>135</v>
      </c>
      <c r="D293" s="82">
        <v>1</v>
      </c>
    </row>
    <row r="294" spans="1:5" x14ac:dyDescent="0.2">
      <c r="A294" s="81">
        <v>45888</v>
      </c>
      <c r="B294" s="63" t="s">
        <v>145</v>
      </c>
      <c r="C294" s="63" t="s">
        <v>135</v>
      </c>
      <c r="D294" s="82">
        <v>1</v>
      </c>
    </row>
    <row r="295" spans="1:5" ht="15" thickBot="1" x14ac:dyDescent="0.25">
      <c r="A295" s="85">
        <v>45889</v>
      </c>
      <c r="B295" s="86" t="s">
        <v>145</v>
      </c>
      <c r="C295" s="86" t="s">
        <v>135</v>
      </c>
      <c r="D295" s="87">
        <v>1</v>
      </c>
    </row>
    <row r="296" spans="1:5" x14ac:dyDescent="0.2">
      <c r="A296" s="78">
        <v>45956</v>
      </c>
      <c r="B296" s="79" t="s">
        <v>145</v>
      </c>
      <c r="C296" s="79" t="s">
        <v>135</v>
      </c>
      <c r="D296" s="80">
        <v>1</v>
      </c>
    </row>
    <row r="297" spans="1:5" x14ac:dyDescent="0.2">
      <c r="A297" s="81">
        <v>45957</v>
      </c>
      <c r="B297" s="63" t="s">
        <v>145</v>
      </c>
      <c r="C297" s="63" t="s">
        <v>135</v>
      </c>
      <c r="D297" s="82">
        <v>1</v>
      </c>
    </row>
    <row r="298" spans="1:5" x14ac:dyDescent="0.2">
      <c r="A298" s="81">
        <v>45958</v>
      </c>
      <c r="B298" s="63" t="s">
        <v>145</v>
      </c>
      <c r="C298" s="63" t="s">
        <v>135</v>
      </c>
      <c r="D298" s="82">
        <v>1</v>
      </c>
    </row>
    <row r="299" spans="1:5" ht="15" thickBot="1" x14ac:dyDescent="0.25">
      <c r="A299" s="85">
        <v>45959</v>
      </c>
      <c r="B299" s="86" t="s">
        <v>145</v>
      </c>
      <c r="C299" s="86" t="s">
        <v>135</v>
      </c>
      <c r="D299" s="87">
        <v>1</v>
      </c>
    </row>
    <row r="300" spans="1:5" ht="15" thickBot="1" x14ac:dyDescent="0.25">
      <c r="A300" s="110">
        <v>45992</v>
      </c>
      <c r="B300" s="111" t="s">
        <v>145</v>
      </c>
      <c r="C300" s="111" t="s">
        <v>135</v>
      </c>
      <c r="D300" s="111">
        <v>1</v>
      </c>
      <c r="E300" t="s">
        <v>596</v>
      </c>
    </row>
    <row r="301" spans="1:5" x14ac:dyDescent="0.2">
      <c r="A301" s="78">
        <v>45679</v>
      </c>
      <c r="B301" s="79" t="s">
        <v>149</v>
      </c>
      <c r="C301" s="79" t="s">
        <v>113</v>
      </c>
      <c r="D301" s="80">
        <v>1</v>
      </c>
    </row>
    <row r="302" spans="1:5" x14ac:dyDescent="0.2">
      <c r="A302" s="81">
        <v>45680</v>
      </c>
      <c r="B302" s="63" t="s">
        <v>149</v>
      </c>
      <c r="C302" s="63" t="s">
        <v>113</v>
      </c>
      <c r="D302" s="82">
        <v>1</v>
      </c>
    </row>
    <row r="303" spans="1:5" x14ac:dyDescent="0.2">
      <c r="A303" s="81">
        <v>45681</v>
      </c>
      <c r="B303" s="63" t="s">
        <v>149</v>
      </c>
      <c r="C303" s="63" t="s">
        <v>113</v>
      </c>
      <c r="D303" s="82">
        <v>1</v>
      </c>
    </row>
    <row r="304" spans="1:5" x14ac:dyDescent="0.2">
      <c r="A304" s="81">
        <v>45682</v>
      </c>
      <c r="B304" s="63" t="s">
        <v>149</v>
      </c>
      <c r="C304" s="63" t="s">
        <v>113</v>
      </c>
      <c r="D304" s="82">
        <v>1</v>
      </c>
    </row>
    <row r="305" spans="1:4" x14ac:dyDescent="0.2">
      <c r="A305" s="81">
        <v>45683</v>
      </c>
      <c r="B305" s="63" t="s">
        <v>149</v>
      </c>
      <c r="C305" s="63" t="s">
        <v>113</v>
      </c>
      <c r="D305" s="82">
        <v>1</v>
      </c>
    </row>
    <row r="306" spans="1:4" x14ac:dyDescent="0.2">
      <c r="A306" s="81">
        <v>45684</v>
      </c>
      <c r="B306" s="63" t="s">
        <v>149</v>
      </c>
      <c r="C306" s="63" t="s">
        <v>113</v>
      </c>
      <c r="D306" s="82">
        <v>1</v>
      </c>
    </row>
    <row r="307" spans="1:4" x14ac:dyDescent="0.2">
      <c r="A307" s="81">
        <v>45685</v>
      </c>
      <c r="B307" s="63" t="s">
        <v>149</v>
      </c>
      <c r="C307" s="63" t="s">
        <v>113</v>
      </c>
      <c r="D307" s="82">
        <v>1</v>
      </c>
    </row>
    <row r="308" spans="1:4" x14ac:dyDescent="0.2">
      <c r="A308" s="81">
        <v>45686</v>
      </c>
      <c r="B308" s="63" t="s">
        <v>149</v>
      </c>
      <c r="C308" s="63" t="s">
        <v>113</v>
      </c>
      <c r="D308" s="82">
        <v>1</v>
      </c>
    </row>
    <row r="309" spans="1:4" ht="15" thickBot="1" x14ac:dyDescent="0.25">
      <c r="A309" s="85">
        <v>45687</v>
      </c>
      <c r="B309" s="86" t="s">
        <v>149</v>
      </c>
      <c r="C309" s="86" t="s">
        <v>113</v>
      </c>
      <c r="D309" s="87">
        <v>1</v>
      </c>
    </row>
    <row r="310" spans="1:4" x14ac:dyDescent="0.2">
      <c r="A310" s="78">
        <v>45769</v>
      </c>
      <c r="B310" s="79" t="s">
        <v>149</v>
      </c>
      <c r="C310" s="79" t="s">
        <v>113</v>
      </c>
      <c r="D310" s="80">
        <v>1</v>
      </c>
    </row>
    <row r="311" spans="1:4" x14ac:dyDescent="0.2">
      <c r="A311" s="81">
        <v>45770</v>
      </c>
      <c r="B311" s="63" t="s">
        <v>149</v>
      </c>
      <c r="C311" s="63" t="s">
        <v>113</v>
      </c>
      <c r="D311" s="82">
        <v>1</v>
      </c>
    </row>
    <row r="312" spans="1:4" ht="15" thickBot="1" x14ac:dyDescent="0.25">
      <c r="A312" s="85">
        <v>45771</v>
      </c>
      <c r="B312" s="86" t="s">
        <v>149</v>
      </c>
      <c r="C312" s="86" t="s">
        <v>113</v>
      </c>
      <c r="D312" s="87">
        <v>1</v>
      </c>
    </row>
    <row r="313" spans="1:4" x14ac:dyDescent="0.2">
      <c r="A313" s="78">
        <v>45797</v>
      </c>
      <c r="B313" s="79" t="s">
        <v>149</v>
      </c>
      <c r="C313" s="79" t="s">
        <v>113</v>
      </c>
      <c r="D313" s="80">
        <v>1</v>
      </c>
    </row>
    <row r="314" spans="1:4" x14ac:dyDescent="0.2">
      <c r="A314" s="81">
        <v>45798</v>
      </c>
      <c r="B314" s="63" t="s">
        <v>149</v>
      </c>
      <c r="C314" s="63" t="s">
        <v>113</v>
      </c>
      <c r="D314" s="82">
        <v>1</v>
      </c>
    </row>
    <row r="315" spans="1:4" ht="15" thickBot="1" x14ac:dyDescent="0.25">
      <c r="A315" s="85">
        <v>45799</v>
      </c>
      <c r="B315" s="86" t="s">
        <v>149</v>
      </c>
      <c r="C315" s="86" t="s">
        <v>113</v>
      </c>
      <c r="D315" s="87">
        <v>1</v>
      </c>
    </row>
    <row r="316" spans="1:4" x14ac:dyDescent="0.2">
      <c r="A316" s="78">
        <v>45803</v>
      </c>
      <c r="B316" s="79" t="s">
        <v>149</v>
      </c>
      <c r="C316" s="79" t="s">
        <v>113</v>
      </c>
      <c r="D316" s="80">
        <v>1</v>
      </c>
    </row>
    <row r="317" spans="1:4" x14ac:dyDescent="0.2">
      <c r="A317" s="81">
        <v>45804</v>
      </c>
      <c r="B317" s="63" t="s">
        <v>149</v>
      </c>
      <c r="C317" s="63" t="s">
        <v>113</v>
      </c>
      <c r="D317" s="82">
        <v>1</v>
      </c>
    </row>
    <row r="318" spans="1:4" x14ac:dyDescent="0.2">
      <c r="A318" s="81">
        <v>45805</v>
      </c>
      <c r="B318" s="63" t="s">
        <v>149</v>
      </c>
      <c r="C318" s="63" t="s">
        <v>113</v>
      </c>
      <c r="D318" s="82">
        <v>1</v>
      </c>
    </row>
    <row r="319" spans="1:4" x14ac:dyDescent="0.2">
      <c r="A319" s="81">
        <v>45806</v>
      </c>
      <c r="B319" s="63" t="s">
        <v>149</v>
      </c>
      <c r="C319" s="63" t="s">
        <v>113</v>
      </c>
      <c r="D319" s="82">
        <v>1</v>
      </c>
    </row>
    <row r="320" spans="1:4" ht="15" thickBot="1" x14ac:dyDescent="0.25">
      <c r="A320" s="85">
        <v>45807</v>
      </c>
      <c r="B320" s="86" t="s">
        <v>149</v>
      </c>
      <c r="C320" s="86" t="s">
        <v>113</v>
      </c>
      <c r="D320" s="87">
        <v>1</v>
      </c>
    </row>
    <row r="321" spans="1:4" x14ac:dyDescent="0.2">
      <c r="A321" s="78">
        <v>45826</v>
      </c>
      <c r="B321" s="79" t="s">
        <v>149</v>
      </c>
      <c r="C321" s="79" t="s">
        <v>113</v>
      </c>
      <c r="D321" s="80">
        <v>1</v>
      </c>
    </row>
    <row r="322" spans="1:4" x14ac:dyDescent="0.2">
      <c r="A322" s="81">
        <v>45827</v>
      </c>
      <c r="B322" s="63" t="s">
        <v>149</v>
      </c>
      <c r="C322" s="63" t="s">
        <v>113</v>
      </c>
      <c r="D322" s="82">
        <v>1</v>
      </c>
    </row>
    <row r="323" spans="1:4" x14ac:dyDescent="0.2">
      <c r="A323" s="81">
        <v>45828</v>
      </c>
      <c r="B323" s="63" t="s">
        <v>149</v>
      </c>
      <c r="C323" s="63" t="s">
        <v>113</v>
      </c>
      <c r="D323" s="82">
        <v>1</v>
      </c>
    </row>
    <row r="324" spans="1:4" x14ac:dyDescent="0.2">
      <c r="A324" s="81">
        <v>45829</v>
      </c>
      <c r="B324" s="63" t="s">
        <v>149</v>
      </c>
      <c r="C324" s="63" t="s">
        <v>113</v>
      </c>
      <c r="D324" s="82">
        <v>1</v>
      </c>
    </row>
    <row r="325" spans="1:4" ht="15" thickBot="1" x14ac:dyDescent="0.25">
      <c r="A325" s="85">
        <v>45830</v>
      </c>
      <c r="B325" s="86" t="s">
        <v>149</v>
      </c>
      <c r="C325" s="86" t="s">
        <v>113</v>
      </c>
      <c r="D325" s="87">
        <v>1</v>
      </c>
    </row>
    <row r="326" spans="1:4" ht="15" thickBot="1" x14ac:dyDescent="0.25">
      <c r="A326" s="102">
        <v>45860</v>
      </c>
      <c r="B326" s="103" t="s">
        <v>149</v>
      </c>
      <c r="C326" s="103" t="s">
        <v>113</v>
      </c>
      <c r="D326" s="104">
        <v>1</v>
      </c>
    </row>
    <row r="327" spans="1:4" x14ac:dyDescent="0.2">
      <c r="A327" s="78">
        <v>45874</v>
      </c>
      <c r="B327" s="79" t="s">
        <v>149</v>
      </c>
      <c r="C327" s="79" t="s">
        <v>113</v>
      </c>
      <c r="D327" s="80">
        <v>1</v>
      </c>
    </row>
    <row r="328" spans="1:4" x14ac:dyDescent="0.2">
      <c r="A328" s="81">
        <v>45875</v>
      </c>
      <c r="B328" s="63" t="s">
        <v>149</v>
      </c>
      <c r="C328" s="63" t="s">
        <v>113</v>
      </c>
      <c r="D328" s="82">
        <v>1</v>
      </c>
    </row>
    <row r="329" spans="1:4" ht="15" thickBot="1" x14ac:dyDescent="0.25">
      <c r="A329" s="85">
        <v>45876</v>
      </c>
      <c r="B329" s="86" t="s">
        <v>149</v>
      </c>
      <c r="C329" s="86" t="s">
        <v>113</v>
      </c>
      <c r="D329" s="87">
        <v>1</v>
      </c>
    </row>
    <row r="330" spans="1:4" x14ac:dyDescent="0.2">
      <c r="A330" s="78">
        <v>45888</v>
      </c>
      <c r="B330" s="79" t="s">
        <v>149</v>
      </c>
      <c r="C330" s="79" t="s">
        <v>113</v>
      </c>
      <c r="D330" s="80">
        <v>1</v>
      </c>
    </row>
    <row r="331" spans="1:4" x14ac:dyDescent="0.2">
      <c r="A331" s="81">
        <v>45889</v>
      </c>
      <c r="B331" s="63" t="s">
        <v>149</v>
      </c>
      <c r="C331" s="63" t="s">
        <v>113</v>
      </c>
      <c r="D331" s="82">
        <v>1</v>
      </c>
    </row>
    <row r="332" spans="1:4" ht="15" thickBot="1" x14ac:dyDescent="0.25">
      <c r="A332" s="85">
        <v>45890</v>
      </c>
      <c r="B332" s="86" t="s">
        <v>149</v>
      </c>
      <c r="C332" s="86" t="s">
        <v>113</v>
      </c>
      <c r="D332" s="87">
        <v>1</v>
      </c>
    </row>
    <row r="333" spans="1:4" x14ac:dyDescent="0.2">
      <c r="A333" s="78">
        <v>45965</v>
      </c>
      <c r="B333" s="79" t="s">
        <v>149</v>
      </c>
      <c r="C333" s="79" t="s">
        <v>113</v>
      </c>
      <c r="D333" s="80">
        <v>1</v>
      </c>
    </row>
    <row r="334" spans="1:4" x14ac:dyDescent="0.2">
      <c r="A334" s="81">
        <v>45966</v>
      </c>
      <c r="B334" s="63" t="s">
        <v>149</v>
      </c>
      <c r="C334" s="63" t="s">
        <v>113</v>
      </c>
      <c r="D334" s="82">
        <v>1</v>
      </c>
    </row>
    <row r="335" spans="1:4" x14ac:dyDescent="0.2">
      <c r="A335" s="81">
        <v>45967</v>
      </c>
      <c r="B335" s="63" t="s">
        <v>149</v>
      </c>
      <c r="C335" s="63" t="s">
        <v>113</v>
      </c>
      <c r="D335" s="82">
        <v>1</v>
      </c>
    </row>
    <row r="336" spans="1:4" ht="15" thickBot="1" x14ac:dyDescent="0.25">
      <c r="A336" s="85">
        <v>45968</v>
      </c>
      <c r="B336" s="86" t="s">
        <v>149</v>
      </c>
      <c r="C336" s="86" t="s">
        <v>113</v>
      </c>
      <c r="D336" s="87">
        <v>1</v>
      </c>
    </row>
    <row r="337" spans="1:5" ht="15" thickBot="1" x14ac:dyDescent="0.25">
      <c r="A337" s="102">
        <v>45987</v>
      </c>
      <c r="B337" s="103" t="s">
        <v>149</v>
      </c>
      <c r="C337" s="103" t="s">
        <v>113</v>
      </c>
      <c r="D337" s="104">
        <v>1</v>
      </c>
    </row>
    <row r="338" spans="1:5" ht="15" thickBot="1" x14ac:dyDescent="0.25">
      <c r="A338" s="102">
        <v>45991</v>
      </c>
      <c r="B338" s="103" t="s">
        <v>149</v>
      </c>
      <c r="C338" s="103" t="s">
        <v>113</v>
      </c>
      <c r="D338" s="104">
        <v>1</v>
      </c>
    </row>
    <row r="339" spans="1:5" x14ac:dyDescent="0.2">
      <c r="A339" s="88">
        <v>45992</v>
      </c>
      <c r="B339" s="69" t="s">
        <v>149</v>
      </c>
      <c r="C339" s="69" t="s">
        <v>113</v>
      </c>
      <c r="D339" s="69">
        <v>1</v>
      </c>
      <c r="E339" t="s">
        <v>596</v>
      </c>
    </row>
    <row r="340" spans="1:5" x14ac:dyDescent="0.2">
      <c r="A340" s="89">
        <v>45993</v>
      </c>
      <c r="B340" s="90" t="s">
        <v>149</v>
      </c>
      <c r="C340" s="90" t="s">
        <v>113</v>
      </c>
      <c r="D340" s="90">
        <v>1</v>
      </c>
      <c r="E340" t="s">
        <v>596</v>
      </c>
    </row>
    <row r="341" spans="1:5" ht="15" thickBot="1" x14ac:dyDescent="0.25">
      <c r="A341" s="100">
        <v>45664</v>
      </c>
      <c r="B341" s="101" t="s">
        <v>152</v>
      </c>
      <c r="C341" s="101" t="s">
        <v>113</v>
      </c>
      <c r="D341" s="101">
        <v>1</v>
      </c>
    </row>
    <row r="342" spans="1:5" ht="15" thickBot="1" x14ac:dyDescent="0.25">
      <c r="A342" s="102">
        <v>45673</v>
      </c>
      <c r="B342" s="103" t="s">
        <v>152</v>
      </c>
      <c r="C342" s="103" t="s">
        <v>113</v>
      </c>
      <c r="D342" s="104">
        <v>1</v>
      </c>
    </row>
    <row r="343" spans="1:5" x14ac:dyDescent="0.2">
      <c r="A343" s="78">
        <v>45712</v>
      </c>
      <c r="B343" s="79" t="s">
        <v>152</v>
      </c>
      <c r="C343" s="79" t="s">
        <v>113</v>
      </c>
      <c r="D343" s="80">
        <v>1</v>
      </c>
    </row>
    <row r="344" spans="1:5" x14ac:dyDescent="0.2">
      <c r="A344" s="81">
        <v>45713</v>
      </c>
      <c r="B344" s="63" t="s">
        <v>152</v>
      </c>
      <c r="C344" s="63" t="s">
        <v>113</v>
      </c>
      <c r="D344" s="82">
        <v>1</v>
      </c>
    </row>
    <row r="345" spans="1:5" x14ac:dyDescent="0.2">
      <c r="A345" s="81">
        <v>45714</v>
      </c>
      <c r="B345" s="63" t="s">
        <v>152</v>
      </c>
      <c r="C345" s="63" t="s">
        <v>113</v>
      </c>
      <c r="D345" s="82">
        <v>1</v>
      </c>
    </row>
    <row r="346" spans="1:5" x14ac:dyDescent="0.2">
      <c r="A346" s="81">
        <v>45715</v>
      </c>
      <c r="B346" s="63" t="s">
        <v>152</v>
      </c>
      <c r="C346" s="63" t="s">
        <v>113</v>
      </c>
      <c r="D346" s="82">
        <v>1</v>
      </c>
    </row>
    <row r="347" spans="1:5" ht="15" thickBot="1" x14ac:dyDescent="0.25">
      <c r="A347" s="85">
        <v>45716</v>
      </c>
      <c r="B347" s="86" t="s">
        <v>152</v>
      </c>
      <c r="C347" s="86" t="s">
        <v>113</v>
      </c>
      <c r="D347" s="87">
        <v>1</v>
      </c>
    </row>
    <row r="348" spans="1:5" x14ac:dyDescent="0.2">
      <c r="A348" s="88">
        <v>45735</v>
      </c>
      <c r="B348" s="69" t="s">
        <v>152</v>
      </c>
      <c r="C348" s="69" t="s">
        <v>113</v>
      </c>
      <c r="D348" s="69">
        <v>1</v>
      </c>
    </row>
    <row r="349" spans="1:5" ht="15" thickBot="1" x14ac:dyDescent="0.25">
      <c r="A349" s="100">
        <v>45736</v>
      </c>
      <c r="B349" s="101" t="s">
        <v>152</v>
      </c>
      <c r="C349" s="101" t="s">
        <v>113</v>
      </c>
      <c r="D349" s="101">
        <v>1</v>
      </c>
    </row>
    <row r="350" spans="1:5" ht="15" thickBot="1" x14ac:dyDescent="0.25">
      <c r="A350" s="102">
        <v>45742</v>
      </c>
      <c r="B350" s="103" t="s">
        <v>152</v>
      </c>
      <c r="C350" s="103" t="s">
        <v>113</v>
      </c>
      <c r="D350" s="104">
        <v>1</v>
      </c>
    </row>
    <row r="351" spans="1:5" ht="15" thickBot="1" x14ac:dyDescent="0.25">
      <c r="A351" s="98">
        <v>45749</v>
      </c>
      <c r="B351" s="99" t="s">
        <v>152</v>
      </c>
      <c r="C351" s="99" t="s">
        <v>113</v>
      </c>
      <c r="D351" s="99">
        <v>1</v>
      </c>
    </row>
    <row r="352" spans="1:5" ht="15" thickBot="1" x14ac:dyDescent="0.25">
      <c r="A352" s="102">
        <v>45755</v>
      </c>
      <c r="B352" s="103" t="s">
        <v>152</v>
      </c>
      <c r="C352" s="103" t="s">
        <v>113</v>
      </c>
      <c r="D352" s="104">
        <v>1</v>
      </c>
    </row>
    <row r="353" spans="1:4" x14ac:dyDescent="0.2">
      <c r="A353" s="88">
        <v>45781</v>
      </c>
      <c r="B353" s="69" t="s">
        <v>152</v>
      </c>
      <c r="C353" s="69" t="s">
        <v>113</v>
      </c>
      <c r="D353" s="69">
        <v>1</v>
      </c>
    </row>
    <row r="354" spans="1:4" x14ac:dyDescent="0.2">
      <c r="A354" s="71">
        <v>45784</v>
      </c>
      <c r="B354" s="63" t="s">
        <v>152</v>
      </c>
      <c r="C354" s="63" t="s">
        <v>113</v>
      </c>
      <c r="D354" s="63">
        <v>1</v>
      </c>
    </row>
    <row r="355" spans="1:4" x14ac:dyDescent="0.2">
      <c r="A355" s="71">
        <v>45789</v>
      </c>
      <c r="B355" s="63" t="s">
        <v>152</v>
      </c>
      <c r="C355" s="63" t="s">
        <v>113</v>
      </c>
      <c r="D355" s="63">
        <v>1</v>
      </c>
    </row>
    <row r="356" spans="1:4" x14ac:dyDescent="0.2">
      <c r="A356" s="71">
        <v>45801</v>
      </c>
      <c r="B356" s="63" t="s">
        <v>152</v>
      </c>
      <c r="C356" s="63" t="s">
        <v>113</v>
      </c>
      <c r="D356" s="63">
        <v>1</v>
      </c>
    </row>
    <row r="357" spans="1:4" x14ac:dyDescent="0.2">
      <c r="A357" s="71">
        <v>45802</v>
      </c>
      <c r="B357" s="63" t="s">
        <v>152</v>
      </c>
      <c r="C357" s="63" t="s">
        <v>113</v>
      </c>
      <c r="D357" s="63">
        <v>1</v>
      </c>
    </row>
    <row r="358" spans="1:4" x14ac:dyDescent="0.2">
      <c r="A358" s="71">
        <v>45803</v>
      </c>
      <c r="B358" s="63" t="s">
        <v>152</v>
      </c>
      <c r="C358" s="63" t="s">
        <v>113</v>
      </c>
      <c r="D358" s="63">
        <v>1</v>
      </c>
    </row>
    <row r="359" spans="1:4" x14ac:dyDescent="0.2">
      <c r="A359" s="71">
        <v>45804</v>
      </c>
      <c r="B359" s="63" t="s">
        <v>152</v>
      </c>
      <c r="C359" s="63" t="s">
        <v>113</v>
      </c>
      <c r="D359" s="63">
        <v>1</v>
      </c>
    </row>
    <row r="360" spans="1:4" x14ac:dyDescent="0.2">
      <c r="A360" s="71">
        <v>45805</v>
      </c>
      <c r="B360" s="63" t="s">
        <v>152</v>
      </c>
      <c r="C360" s="63" t="s">
        <v>113</v>
      </c>
      <c r="D360" s="63">
        <v>1</v>
      </c>
    </row>
    <row r="361" spans="1:4" x14ac:dyDescent="0.2">
      <c r="A361" s="71">
        <v>45806</v>
      </c>
      <c r="B361" s="63" t="s">
        <v>152</v>
      </c>
      <c r="C361" s="63" t="s">
        <v>113</v>
      </c>
      <c r="D361" s="63">
        <v>1</v>
      </c>
    </row>
    <row r="362" spans="1:4" x14ac:dyDescent="0.2">
      <c r="A362" s="71">
        <v>45807</v>
      </c>
      <c r="B362" s="63" t="s">
        <v>152</v>
      </c>
      <c r="C362" s="63" t="s">
        <v>113</v>
      </c>
      <c r="D362" s="63">
        <v>1</v>
      </c>
    </row>
    <row r="363" spans="1:4" ht="15" thickBot="1" x14ac:dyDescent="0.25">
      <c r="A363" s="100">
        <v>45808</v>
      </c>
      <c r="B363" s="101" t="s">
        <v>152</v>
      </c>
      <c r="C363" s="101" t="s">
        <v>113</v>
      </c>
      <c r="D363" s="101">
        <v>1</v>
      </c>
    </row>
    <row r="364" spans="1:4" x14ac:dyDescent="0.2">
      <c r="A364" s="78">
        <v>45809</v>
      </c>
      <c r="B364" s="79" t="s">
        <v>152</v>
      </c>
      <c r="C364" s="79" t="s">
        <v>113</v>
      </c>
      <c r="D364" s="80">
        <v>1</v>
      </c>
    </row>
    <row r="365" spans="1:4" x14ac:dyDescent="0.2">
      <c r="A365" s="81">
        <v>45810</v>
      </c>
      <c r="B365" s="63" t="s">
        <v>152</v>
      </c>
      <c r="C365" s="63" t="s">
        <v>113</v>
      </c>
      <c r="D365" s="82">
        <v>1</v>
      </c>
    </row>
    <row r="366" spans="1:4" x14ac:dyDescent="0.2">
      <c r="A366" s="81">
        <v>45811</v>
      </c>
      <c r="B366" s="63" t="s">
        <v>152</v>
      </c>
      <c r="C366" s="63" t="s">
        <v>113</v>
      </c>
      <c r="D366" s="82">
        <v>1</v>
      </c>
    </row>
    <row r="367" spans="1:4" x14ac:dyDescent="0.2">
      <c r="A367" s="81">
        <v>45812</v>
      </c>
      <c r="B367" s="63" t="s">
        <v>152</v>
      </c>
      <c r="C367" s="63" t="s">
        <v>113</v>
      </c>
      <c r="D367" s="82">
        <v>1</v>
      </c>
    </row>
    <row r="368" spans="1:4" x14ac:dyDescent="0.2">
      <c r="A368" s="81">
        <v>45813</v>
      </c>
      <c r="B368" s="63" t="s">
        <v>152</v>
      </c>
      <c r="C368" s="63" t="s">
        <v>113</v>
      </c>
      <c r="D368" s="82">
        <v>1</v>
      </c>
    </row>
    <row r="369" spans="1:4" x14ac:dyDescent="0.2">
      <c r="A369" s="81">
        <v>45814</v>
      </c>
      <c r="B369" s="63" t="s">
        <v>152</v>
      </c>
      <c r="C369" s="63" t="s">
        <v>113</v>
      </c>
      <c r="D369" s="82">
        <v>1</v>
      </c>
    </row>
    <row r="370" spans="1:4" x14ac:dyDescent="0.2">
      <c r="A370" s="81">
        <v>45815</v>
      </c>
      <c r="B370" s="63" t="s">
        <v>152</v>
      </c>
      <c r="C370" s="63" t="s">
        <v>113</v>
      </c>
      <c r="D370" s="82">
        <v>1</v>
      </c>
    </row>
    <row r="371" spans="1:4" x14ac:dyDescent="0.2">
      <c r="A371" s="81">
        <v>45816</v>
      </c>
      <c r="B371" s="63" t="s">
        <v>152</v>
      </c>
      <c r="C371" s="63" t="s">
        <v>113</v>
      </c>
      <c r="D371" s="82">
        <v>1</v>
      </c>
    </row>
    <row r="372" spans="1:4" x14ac:dyDescent="0.2">
      <c r="A372" s="81">
        <v>45817</v>
      </c>
      <c r="B372" s="63" t="s">
        <v>152</v>
      </c>
      <c r="C372" s="63" t="s">
        <v>113</v>
      </c>
      <c r="D372" s="82">
        <v>1</v>
      </c>
    </row>
    <row r="373" spans="1:4" x14ac:dyDescent="0.2">
      <c r="A373" s="81">
        <v>45818</v>
      </c>
      <c r="B373" s="63" t="s">
        <v>152</v>
      </c>
      <c r="C373" s="63" t="s">
        <v>113</v>
      </c>
      <c r="D373" s="82">
        <v>1</v>
      </c>
    </row>
    <row r="374" spans="1:4" x14ac:dyDescent="0.2">
      <c r="A374" s="81">
        <v>45819</v>
      </c>
      <c r="B374" s="63" t="s">
        <v>152</v>
      </c>
      <c r="C374" s="63" t="s">
        <v>113</v>
      </c>
      <c r="D374" s="82">
        <v>1</v>
      </c>
    </row>
    <row r="375" spans="1:4" x14ac:dyDescent="0.2">
      <c r="A375" s="81">
        <v>45820</v>
      </c>
      <c r="B375" s="63" t="s">
        <v>152</v>
      </c>
      <c r="C375" s="63" t="s">
        <v>113</v>
      </c>
      <c r="D375" s="82">
        <v>1</v>
      </c>
    </row>
    <row r="376" spans="1:4" x14ac:dyDescent="0.2">
      <c r="A376" s="81">
        <v>45821</v>
      </c>
      <c r="B376" s="63" t="s">
        <v>152</v>
      </c>
      <c r="C376" s="63" t="s">
        <v>113</v>
      </c>
      <c r="D376" s="82">
        <v>1</v>
      </c>
    </row>
    <row r="377" spans="1:4" x14ac:dyDescent="0.2">
      <c r="A377" s="81">
        <v>45822</v>
      </c>
      <c r="B377" s="63" t="s">
        <v>152</v>
      </c>
      <c r="C377" s="63" t="s">
        <v>113</v>
      </c>
      <c r="D377" s="82">
        <v>1</v>
      </c>
    </row>
    <row r="378" spans="1:4" x14ac:dyDescent="0.2">
      <c r="A378" s="81">
        <v>45823</v>
      </c>
      <c r="B378" s="63" t="s">
        <v>152</v>
      </c>
      <c r="C378" s="63" t="s">
        <v>113</v>
      </c>
      <c r="D378" s="82">
        <v>1</v>
      </c>
    </row>
    <row r="379" spans="1:4" x14ac:dyDescent="0.2">
      <c r="A379" s="81">
        <v>45824</v>
      </c>
      <c r="B379" s="63" t="s">
        <v>152</v>
      </c>
      <c r="C379" s="63" t="s">
        <v>113</v>
      </c>
      <c r="D379" s="82">
        <v>1</v>
      </c>
    </row>
    <row r="380" spans="1:4" x14ac:dyDescent="0.2">
      <c r="A380" s="81">
        <v>45825</v>
      </c>
      <c r="B380" s="63" t="s">
        <v>152</v>
      </c>
      <c r="C380" s="63" t="s">
        <v>113</v>
      </c>
      <c r="D380" s="82">
        <v>1</v>
      </c>
    </row>
    <row r="381" spans="1:4" x14ac:dyDescent="0.2">
      <c r="A381" s="81">
        <v>45826</v>
      </c>
      <c r="B381" s="63" t="s">
        <v>152</v>
      </c>
      <c r="C381" s="63" t="s">
        <v>113</v>
      </c>
      <c r="D381" s="82">
        <v>1</v>
      </c>
    </row>
    <row r="382" spans="1:4" x14ac:dyDescent="0.2">
      <c r="A382" s="81">
        <v>45827</v>
      </c>
      <c r="B382" s="63" t="s">
        <v>152</v>
      </c>
      <c r="C382" s="63" t="s">
        <v>113</v>
      </c>
      <c r="D382" s="82">
        <v>1</v>
      </c>
    </row>
    <row r="383" spans="1:4" x14ac:dyDescent="0.2">
      <c r="A383" s="81">
        <v>45828</v>
      </c>
      <c r="B383" s="63" t="s">
        <v>152</v>
      </c>
      <c r="C383" s="63" t="s">
        <v>113</v>
      </c>
      <c r="D383" s="82">
        <v>1</v>
      </c>
    </row>
    <row r="384" spans="1:4" x14ac:dyDescent="0.2">
      <c r="A384" s="81">
        <v>45829</v>
      </c>
      <c r="B384" s="63" t="s">
        <v>152</v>
      </c>
      <c r="C384" s="63" t="s">
        <v>113</v>
      </c>
      <c r="D384" s="82">
        <v>1</v>
      </c>
    </row>
    <row r="385" spans="1:4" x14ac:dyDescent="0.2">
      <c r="A385" s="81">
        <v>45830</v>
      </c>
      <c r="B385" s="63" t="s">
        <v>152</v>
      </c>
      <c r="C385" s="63" t="s">
        <v>113</v>
      </c>
      <c r="D385" s="82">
        <v>1</v>
      </c>
    </row>
    <row r="386" spans="1:4" x14ac:dyDescent="0.2">
      <c r="A386" s="81">
        <v>45831</v>
      </c>
      <c r="B386" s="63" t="s">
        <v>152</v>
      </c>
      <c r="C386" s="63" t="s">
        <v>113</v>
      </c>
      <c r="D386" s="82">
        <v>1</v>
      </c>
    </row>
    <row r="387" spans="1:4" x14ac:dyDescent="0.2">
      <c r="A387" s="81">
        <v>45832</v>
      </c>
      <c r="B387" s="63" t="s">
        <v>152</v>
      </c>
      <c r="C387" s="63" t="s">
        <v>113</v>
      </c>
      <c r="D387" s="82">
        <v>1</v>
      </c>
    </row>
    <row r="388" spans="1:4" x14ac:dyDescent="0.2">
      <c r="A388" s="81">
        <v>45833</v>
      </c>
      <c r="B388" s="63" t="s">
        <v>152</v>
      </c>
      <c r="C388" s="63" t="s">
        <v>113</v>
      </c>
      <c r="D388" s="82">
        <v>1</v>
      </c>
    </row>
    <row r="389" spans="1:4" x14ac:dyDescent="0.2">
      <c r="A389" s="81">
        <v>45834</v>
      </c>
      <c r="B389" s="63" t="s">
        <v>152</v>
      </c>
      <c r="C389" s="63" t="s">
        <v>113</v>
      </c>
      <c r="D389" s="82">
        <v>1</v>
      </c>
    </row>
    <row r="390" spans="1:4" x14ac:dyDescent="0.2">
      <c r="A390" s="81">
        <v>45835</v>
      </c>
      <c r="B390" s="63" t="s">
        <v>152</v>
      </c>
      <c r="C390" s="63" t="s">
        <v>113</v>
      </c>
      <c r="D390" s="82">
        <v>1</v>
      </c>
    </row>
    <row r="391" spans="1:4" x14ac:dyDescent="0.2">
      <c r="A391" s="81">
        <v>45836</v>
      </c>
      <c r="B391" s="63" t="s">
        <v>152</v>
      </c>
      <c r="C391" s="63" t="s">
        <v>113</v>
      </c>
      <c r="D391" s="82">
        <v>1</v>
      </c>
    </row>
    <row r="392" spans="1:4" x14ac:dyDescent="0.2">
      <c r="A392" s="81">
        <v>45837</v>
      </c>
      <c r="B392" s="63" t="s">
        <v>152</v>
      </c>
      <c r="C392" s="63" t="s">
        <v>113</v>
      </c>
      <c r="D392" s="82">
        <v>1</v>
      </c>
    </row>
    <row r="393" spans="1:4" ht="15" thickBot="1" x14ac:dyDescent="0.25">
      <c r="A393" s="85">
        <v>45838</v>
      </c>
      <c r="B393" s="86" t="s">
        <v>152</v>
      </c>
      <c r="C393" s="86" t="s">
        <v>113</v>
      </c>
      <c r="D393" s="87">
        <v>1</v>
      </c>
    </row>
    <row r="394" spans="1:4" x14ac:dyDescent="0.2">
      <c r="A394" s="88">
        <v>45839</v>
      </c>
      <c r="B394" s="69" t="s">
        <v>152</v>
      </c>
      <c r="C394" s="69" t="s">
        <v>113</v>
      </c>
      <c r="D394" s="69">
        <v>1</v>
      </c>
    </row>
    <row r="395" spans="1:4" x14ac:dyDescent="0.2">
      <c r="A395" s="71">
        <v>45840</v>
      </c>
      <c r="B395" s="63" t="s">
        <v>152</v>
      </c>
      <c r="C395" s="63" t="s">
        <v>113</v>
      </c>
      <c r="D395" s="63">
        <v>1</v>
      </c>
    </row>
    <row r="396" spans="1:4" x14ac:dyDescent="0.2">
      <c r="A396" s="71">
        <v>45841</v>
      </c>
      <c r="B396" s="63" t="s">
        <v>152</v>
      </c>
      <c r="C396" s="63" t="s">
        <v>113</v>
      </c>
      <c r="D396" s="63">
        <v>1</v>
      </c>
    </row>
    <row r="397" spans="1:4" x14ac:dyDescent="0.2">
      <c r="A397" s="71">
        <v>45842</v>
      </c>
      <c r="B397" s="63" t="s">
        <v>152</v>
      </c>
      <c r="C397" s="63" t="s">
        <v>113</v>
      </c>
      <c r="D397" s="63">
        <v>1</v>
      </c>
    </row>
    <row r="398" spans="1:4" x14ac:dyDescent="0.2">
      <c r="A398" s="71">
        <v>45843</v>
      </c>
      <c r="B398" s="63" t="s">
        <v>152</v>
      </c>
      <c r="C398" s="63" t="s">
        <v>113</v>
      </c>
      <c r="D398" s="63">
        <v>1</v>
      </c>
    </row>
    <row r="399" spans="1:4" x14ac:dyDescent="0.2">
      <c r="A399" s="71">
        <v>45844</v>
      </c>
      <c r="B399" s="63" t="s">
        <v>152</v>
      </c>
      <c r="C399" s="63" t="s">
        <v>113</v>
      </c>
      <c r="D399" s="63">
        <v>1</v>
      </c>
    </row>
    <row r="400" spans="1:4" x14ac:dyDescent="0.2">
      <c r="A400" s="71">
        <v>45845</v>
      </c>
      <c r="B400" s="63" t="s">
        <v>152</v>
      </c>
      <c r="C400" s="63" t="s">
        <v>113</v>
      </c>
      <c r="D400" s="63">
        <v>1</v>
      </c>
    </row>
    <row r="401" spans="1:4" x14ac:dyDescent="0.2">
      <c r="A401" s="71">
        <v>45846</v>
      </c>
      <c r="B401" s="63" t="s">
        <v>152</v>
      </c>
      <c r="C401" s="63" t="s">
        <v>113</v>
      </c>
      <c r="D401" s="63">
        <v>1</v>
      </c>
    </row>
    <row r="402" spans="1:4" x14ac:dyDescent="0.2">
      <c r="A402" s="71">
        <v>45847</v>
      </c>
      <c r="B402" s="63" t="s">
        <v>152</v>
      </c>
      <c r="C402" s="63" t="s">
        <v>113</v>
      </c>
      <c r="D402" s="63">
        <v>1</v>
      </c>
    </row>
    <row r="403" spans="1:4" x14ac:dyDescent="0.2">
      <c r="A403" s="71">
        <v>45848</v>
      </c>
      <c r="B403" s="63" t="s">
        <v>152</v>
      </c>
      <c r="C403" s="63" t="s">
        <v>113</v>
      </c>
      <c r="D403" s="63">
        <v>1</v>
      </c>
    </row>
    <row r="404" spans="1:4" x14ac:dyDescent="0.2">
      <c r="A404" s="71">
        <v>45849</v>
      </c>
      <c r="B404" s="63" t="s">
        <v>152</v>
      </c>
      <c r="C404" s="63" t="s">
        <v>113</v>
      </c>
      <c r="D404" s="63">
        <v>1</v>
      </c>
    </row>
    <row r="405" spans="1:4" x14ac:dyDescent="0.2">
      <c r="A405" s="71">
        <v>45850</v>
      </c>
      <c r="B405" s="63" t="s">
        <v>152</v>
      </c>
      <c r="C405" s="63" t="s">
        <v>113</v>
      </c>
      <c r="D405" s="63">
        <v>1</v>
      </c>
    </row>
    <row r="406" spans="1:4" x14ac:dyDescent="0.2">
      <c r="A406" s="71">
        <v>45851</v>
      </c>
      <c r="B406" s="63" t="s">
        <v>152</v>
      </c>
      <c r="C406" s="63" t="s">
        <v>113</v>
      </c>
      <c r="D406" s="63">
        <v>1</v>
      </c>
    </row>
    <row r="407" spans="1:4" x14ac:dyDescent="0.2">
      <c r="A407" s="71">
        <v>45852</v>
      </c>
      <c r="B407" s="63" t="s">
        <v>152</v>
      </c>
      <c r="C407" s="63" t="s">
        <v>113</v>
      </c>
      <c r="D407" s="63">
        <v>1</v>
      </c>
    </row>
    <row r="408" spans="1:4" x14ac:dyDescent="0.2">
      <c r="A408" s="71">
        <v>45853</v>
      </c>
      <c r="B408" s="63" t="s">
        <v>152</v>
      </c>
      <c r="C408" s="63" t="s">
        <v>113</v>
      </c>
      <c r="D408" s="63">
        <v>1</v>
      </c>
    </row>
    <row r="409" spans="1:4" x14ac:dyDescent="0.2">
      <c r="A409" s="71">
        <v>45854</v>
      </c>
      <c r="B409" s="63" t="s">
        <v>152</v>
      </c>
      <c r="C409" s="63" t="s">
        <v>113</v>
      </c>
      <c r="D409" s="63">
        <v>1</v>
      </c>
    </row>
    <row r="410" spans="1:4" x14ac:dyDescent="0.2">
      <c r="A410" s="71">
        <v>45855</v>
      </c>
      <c r="B410" s="63" t="s">
        <v>152</v>
      </c>
      <c r="C410" s="63" t="s">
        <v>113</v>
      </c>
      <c r="D410" s="63">
        <v>1</v>
      </c>
    </row>
    <row r="411" spans="1:4" x14ac:dyDescent="0.2">
      <c r="A411" s="71">
        <v>45856</v>
      </c>
      <c r="B411" s="63" t="s">
        <v>152</v>
      </c>
      <c r="C411" s="63" t="s">
        <v>113</v>
      </c>
      <c r="D411" s="63">
        <v>1</v>
      </c>
    </row>
    <row r="412" spans="1:4" x14ac:dyDescent="0.2">
      <c r="A412" s="71">
        <v>45857</v>
      </c>
      <c r="B412" s="63" t="s">
        <v>152</v>
      </c>
      <c r="C412" s="63" t="s">
        <v>113</v>
      </c>
      <c r="D412" s="63">
        <v>1</v>
      </c>
    </row>
    <row r="413" spans="1:4" x14ac:dyDescent="0.2">
      <c r="A413" s="71">
        <v>45858</v>
      </c>
      <c r="B413" s="63" t="s">
        <v>152</v>
      </c>
      <c r="C413" s="63" t="s">
        <v>113</v>
      </c>
      <c r="D413" s="63">
        <v>1</v>
      </c>
    </row>
    <row r="414" spans="1:4" x14ac:dyDescent="0.2">
      <c r="A414" s="71">
        <v>45859</v>
      </c>
      <c r="B414" s="63" t="s">
        <v>152</v>
      </c>
      <c r="C414" s="63" t="s">
        <v>113</v>
      </c>
      <c r="D414" s="63">
        <v>1</v>
      </c>
    </row>
    <row r="415" spans="1:4" x14ac:dyDescent="0.2">
      <c r="A415" s="71">
        <v>45860</v>
      </c>
      <c r="B415" s="63" t="s">
        <v>152</v>
      </c>
      <c r="C415" s="63" t="s">
        <v>113</v>
      </c>
      <c r="D415" s="63">
        <v>1</v>
      </c>
    </row>
    <row r="416" spans="1:4" x14ac:dyDescent="0.2">
      <c r="A416" s="71">
        <v>45861</v>
      </c>
      <c r="B416" s="63" t="s">
        <v>152</v>
      </c>
      <c r="C416" s="63" t="s">
        <v>113</v>
      </c>
      <c r="D416" s="63">
        <v>1</v>
      </c>
    </row>
    <row r="417" spans="1:4" x14ac:dyDescent="0.2">
      <c r="A417" s="71">
        <v>45862</v>
      </c>
      <c r="B417" s="63" t="s">
        <v>152</v>
      </c>
      <c r="C417" s="63" t="s">
        <v>113</v>
      </c>
      <c r="D417" s="63">
        <v>1</v>
      </c>
    </row>
    <row r="418" spans="1:4" x14ac:dyDescent="0.2">
      <c r="A418" s="71">
        <v>45863</v>
      </c>
      <c r="B418" s="63" t="s">
        <v>152</v>
      </c>
      <c r="C418" s="63" t="s">
        <v>113</v>
      </c>
      <c r="D418" s="63">
        <v>1</v>
      </c>
    </row>
    <row r="419" spans="1:4" x14ac:dyDescent="0.2">
      <c r="A419" s="71">
        <v>45864</v>
      </c>
      <c r="B419" s="63" t="s">
        <v>152</v>
      </c>
      <c r="C419" s="63" t="s">
        <v>113</v>
      </c>
      <c r="D419" s="63">
        <v>1</v>
      </c>
    </row>
    <row r="420" spans="1:4" x14ac:dyDescent="0.2">
      <c r="A420" s="71">
        <v>45865</v>
      </c>
      <c r="B420" s="63" t="s">
        <v>152</v>
      </c>
      <c r="C420" s="63" t="s">
        <v>113</v>
      </c>
      <c r="D420" s="63">
        <v>1</v>
      </c>
    </row>
    <row r="421" spans="1:4" x14ac:dyDescent="0.2">
      <c r="A421" s="71">
        <v>45866</v>
      </c>
      <c r="B421" s="63" t="s">
        <v>152</v>
      </c>
      <c r="C421" s="63" t="s">
        <v>113</v>
      </c>
      <c r="D421" s="63">
        <v>1</v>
      </c>
    </row>
    <row r="422" spans="1:4" x14ac:dyDescent="0.2">
      <c r="A422" s="71">
        <v>45867</v>
      </c>
      <c r="B422" s="63" t="s">
        <v>152</v>
      </c>
      <c r="C422" s="63" t="s">
        <v>113</v>
      </c>
      <c r="D422" s="63">
        <v>1</v>
      </c>
    </row>
    <row r="423" spans="1:4" x14ac:dyDescent="0.2">
      <c r="A423" s="71">
        <v>45868</v>
      </c>
      <c r="B423" s="63" t="s">
        <v>152</v>
      </c>
      <c r="C423" s="63" t="s">
        <v>113</v>
      </c>
      <c r="D423" s="63">
        <v>1</v>
      </c>
    </row>
    <row r="424" spans="1:4" ht="15" thickBot="1" x14ac:dyDescent="0.25">
      <c r="A424" s="100">
        <v>45869</v>
      </c>
      <c r="B424" s="101" t="s">
        <v>152</v>
      </c>
      <c r="C424" s="101" t="s">
        <v>113</v>
      </c>
      <c r="D424" s="101">
        <v>1</v>
      </c>
    </row>
    <row r="425" spans="1:4" x14ac:dyDescent="0.2">
      <c r="A425" s="78">
        <v>45870</v>
      </c>
      <c r="B425" s="79" t="s">
        <v>152</v>
      </c>
      <c r="C425" s="79" t="s">
        <v>113</v>
      </c>
      <c r="D425" s="80">
        <v>1</v>
      </c>
    </row>
    <row r="426" spans="1:4" x14ac:dyDescent="0.2">
      <c r="A426" s="81">
        <v>45871</v>
      </c>
      <c r="B426" s="63" t="s">
        <v>152</v>
      </c>
      <c r="C426" s="63" t="s">
        <v>113</v>
      </c>
      <c r="D426" s="82">
        <v>1</v>
      </c>
    </row>
    <row r="427" spans="1:4" x14ac:dyDescent="0.2">
      <c r="A427" s="81">
        <v>45872</v>
      </c>
      <c r="B427" s="63" t="s">
        <v>152</v>
      </c>
      <c r="C427" s="63" t="s">
        <v>113</v>
      </c>
      <c r="D427" s="82">
        <v>1</v>
      </c>
    </row>
    <row r="428" spans="1:4" x14ac:dyDescent="0.2">
      <c r="A428" s="81">
        <v>45873</v>
      </c>
      <c r="B428" s="63" t="s">
        <v>152</v>
      </c>
      <c r="C428" s="63" t="s">
        <v>113</v>
      </c>
      <c r="D428" s="82">
        <v>1</v>
      </c>
    </row>
    <row r="429" spans="1:4" x14ac:dyDescent="0.2">
      <c r="A429" s="81">
        <v>45874</v>
      </c>
      <c r="B429" s="63" t="s">
        <v>152</v>
      </c>
      <c r="C429" s="63" t="s">
        <v>113</v>
      </c>
      <c r="D429" s="82">
        <v>1</v>
      </c>
    </row>
    <row r="430" spans="1:4" x14ac:dyDescent="0.2">
      <c r="A430" s="81">
        <v>45875</v>
      </c>
      <c r="B430" s="63" t="s">
        <v>152</v>
      </c>
      <c r="C430" s="63" t="s">
        <v>113</v>
      </c>
      <c r="D430" s="82">
        <v>1</v>
      </c>
    </row>
    <row r="431" spans="1:4" x14ac:dyDescent="0.2">
      <c r="A431" s="81">
        <v>45876</v>
      </c>
      <c r="B431" s="63" t="s">
        <v>152</v>
      </c>
      <c r="C431" s="63" t="s">
        <v>113</v>
      </c>
      <c r="D431" s="82">
        <v>1</v>
      </c>
    </row>
    <row r="432" spans="1:4" x14ac:dyDescent="0.2">
      <c r="A432" s="81">
        <v>45877</v>
      </c>
      <c r="B432" s="63" t="s">
        <v>152</v>
      </c>
      <c r="C432" s="63" t="s">
        <v>113</v>
      </c>
      <c r="D432" s="82">
        <v>1</v>
      </c>
    </row>
    <row r="433" spans="1:4" x14ac:dyDescent="0.2">
      <c r="A433" s="81">
        <v>45878</v>
      </c>
      <c r="B433" s="63" t="s">
        <v>152</v>
      </c>
      <c r="C433" s="63" t="s">
        <v>113</v>
      </c>
      <c r="D433" s="82">
        <v>1</v>
      </c>
    </row>
    <row r="434" spans="1:4" x14ac:dyDescent="0.2">
      <c r="A434" s="81">
        <v>45879</v>
      </c>
      <c r="B434" s="63" t="s">
        <v>152</v>
      </c>
      <c r="C434" s="63" t="s">
        <v>113</v>
      </c>
      <c r="D434" s="82">
        <v>1</v>
      </c>
    </row>
    <row r="435" spans="1:4" x14ac:dyDescent="0.2">
      <c r="A435" s="81">
        <v>45880</v>
      </c>
      <c r="B435" s="63" t="s">
        <v>152</v>
      </c>
      <c r="C435" s="63" t="s">
        <v>113</v>
      </c>
      <c r="D435" s="82">
        <v>1</v>
      </c>
    </row>
    <row r="436" spans="1:4" x14ac:dyDescent="0.2">
      <c r="A436" s="81">
        <v>45881</v>
      </c>
      <c r="B436" s="63" t="s">
        <v>152</v>
      </c>
      <c r="C436" s="63" t="s">
        <v>113</v>
      </c>
      <c r="D436" s="82">
        <v>1</v>
      </c>
    </row>
    <row r="437" spans="1:4" x14ac:dyDescent="0.2">
      <c r="A437" s="81">
        <v>45882</v>
      </c>
      <c r="B437" s="63" t="s">
        <v>152</v>
      </c>
      <c r="C437" s="63" t="s">
        <v>113</v>
      </c>
      <c r="D437" s="82">
        <v>1</v>
      </c>
    </row>
    <row r="438" spans="1:4" x14ac:dyDescent="0.2">
      <c r="A438" s="81">
        <v>45883</v>
      </c>
      <c r="B438" s="63" t="s">
        <v>152</v>
      </c>
      <c r="C438" s="63" t="s">
        <v>113</v>
      </c>
      <c r="D438" s="82">
        <v>1</v>
      </c>
    </row>
    <row r="439" spans="1:4" x14ac:dyDescent="0.2">
      <c r="A439" s="81">
        <v>45884</v>
      </c>
      <c r="B439" s="63" t="s">
        <v>152</v>
      </c>
      <c r="C439" s="63" t="s">
        <v>113</v>
      </c>
      <c r="D439" s="82">
        <v>1</v>
      </c>
    </row>
    <row r="440" spans="1:4" x14ac:dyDescent="0.2">
      <c r="A440" s="81">
        <v>45885</v>
      </c>
      <c r="B440" s="63" t="s">
        <v>152</v>
      </c>
      <c r="C440" s="63" t="s">
        <v>113</v>
      </c>
      <c r="D440" s="82">
        <v>1</v>
      </c>
    </row>
    <row r="441" spans="1:4" x14ac:dyDescent="0.2">
      <c r="A441" s="81">
        <v>45886</v>
      </c>
      <c r="B441" s="63" t="s">
        <v>152</v>
      </c>
      <c r="C441" s="63" t="s">
        <v>113</v>
      </c>
      <c r="D441" s="82">
        <v>1</v>
      </c>
    </row>
    <row r="442" spans="1:4" x14ac:dyDescent="0.2">
      <c r="A442" s="81">
        <v>45887</v>
      </c>
      <c r="B442" s="63" t="s">
        <v>152</v>
      </c>
      <c r="C442" s="63" t="s">
        <v>113</v>
      </c>
      <c r="D442" s="82">
        <v>1</v>
      </c>
    </row>
    <row r="443" spans="1:4" x14ac:dyDescent="0.2">
      <c r="A443" s="81">
        <v>45888</v>
      </c>
      <c r="B443" s="63" t="s">
        <v>152</v>
      </c>
      <c r="C443" s="63" t="s">
        <v>113</v>
      </c>
      <c r="D443" s="82">
        <v>1</v>
      </c>
    </row>
    <row r="444" spans="1:4" x14ac:dyDescent="0.2">
      <c r="A444" s="81">
        <v>45889</v>
      </c>
      <c r="B444" s="63" t="s">
        <v>152</v>
      </c>
      <c r="C444" s="63" t="s">
        <v>113</v>
      </c>
      <c r="D444" s="82">
        <v>1</v>
      </c>
    </row>
    <row r="445" spans="1:4" x14ac:dyDescent="0.2">
      <c r="A445" s="81">
        <v>45890</v>
      </c>
      <c r="B445" s="63" t="s">
        <v>152</v>
      </c>
      <c r="C445" s="63" t="s">
        <v>113</v>
      </c>
      <c r="D445" s="82">
        <v>1</v>
      </c>
    </row>
    <row r="446" spans="1:4" x14ac:dyDescent="0.2">
      <c r="A446" s="81">
        <v>45891</v>
      </c>
      <c r="B446" s="63" t="s">
        <v>152</v>
      </c>
      <c r="C446" s="63" t="s">
        <v>113</v>
      </c>
      <c r="D446" s="82">
        <v>1</v>
      </c>
    </row>
    <row r="447" spans="1:4" x14ac:dyDescent="0.2">
      <c r="A447" s="81">
        <v>45892</v>
      </c>
      <c r="B447" s="63" t="s">
        <v>152</v>
      </c>
      <c r="C447" s="63" t="s">
        <v>113</v>
      </c>
      <c r="D447" s="82">
        <v>1</v>
      </c>
    </row>
    <row r="448" spans="1:4" x14ac:dyDescent="0.2">
      <c r="A448" s="81">
        <v>45893</v>
      </c>
      <c r="B448" s="63" t="s">
        <v>152</v>
      </c>
      <c r="C448" s="63" t="s">
        <v>113</v>
      </c>
      <c r="D448" s="82">
        <v>1</v>
      </c>
    </row>
    <row r="449" spans="1:4" x14ac:dyDescent="0.2">
      <c r="A449" s="81">
        <v>45894</v>
      </c>
      <c r="B449" s="63" t="s">
        <v>152</v>
      </c>
      <c r="C449" s="63" t="s">
        <v>113</v>
      </c>
      <c r="D449" s="82">
        <v>1</v>
      </c>
    </row>
    <row r="450" spans="1:4" x14ac:dyDescent="0.2">
      <c r="A450" s="81">
        <v>45895</v>
      </c>
      <c r="B450" s="63" t="s">
        <v>152</v>
      </c>
      <c r="C450" s="63" t="s">
        <v>113</v>
      </c>
      <c r="D450" s="82">
        <v>1</v>
      </c>
    </row>
    <row r="451" spans="1:4" x14ac:dyDescent="0.2">
      <c r="A451" s="81">
        <v>45896</v>
      </c>
      <c r="B451" s="63" t="s">
        <v>152</v>
      </c>
      <c r="C451" s="63" t="s">
        <v>113</v>
      </c>
      <c r="D451" s="82">
        <v>1</v>
      </c>
    </row>
    <row r="452" spans="1:4" x14ac:dyDescent="0.2">
      <c r="A452" s="81">
        <v>45897</v>
      </c>
      <c r="B452" s="63" t="s">
        <v>152</v>
      </c>
      <c r="C452" s="63" t="s">
        <v>113</v>
      </c>
      <c r="D452" s="82">
        <v>1</v>
      </c>
    </row>
    <row r="453" spans="1:4" x14ac:dyDescent="0.2">
      <c r="A453" s="81">
        <v>45898</v>
      </c>
      <c r="B453" s="63" t="s">
        <v>152</v>
      </c>
      <c r="C453" s="63" t="s">
        <v>113</v>
      </c>
      <c r="D453" s="82">
        <v>1</v>
      </c>
    </row>
    <row r="454" spans="1:4" x14ac:dyDescent="0.2">
      <c r="A454" s="81">
        <v>45899</v>
      </c>
      <c r="B454" s="63" t="s">
        <v>152</v>
      </c>
      <c r="C454" s="63" t="s">
        <v>113</v>
      </c>
      <c r="D454" s="82">
        <v>1</v>
      </c>
    </row>
    <row r="455" spans="1:4" ht="15" thickBot="1" x14ac:dyDescent="0.25">
      <c r="A455" s="85">
        <v>45900</v>
      </c>
      <c r="B455" s="86" t="s">
        <v>152</v>
      </c>
      <c r="C455" s="86" t="s">
        <v>113</v>
      </c>
      <c r="D455" s="87">
        <v>1</v>
      </c>
    </row>
    <row r="456" spans="1:4" x14ac:dyDescent="0.2">
      <c r="A456" s="78">
        <v>45901</v>
      </c>
      <c r="B456" s="79" t="s">
        <v>152</v>
      </c>
      <c r="C456" s="79" t="s">
        <v>113</v>
      </c>
      <c r="D456" s="80">
        <v>1</v>
      </c>
    </row>
    <row r="457" spans="1:4" x14ac:dyDescent="0.2">
      <c r="A457" s="81">
        <v>45902</v>
      </c>
      <c r="B457" s="63" t="s">
        <v>152</v>
      </c>
      <c r="C457" s="63" t="s">
        <v>113</v>
      </c>
      <c r="D457" s="82">
        <v>1</v>
      </c>
    </row>
    <row r="458" spans="1:4" x14ac:dyDescent="0.2">
      <c r="A458" s="81">
        <v>45903</v>
      </c>
      <c r="B458" s="63" t="s">
        <v>152</v>
      </c>
      <c r="C458" s="63" t="s">
        <v>113</v>
      </c>
      <c r="D458" s="82">
        <v>1</v>
      </c>
    </row>
    <row r="459" spans="1:4" x14ac:dyDescent="0.2">
      <c r="A459" s="81">
        <v>45904</v>
      </c>
      <c r="B459" s="63" t="s">
        <v>152</v>
      </c>
      <c r="C459" s="63" t="s">
        <v>113</v>
      </c>
      <c r="D459" s="82">
        <v>1</v>
      </c>
    </row>
    <row r="460" spans="1:4" x14ac:dyDescent="0.2">
      <c r="A460" s="81">
        <v>45905</v>
      </c>
      <c r="B460" s="63" t="s">
        <v>152</v>
      </c>
      <c r="C460" s="63" t="s">
        <v>113</v>
      </c>
      <c r="D460" s="82">
        <v>1</v>
      </c>
    </row>
    <row r="461" spans="1:4" x14ac:dyDescent="0.2">
      <c r="A461" s="81">
        <v>45906</v>
      </c>
      <c r="B461" s="63" t="s">
        <v>152</v>
      </c>
      <c r="C461" s="63" t="s">
        <v>113</v>
      </c>
      <c r="D461" s="82">
        <v>1</v>
      </c>
    </row>
    <row r="462" spans="1:4" x14ac:dyDescent="0.2">
      <c r="A462" s="81">
        <v>45907</v>
      </c>
      <c r="B462" s="63" t="s">
        <v>152</v>
      </c>
      <c r="C462" s="63" t="s">
        <v>113</v>
      </c>
      <c r="D462" s="82">
        <v>1</v>
      </c>
    </row>
    <row r="463" spans="1:4" x14ac:dyDescent="0.2">
      <c r="A463" s="81">
        <v>45908</v>
      </c>
      <c r="B463" s="63" t="s">
        <v>152</v>
      </c>
      <c r="C463" s="63" t="s">
        <v>113</v>
      </c>
      <c r="D463" s="82">
        <v>1</v>
      </c>
    </row>
    <row r="464" spans="1:4" x14ac:dyDescent="0.2">
      <c r="A464" s="81">
        <v>45909</v>
      </c>
      <c r="B464" s="63" t="s">
        <v>152</v>
      </c>
      <c r="C464" s="63" t="s">
        <v>113</v>
      </c>
      <c r="D464" s="82">
        <v>1</v>
      </c>
    </row>
    <row r="465" spans="1:4" x14ac:dyDescent="0.2">
      <c r="A465" s="81">
        <v>45910</v>
      </c>
      <c r="B465" s="63" t="s">
        <v>152</v>
      </c>
      <c r="C465" s="63" t="s">
        <v>113</v>
      </c>
      <c r="D465" s="82">
        <v>1</v>
      </c>
    </row>
    <row r="466" spans="1:4" x14ac:dyDescent="0.2">
      <c r="A466" s="81">
        <v>45911</v>
      </c>
      <c r="B466" s="63" t="s">
        <v>152</v>
      </c>
      <c r="C466" s="63" t="s">
        <v>113</v>
      </c>
      <c r="D466" s="82">
        <v>1</v>
      </c>
    </row>
    <row r="467" spans="1:4" x14ac:dyDescent="0.2">
      <c r="A467" s="81">
        <v>45912</v>
      </c>
      <c r="B467" s="63" t="s">
        <v>152</v>
      </c>
      <c r="C467" s="63" t="s">
        <v>113</v>
      </c>
      <c r="D467" s="82">
        <v>1</v>
      </c>
    </row>
    <row r="468" spans="1:4" x14ac:dyDescent="0.2">
      <c r="A468" s="81">
        <v>45913</v>
      </c>
      <c r="B468" s="63" t="s">
        <v>152</v>
      </c>
      <c r="C468" s="63" t="s">
        <v>113</v>
      </c>
      <c r="D468" s="82">
        <v>1</v>
      </c>
    </row>
    <row r="469" spans="1:4" x14ac:dyDescent="0.2">
      <c r="A469" s="81">
        <v>45914</v>
      </c>
      <c r="B469" s="63" t="s">
        <v>152</v>
      </c>
      <c r="C469" s="63" t="s">
        <v>113</v>
      </c>
      <c r="D469" s="82">
        <v>1</v>
      </c>
    </row>
    <row r="470" spans="1:4" x14ac:dyDescent="0.2">
      <c r="A470" s="81">
        <v>45915</v>
      </c>
      <c r="B470" s="63" t="s">
        <v>152</v>
      </c>
      <c r="C470" s="63" t="s">
        <v>113</v>
      </c>
      <c r="D470" s="82">
        <v>1</v>
      </c>
    </row>
    <row r="471" spans="1:4" x14ac:dyDescent="0.2">
      <c r="A471" s="81">
        <v>45916</v>
      </c>
      <c r="B471" s="63" t="s">
        <v>152</v>
      </c>
      <c r="C471" s="63" t="s">
        <v>113</v>
      </c>
      <c r="D471" s="82">
        <v>1</v>
      </c>
    </row>
    <row r="472" spans="1:4" x14ac:dyDescent="0.2">
      <c r="A472" s="81">
        <v>45917</v>
      </c>
      <c r="B472" s="63" t="s">
        <v>152</v>
      </c>
      <c r="C472" s="63" t="s">
        <v>113</v>
      </c>
      <c r="D472" s="82">
        <v>1</v>
      </c>
    </row>
    <row r="473" spans="1:4" x14ac:dyDescent="0.2">
      <c r="A473" s="81">
        <v>45918</v>
      </c>
      <c r="B473" s="63" t="s">
        <v>152</v>
      </c>
      <c r="C473" s="63" t="s">
        <v>113</v>
      </c>
      <c r="D473" s="82">
        <v>1</v>
      </c>
    </row>
    <row r="474" spans="1:4" x14ac:dyDescent="0.2">
      <c r="A474" s="81">
        <v>45919</v>
      </c>
      <c r="B474" s="63" t="s">
        <v>152</v>
      </c>
      <c r="C474" s="63" t="s">
        <v>113</v>
      </c>
      <c r="D474" s="82">
        <v>1</v>
      </c>
    </row>
    <row r="475" spans="1:4" x14ac:dyDescent="0.2">
      <c r="A475" s="81">
        <v>45920</v>
      </c>
      <c r="B475" s="63" t="s">
        <v>152</v>
      </c>
      <c r="C475" s="63" t="s">
        <v>113</v>
      </c>
      <c r="D475" s="82">
        <v>1</v>
      </c>
    </row>
    <row r="476" spans="1:4" x14ac:dyDescent="0.2">
      <c r="A476" s="81">
        <v>45921</v>
      </c>
      <c r="B476" s="63" t="s">
        <v>152</v>
      </c>
      <c r="C476" s="63" t="s">
        <v>113</v>
      </c>
      <c r="D476" s="82">
        <v>1</v>
      </c>
    </row>
    <row r="477" spans="1:4" x14ac:dyDescent="0.2">
      <c r="A477" s="81">
        <v>45922</v>
      </c>
      <c r="B477" s="63" t="s">
        <v>152</v>
      </c>
      <c r="C477" s="63" t="s">
        <v>113</v>
      </c>
      <c r="D477" s="82">
        <v>1</v>
      </c>
    </row>
    <row r="478" spans="1:4" x14ac:dyDescent="0.2">
      <c r="A478" s="81">
        <v>45923</v>
      </c>
      <c r="B478" s="63" t="s">
        <v>152</v>
      </c>
      <c r="C478" s="63" t="s">
        <v>113</v>
      </c>
      <c r="D478" s="82">
        <v>1</v>
      </c>
    </row>
    <row r="479" spans="1:4" x14ac:dyDescent="0.2">
      <c r="A479" s="81">
        <v>45924</v>
      </c>
      <c r="B479" s="63" t="s">
        <v>152</v>
      </c>
      <c r="C479" s="63" t="s">
        <v>113</v>
      </c>
      <c r="D479" s="82">
        <v>1</v>
      </c>
    </row>
    <row r="480" spans="1:4" x14ac:dyDescent="0.2">
      <c r="A480" s="81">
        <v>45925</v>
      </c>
      <c r="B480" s="63" t="s">
        <v>152</v>
      </c>
      <c r="C480" s="63" t="s">
        <v>113</v>
      </c>
      <c r="D480" s="82">
        <v>1</v>
      </c>
    </row>
    <row r="481" spans="1:4" x14ac:dyDescent="0.2">
      <c r="A481" s="81">
        <v>45926</v>
      </c>
      <c r="B481" s="63" t="s">
        <v>152</v>
      </c>
      <c r="C481" s="63" t="s">
        <v>113</v>
      </c>
      <c r="D481" s="82">
        <v>1</v>
      </c>
    </row>
    <row r="482" spans="1:4" x14ac:dyDescent="0.2">
      <c r="A482" s="81">
        <v>45927</v>
      </c>
      <c r="B482" s="63" t="s">
        <v>152</v>
      </c>
      <c r="C482" s="63" t="s">
        <v>113</v>
      </c>
      <c r="D482" s="82">
        <v>1</v>
      </c>
    </row>
    <row r="483" spans="1:4" x14ac:dyDescent="0.2">
      <c r="A483" s="81">
        <v>45928</v>
      </c>
      <c r="B483" s="63" t="s">
        <v>152</v>
      </c>
      <c r="C483" s="63" t="s">
        <v>113</v>
      </c>
      <c r="D483" s="82">
        <v>1</v>
      </c>
    </row>
    <row r="484" spans="1:4" x14ac:dyDescent="0.2">
      <c r="A484" s="81">
        <v>45929</v>
      </c>
      <c r="B484" s="63" t="s">
        <v>152</v>
      </c>
      <c r="C484" s="63" t="s">
        <v>113</v>
      </c>
      <c r="D484" s="82">
        <v>1</v>
      </c>
    </row>
    <row r="485" spans="1:4" ht="15" thickBot="1" x14ac:dyDescent="0.25">
      <c r="A485" s="85">
        <v>45930</v>
      </c>
      <c r="B485" s="86" t="s">
        <v>152</v>
      </c>
      <c r="C485" s="86" t="s">
        <v>113</v>
      </c>
      <c r="D485" s="87">
        <v>1</v>
      </c>
    </row>
    <row r="486" spans="1:4" x14ac:dyDescent="0.2">
      <c r="A486" s="78">
        <v>45931</v>
      </c>
      <c r="B486" s="79" t="s">
        <v>152</v>
      </c>
      <c r="C486" s="79" t="s">
        <v>113</v>
      </c>
      <c r="D486" s="80">
        <v>1</v>
      </c>
    </row>
    <row r="487" spans="1:4" x14ac:dyDescent="0.2">
      <c r="A487" s="81">
        <v>45932</v>
      </c>
      <c r="B487" s="63" t="s">
        <v>152</v>
      </c>
      <c r="C487" s="63" t="s">
        <v>113</v>
      </c>
      <c r="D487" s="82">
        <v>1</v>
      </c>
    </row>
    <row r="488" spans="1:4" x14ac:dyDescent="0.2">
      <c r="A488" s="81">
        <v>45933</v>
      </c>
      <c r="B488" s="63" t="s">
        <v>152</v>
      </c>
      <c r="C488" s="63" t="s">
        <v>113</v>
      </c>
      <c r="D488" s="82">
        <v>1</v>
      </c>
    </row>
    <row r="489" spans="1:4" x14ac:dyDescent="0.2">
      <c r="A489" s="81">
        <v>45934</v>
      </c>
      <c r="B489" s="63" t="s">
        <v>152</v>
      </c>
      <c r="C489" s="63" t="s">
        <v>113</v>
      </c>
      <c r="D489" s="82">
        <v>1</v>
      </c>
    </row>
    <row r="490" spans="1:4" x14ac:dyDescent="0.2">
      <c r="A490" s="81">
        <v>45935</v>
      </c>
      <c r="B490" s="63" t="s">
        <v>152</v>
      </c>
      <c r="C490" s="63" t="s">
        <v>113</v>
      </c>
      <c r="D490" s="82">
        <v>1</v>
      </c>
    </row>
    <row r="491" spans="1:4" x14ac:dyDescent="0.2">
      <c r="A491" s="81">
        <v>45936</v>
      </c>
      <c r="B491" s="63" t="s">
        <v>152</v>
      </c>
      <c r="C491" s="63" t="s">
        <v>113</v>
      </c>
      <c r="D491" s="82">
        <v>1</v>
      </c>
    </row>
    <row r="492" spans="1:4" x14ac:dyDescent="0.2">
      <c r="A492" s="81">
        <v>45937</v>
      </c>
      <c r="B492" s="63" t="s">
        <v>152</v>
      </c>
      <c r="C492" s="63" t="s">
        <v>113</v>
      </c>
      <c r="D492" s="82">
        <v>1</v>
      </c>
    </row>
    <row r="493" spans="1:4" x14ac:dyDescent="0.2">
      <c r="A493" s="81">
        <v>45938</v>
      </c>
      <c r="B493" s="63" t="s">
        <v>152</v>
      </c>
      <c r="C493" s="63" t="s">
        <v>113</v>
      </c>
      <c r="D493" s="82">
        <v>1</v>
      </c>
    </row>
    <row r="494" spans="1:4" x14ac:dyDescent="0.2">
      <c r="A494" s="81">
        <v>45939</v>
      </c>
      <c r="B494" s="63" t="s">
        <v>152</v>
      </c>
      <c r="C494" s="63" t="s">
        <v>113</v>
      </c>
      <c r="D494" s="82">
        <v>1</v>
      </c>
    </row>
    <row r="495" spans="1:4" x14ac:dyDescent="0.2">
      <c r="A495" s="81">
        <v>45940</v>
      </c>
      <c r="B495" s="63" t="s">
        <v>152</v>
      </c>
      <c r="C495" s="63" t="s">
        <v>113</v>
      </c>
      <c r="D495" s="82">
        <v>1</v>
      </c>
    </row>
    <row r="496" spans="1:4" x14ac:dyDescent="0.2">
      <c r="A496" s="81">
        <v>45941</v>
      </c>
      <c r="B496" s="63" t="s">
        <v>152</v>
      </c>
      <c r="C496" s="63" t="s">
        <v>113</v>
      </c>
      <c r="D496" s="82">
        <v>1</v>
      </c>
    </row>
    <row r="497" spans="1:4" x14ac:dyDescent="0.2">
      <c r="A497" s="81">
        <v>45942</v>
      </c>
      <c r="B497" s="63" t="s">
        <v>152</v>
      </c>
      <c r="C497" s="63" t="s">
        <v>113</v>
      </c>
      <c r="D497" s="82">
        <v>1</v>
      </c>
    </row>
    <row r="498" spans="1:4" x14ac:dyDescent="0.2">
      <c r="A498" s="81">
        <v>45943</v>
      </c>
      <c r="B498" s="63" t="s">
        <v>152</v>
      </c>
      <c r="C498" s="63" t="s">
        <v>113</v>
      </c>
      <c r="D498" s="82">
        <v>1</v>
      </c>
    </row>
    <row r="499" spans="1:4" x14ac:dyDescent="0.2">
      <c r="A499" s="81">
        <v>45944</v>
      </c>
      <c r="B499" s="63" t="s">
        <v>152</v>
      </c>
      <c r="C499" s="63" t="s">
        <v>113</v>
      </c>
      <c r="D499" s="82">
        <v>1</v>
      </c>
    </row>
    <row r="500" spans="1:4" x14ac:dyDescent="0.2">
      <c r="A500" s="81">
        <v>45945</v>
      </c>
      <c r="B500" s="63" t="s">
        <v>152</v>
      </c>
      <c r="C500" s="63" t="s">
        <v>113</v>
      </c>
      <c r="D500" s="82">
        <v>1</v>
      </c>
    </row>
    <row r="501" spans="1:4" x14ac:dyDescent="0.2">
      <c r="A501" s="81">
        <v>45946</v>
      </c>
      <c r="B501" s="63" t="s">
        <v>152</v>
      </c>
      <c r="C501" s="63" t="s">
        <v>113</v>
      </c>
      <c r="D501" s="82">
        <v>1</v>
      </c>
    </row>
    <row r="502" spans="1:4" x14ac:dyDescent="0.2">
      <c r="A502" s="81">
        <v>45947</v>
      </c>
      <c r="B502" s="63" t="s">
        <v>152</v>
      </c>
      <c r="C502" s="63" t="s">
        <v>113</v>
      </c>
      <c r="D502" s="82">
        <v>1</v>
      </c>
    </row>
    <row r="503" spans="1:4" x14ac:dyDescent="0.2">
      <c r="A503" s="81">
        <v>45948</v>
      </c>
      <c r="B503" s="63" t="s">
        <v>152</v>
      </c>
      <c r="C503" s="63" t="s">
        <v>113</v>
      </c>
      <c r="D503" s="82">
        <v>1</v>
      </c>
    </row>
    <row r="504" spans="1:4" x14ac:dyDescent="0.2">
      <c r="A504" s="81">
        <v>45949</v>
      </c>
      <c r="B504" s="63" t="s">
        <v>152</v>
      </c>
      <c r="C504" s="63" t="s">
        <v>113</v>
      </c>
      <c r="D504" s="82">
        <v>1</v>
      </c>
    </row>
    <row r="505" spans="1:4" x14ac:dyDescent="0.2">
      <c r="A505" s="81">
        <v>45950</v>
      </c>
      <c r="B505" s="63" t="s">
        <v>152</v>
      </c>
      <c r="C505" s="63" t="s">
        <v>113</v>
      </c>
      <c r="D505" s="82">
        <v>1</v>
      </c>
    </row>
    <row r="506" spans="1:4" x14ac:dyDescent="0.2">
      <c r="A506" s="81">
        <v>45951</v>
      </c>
      <c r="B506" s="63" t="s">
        <v>152</v>
      </c>
      <c r="C506" s="63" t="s">
        <v>113</v>
      </c>
      <c r="D506" s="82">
        <v>1</v>
      </c>
    </row>
    <row r="507" spans="1:4" x14ac:dyDescent="0.2">
      <c r="A507" s="81">
        <v>45952</v>
      </c>
      <c r="B507" s="63" t="s">
        <v>152</v>
      </c>
      <c r="C507" s="63" t="s">
        <v>113</v>
      </c>
      <c r="D507" s="82">
        <v>1</v>
      </c>
    </row>
    <row r="508" spans="1:4" x14ac:dyDescent="0.2">
      <c r="A508" s="81">
        <v>45953</v>
      </c>
      <c r="B508" s="63" t="s">
        <v>152</v>
      </c>
      <c r="C508" s="63" t="s">
        <v>113</v>
      </c>
      <c r="D508" s="82">
        <v>1</v>
      </c>
    </row>
    <row r="509" spans="1:4" x14ac:dyDescent="0.2">
      <c r="A509" s="81">
        <v>45954</v>
      </c>
      <c r="B509" s="63" t="s">
        <v>152</v>
      </c>
      <c r="C509" s="63" t="s">
        <v>113</v>
      </c>
      <c r="D509" s="82">
        <v>1</v>
      </c>
    </row>
    <row r="510" spans="1:4" x14ac:dyDescent="0.2">
      <c r="A510" s="81">
        <v>45955</v>
      </c>
      <c r="B510" s="63" t="s">
        <v>152</v>
      </c>
      <c r="C510" s="63" t="s">
        <v>113</v>
      </c>
      <c r="D510" s="82">
        <v>1</v>
      </c>
    </row>
    <row r="511" spans="1:4" x14ac:dyDescent="0.2">
      <c r="A511" s="81">
        <v>45956</v>
      </c>
      <c r="B511" s="63" t="s">
        <v>152</v>
      </c>
      <c r="C511" s="63" t="s">
        <v>113</v>
      </c>
      <c r="D511" s="82">
        <v>1</v>
      </c>
    </row>
    <row r="512" spans="1:4" x14ac:dyDescent="0.2">
      <c r="A512" s="81">
        <v>45957</v>
      </c>
      <c r="B512" s="63" t="s">
        <v>152</v>
      </c>
      <c r="C512" s="63" t="s">
        <v>113</v>
      </c>
      <c r="D512" s="82">
        <v>1</v>
      </c>
    </row>
    <row r="513" spans="1:4" x14ac:dyDescent="0.2">
      <c r="A513" s="81">
        <v>45958</v>
      </c>
      <c r="B513" s="63" t="s">
        <v>152</v>
      </c>
      <c r="C513" s="63" t="s">
        <v>113</v>
      </c>
      <c r="D513" s="82">
        <v>1</v>
      </c>
    </row>
    <row r="514" spans="1:4" x14ac:dyDescent="0.2">
      <c r="A514" s="81">
        <v>45959</v>
      </c>
      <c r="B514" s="63" t="s">
        <v>152</v>
      </c>
      <c r="C514" s="63" t="s">
        <v>113</v>
      </c>
      <c r="D514" s="82">
        <v>1</v>
      </c>
    </row>
    <row r="515" spans="1:4" x14ac:dyDescent="0.2">
      <c r="A515" s="81">
        <v>45960</v>
      </c>
      <c r="B515" s="63" t="s">
        <v>152</v>
      </c>
      <c r="C515" s="63" t="s">
        <v>113</v>
      </c>
      <c r="D515" s="82">
        <v>1</v>
      </c>
    </row>
    <row r="516" spans="1:4" ht="15" thickBot="1" x14ac:dyDescent="0.25">
      <c r="A516" s="85">
        <v>45961</v>
      </c>
      <c r="B516" s="86" t="s">
        <v>152</v>
      </c>
      <c r="C516" s="86" t="s">
        <v>113</v>
      </c>
      <c r="D516" s="87">
        <v>1</v>
      </c>
    </row>
    <row r="517" spans="1:4" ht="15" thickBot="1" x14ac:dyDescent="0.25">
      <c r="A517" s="98">
        <v>45962</v>
      </c>
      <c r="B517" s="99" t="s">
        <v>152</v>
      </c>
      <c r="C517" s="99" t="s">
        <v>113</v>
      </c>
      <c r="D517" s="99">
        <v>1</v>
      </c>
    </row>
    <row r="518" spans="1:4" x14ac:dyDescent="0.2">
      <c r="A518" s="78">
        <v>45984</v>
      </c>
      <c r="B518" s="79" t="s">
        <v>152</v>
      </c>
      <c r="C518" s="79" t="s">
        <v>113</v>
      </c>
      <c r="D518" s="80">
        <v>1</v>
      </c>
    </row>
    <row r="519" spans="1:4" x14ac:dyDescent="0.2">
      <c r="A519" s="81">
        <v>45985</v>
      </c>
      <c r="B519" s="63" t="s">
        <v>152</v>
      </c>
      <c r="C519" s="63" t="s">
        <v>113</v>
      </c>
      <c r="D519" s="82">
        <v>1</v>
      </c>
    </row>
    <row r="520" spans="1:4" x14ac:dyDescent="0.2">
      <c r="A520" s="81">
        <v>45986</v>
      </c>
      <c r="B520" s="63" t="s">
        <v>152</v>
      </c>
      <c r="C520" s="63" t="s">
        <v>113</v>
      </c>
      <c r="D520" s="82">
        <v>1</v>
      </c>
    </row>
    <row r="521" spans="1:4" x14ac:dyDescent="0.2">
      <c r="A521" s="81">
        <v>45987</v>
      </c>
      <c r="B521" s="63" t="s">
        <v>152</v>
      </c>
      <c r="C521" s="63" t="s">
        <v>113</v>
      </c>
      <c r="D521" s="82">
        <v>1</v>
      </c>
    </row>
    <row r="522" spans="1:4" x14ac:dyDescent="0.2">
      <c r="A522" s="81">
        <v>45988</v>
      </c>
      <c r="B522" s="63" t="s">
        <v>152</v>
      </c>
      <c r="C522" s="63" t="s">
        <v>113</v>
      </c>
      <c r="D522" s="82">
        <v>1</v>
      </c>
    </row>
    <row r="523" spans="1:4" x14ac:dyDescent="0.2">
      <c r="A523" s="81">
        <v>45989</v>
      </c>
      <c r="B523" s="63" t="s">
        <v>152</v>
      </c>
      <c r="C523" s="63" t="s">
        <v>113</v>
      </c>
      <c r="D523" s="82">
        <v>1</v>
      </c>
    </row>
    <row r="524" spans="1:4" ht="15" thickBot="1" x14ac:dyDescent="0.25">
      <c r="A524" s="95">
        <v>45990</v>
      </c>
      <c r="B524" s="96" t="s">
        <v>152</v>
      </c>
      <c r="C524" s="96" t="s">
        <v>113</v>
      </c>
      <c r="D524" s="97">
        <v>1</v>
      </c>
    </row>
    <row r="525" spans="1:4" ht="15" thickBot="1" x14ac:dyDescent="0.25">
      <c r="A525" s="98">
        <v>45666</v>
      </c>
      <c r="B525" s="99" t="s">
        <v>155</v>
      </c>
      <c r="C525" s="99" t="s">
        <v>113</v>
      </c>
      <c r="D525" s="99">
        <v>1</v>
      </c>
    </row>
    <row r="526" spans="1:4" x14ac:dyDescent="0.2">
      <c r="A526" s="78">
        <v>45686</v>
      </c>
      <c r="B526" s="79" t="s">
        <v>155</v>
      </c>
      <c r="C526" s="79" t="s">
        <v>113</v>
      </c>
      <c r="D526" s="80">
        <v>1</v>
      </c>
    </row>
    <row r="527" spans="1:4" ht="15" thickBot="1" x14ac:dyDescent="0.25">
      <c r="A527" s="85">
        <v>45687</v>
      </c>
      <c r="B527" s="86" t="s">
        <v>155</v>
      </c>
      <c r="C527" s="86" t="s">
        <v>113</v>
      </c>
      <c r="D527" s="87">
        <v>1</v>
      </c>
    </row>
    <row r="528" spans="1:4" ht="15" thickBot="1" x14ac:dyDescent="0.25">
      <c r="A528" s="98">
        <v>45711</v>
      </c>
      <c r="B528" s="99" t="s">
        <v>155</v>
      </c>
      <c r="C528" s="99" t="s">
        <v>113</v>
      </c>
      <c r="D528" s="99">
        <v>1</v>
      </c>
    </row>
    <row r="529" spans="1:4" ht="15" thickBot="1" x14ac:dyDescent="0.25">
      <c r="A529" s="102">
        <v>45714</v>
      </c>
      <c r="B529" s="103" t="s">
        <v>155</v>
      </c>
      <c r="C529" s="103" t="s">
        <v>113</v>
      </c>
      <c r="D529" s="104">
        <v>1</v>
      </c>
    </row>
    <row r="530" spans="1:4" ht="15" thickBot="1" x14ac:dyDescent="0.25">
      <c r="A530" s="98">
        <v>45721</v>
      </c>
      <c r="B530" s="99" t="s">
        <v>155</v>
      </c>
      <c r="C530" s="99" t="s">
        <v>113</v>
      </c>
      <c r="D530" s="99">
        <v>1</v>
      </c>
    </row>
    <row r="531" spans="1:4" x14ac:dyDescent="0.2">
      <c r="A531" s="78">
        <v>45740</v>
      </c>
      <c r="B531" s="79" t="s">
        <v>155</v>
      </c>
      <c r="C531" s="79" t="s">
        <v>113</v>
      </c>
      <c r="D531" s="80">
        <v>1</v>
      </c>
    </row>
    <row r="532" spans="1:4" ht="15" thickBot="1" x14ac:dyDescent="0.25">
      <c r="A532" s="85">
        <v>45741</v>
      </c>
      <c r="B532" s="86" t="s">
        <v>155</v>
      </c>
      <c r="C532" s="86" t="s">
        <v>113</v>
      </c>
      <c r="D532" s="87">
        <v>1</v>
      </c>
    </row>
    <row r="533" spans="1:4" x14ac:dyDescent="0.2">
      <c r="A533" s="88">
        <v>45743</v>
      </c>
      <c r="B533" s="69" t="s">
        <v>155</v>
      </c>
      <c r="C533" s="69" t="s">
        <v>113</v>
      </c>
      <c r="D533" s="69">
        <v>1</v>
      </c>
    </row>
    <row r="534" spans="1:4" x14ac:dyDescent="0.2">
      <c r="A534" s="71">
        <v>45768</v>
      </c>
      <c r="B534" s="63" t="s">
        <v>155</v>
      </c>
      <c r="C534" s="63" t="s">
        <v>113</v>
      </c>
      <c r="D534" s="63">
        <v>1</v>
      </c>
    </row>
    <row r="535" spans="1:4" x14ac:dyDescent="0.2">
      <c r="A535" s="71">
        <v>45774</v>
      </c>
      <c r="B535" s="63" t="s">
        <v>155</v>
      </c>
      <c r="C535" s="63" t="s">
        <v>113</v>
      </c>
      <c r="D535" s="63">
        <v>1</v>
      </c>
    </row>
    <row r="536" spans="1:4" ht="15" thickBot="1" x14ac:dyDescent="0.25">
      <c r="A536" s="100">
        <v>45781</v>
      </c>
      <c r="B536" s="101" t="s">
        <v>155</v>
      </c>
      <c r="C536" s="101" t="s">
        <v>113</v>
      </c>
      <c r="D536" s="101">
        <v>1</v>
      </c>
    </row>
    <row r="537" spans="1:4" x14ac:dyDescent="0.2">
      <c r="A537" s="78">
        <v>45789</v>
      </c>
      <c r="B537" s="79" t="s">
        <v>155</v>
      </c>
      <c r="C537" s="79" t="s">
        <v>113</v>
      </c>
      <c r="D537" s="80">
        <v>1</v>
      </c>
    </row>
    <row r="538" spans="1:4" x14ac:dyDescent="0.2">
      <c r="A538" s="81">
        <v>45790</v>
      </c>
      <c r="B538" s="63" t="s">
        <v>155</v>
      </c>
      <c r="C538" s="63" t="s">
        <v>113</v>
      </c>
      <c r="D538" s="82">
        <v>1</v>
      </c>
    </row>
    <row r="539" spans="1:4" x14ac:dyDescent="0.2">
      <c r="A539" s="81">
        <v>45791</v>
      </c>
      <c r="B539" s="63" t="s">
        <v>155</v>
      </c>
      <c r="C539" s="63" t="s">
        <v>113</v>
      </c>
      <c r="D539" s="82">
        <v>1</v>
      </c>
    </row>
    <row r="540" spans="1:4" ht="15" thickBot="1" x14ac:dyDescent="0.25">
      <c r="A540" s="85">
        <v>45792</v>
      </c>
      <c r="B540" s="86" t="s">
        <v>155</v>
      </c>
      <c r="C540" s="86" t="s">
        <v>113</v>
      </c>
      <c r="D540" s="87">
        <v>1</v>
      </c>
    </row>
    <row r="541" spans="1:4" x14ac:dyDescent="0.2">
      <c r="A541" s="78">
        <v>45796</v>
      </c>
      <c r="B541" s="79" t="s">
        <v>155</v>
      </c>
      <c r="C541" s="79" t="s">
        <v>113</v>
      </c>
      <c r="D541" s="80">
        <v>1</v>
      </c>
    </row>
    <row r="542" spans="1:4" x14ac:dyDescent="0.2">
      <c r="A542" s="81">
        <v>45797</v>
      </c>
      <c r="B542" s="63" t="s">
        <v>155</v>
      </c>
      <c r="C542" s="63" t="s">
        <v>113</v>
      </c>
      <c r="D542" s="82">
        <v>1</v>
      </c>
    </row>
    <row r="543" spans="1:4" x14ac:dyDescent="0.2">
      <c r="A543" s="81">
        <v>45798</v>
      </c>
      <c r="B543" s="63" t="s">
        <v>155</v>
      </c>
      <c r="C543" s="63" t="s">
        <v>113</v>
      </c>
      <c r="D543" s="82">
        <v>1</v>
      </c>
    </row>
    <row r="544" spans="1:4" ht="15" thickBot="1" x14ac:dyDescent="0.25">
      <c r="A544" s="85">
        <v>45799</v>
      </c>
      <c r="B544" s="86" t="s">
        <v>155</v>
      </c>
      <c r="C544" s="86" t="s">
        <v>113</v>
      </c>
      <c r="D544" s="87">
        <v>1</v>
      </c>
    </row>
    <row r="545" spans="1:4" x14ac:dyDescent="0.2">
      <c r="A545" s="78">
        <v>45802</v>
      </c>
      <c r="B545" s="79" t="s">
        <v>155</v>
      </c>
      <c r="C545" s="79" t="s">
        <v>113</v>
      </c>
      <c r="D545" s="80">
        <v>1</v>
      </c>
    </row>
    <row r="546" spans="1:4" x14ac:dyDescent="0.2">
      <c r="A546" s="81">
        <v>45803</v>
      </c>
      <c r="B546" s="63" t="s">
        <v>155</v>
      </c>
      <c r="C546" s="63" t="s">
        <v>113</v>
      </c>
      <c r="D546" s="82">
        <v>1</v>
      </c>
    </row>
    <row r="547" spans="1:4" ht="15" thickBot="1" x14ac:dyDescent="0.25">
      <c r="A547" s="85">
        <v>45804</v>
      </c>
      <c r="B547" s="86" t="s">
        <v>155</v>
      </c>
      <c r="C547" s="86" t="s">
        <v>113</v>
      </c>
      <c r="D547" s="87">
        <v>1</v>
      </c>
    </row>
    <row r="548" spans="1:4" x14ac:dyDescent="0.2">
      <c r="A548" s="88">
        <v>45853</v>
      </c>
      <c r="B548" s="69" t="s">
        <v>155</v>
      </c>
      <c r="C548" s="69" t="s">
        <v>113</v>
      </c>
      <c r="D548" s="69">
        <v>1</v>
      </c>
    </row>
    <row r="549" spans="1:4" x14ac:dyDescent="0.2">
      <c r="A549" s="71">
        <v>45873</v>
      </c>
      <c r="B549" s="63" t="s">
        <v>155</v>
      </c>
      <c r="C549" s="63" t="s">
        <v>113</v>
      </c>
      <c r="D549" s="63">
        <v>1</v>
      </c>
    </row>
    <row r="550" spans="1:4" ht="15" thickBot="1" x14ac:dyDescent="0.25">
      <c r="A550" s="100">
        <v>45882</v>
      </c>
      <c r="B550" s="101" t="s">
        <v>155</v>
      </c>
      <c r="C550" s="101" t="s">
        <v>113</v>
      </c>
      <c r="D550" s="101">
        <v>1</v>
      </c>
    </row>
    <row r="551" spans="1:4" x14ac:dyDescent="0.2">
      <c r="A551" s="78">
        <v>45886</v>
      </c>
      <c r="B551" s="79" t="s">
        <v>155</v>
      </c>
      <c r="C551" s="79" t="s">
        <v>113</v>
      </c>
      <c r="D551" s="80">
        <v>1</v>
      </c>
    </row>
    <row r="552" spans="1:4" x14ac:dyDescent="0.2">
      <c r="A552" s="81">
        <v>45887</v>
      </c>
      <c r="B552" s="63" t="s">
        <v>155</v>
      </c>
      <c r="C552" s="63" t="s">
        <v>113</v>
      </c>
      <c r="D552" s="82">
        <v>1</v>
      </c>
    </row>
    <row r="553" spans="1:4" ht="15" thickBot="1" x14ac:dyDescent="0.25">
      <c r="A553" s="85">
        <v>45888</v>
      </c>
      <c r="B553" s="86" t="s">
        <v>155</v>
      </c>
      <c r="C553" s="86" t="s">
        <v>113</v>
      </c>
      <c r="D553" s="87">
        <v>1</v>
      </c>
    </row>
    <row r="554" spans="1:4" x14ac:dyDescent="0.2">
      <c r="A554" s="78">
        <v>45909</v>
      </c>
      <c r="B554" s="79" t="s">
        <v>155</v>
      </c>
      <c r="C554" s="79" t="s">
        <v>113</v>
      </c>
      <c r="D554" s="80">
        <v>1</v>
      </c>
    </row>
    <row r="555" spans="1:4" x14ac:dyDescent="0.2">
      <c r="A555" s="81">
        <v>45910</v>
      </c>
      <c r="B555" s="63" t="s">
        <v>155</v>
      </c>
      <c r="C555" s="63" t="s">
        <v>113</v>
      </c>
      <c r="D555" s="82">
        <v>1</v>
      </c>
    </row>
    <row r="556" spans="1:4" ht="15" thickBot="1" x14ac:dyDescent="0.25">
      <c r="A556" s="85">
        <v>45911</v>
      </c>
      <c r="B556" s="86" t="s">
        <v>155</v>
      </c>
      <c r="C556" s="86" t="s">
        <v>113</v>
      </c>
      <c r="D556" s="87">
        <v>1</v>
      </c>
    </row>
    <row r="557" spans="1:4" ht="15" thickBot="1" x14ac:dyDescent="0.25">
      <c r="A557" s="98">
        <v>45914</v>
      </c>
      <c r="B557" s="99" t="s">
        <v>155</v>
      </c>
      <c r="C557" s="99" t="s">
        <v>113</v>
      </c>
      <c r="D557" s="99">
        <v>1</v>
      </c>
    </row>
    <row r="558" spans="1:4" x14ac:dyDescent="0.2">
      <c r="A558" s="78">
        <v>45952</v>
      </c>
      <c r="B558" s="79" t="s">
        <v>155</v>
      </c>
      <c r="C558" s="79" t="s">
        <v>113</v>
      </c>
      <c r="D558" s="80">
        <v>1</v>
      </c>
    </row>
    <row r="559" spans="1:4" ht="15" thickBot="1" x14ac:dyDescent="0.25">
      <c r="A559" s="85">
        <v>45953</v>
      </c>
      <c r="B559" s="86" t="s">
        <v>155</v>
      </c>
      <c r="C559" s="86" t="s">
        <v>113</v>
      </c>
      <c r="D559" s="87">
        <v>1</v>
      </c>
    </row>
    <row r="560" spans="1:4" ht="15" thickBot="1" x14ac:dyDescent="0.25">
      <c r="A560" s="98">
        <v>45957</v>
      </c>
      <c r="B560" s="99" t="s">
        <v>155</v>
      </c>
      <c r="C560" s="99" t="s">
        <v>113</v>
      </c>
      <c r="D560" s="99">
        <v>1</v>
      </c>
    </row>
    <row r="561" spans="1:5" ht="15" thickBot="1" x14ac:dyDescent="0.25">
      <c r="A561" s="102">
        <v>45966</v>
      </c>
      <c r="B561" s="103" t="s">
        <v>155</v>
      </c>
      <c r="C561" s="103" t="s">
        <v>113</v>
      </c>
      <c r="D561" s="104">
        <v>1</v>
      </c>
    </row>
    <row r="562" spans="1:5" x14ac:dyDescent="0.2">
      <c r="A562" s="78">
        <v>45985</v>
      </c>
      <c r="B562" s="79" t="s">
        <v>155</v>
      </c>
      <c r="C562" s="79" t="s">
        <v>113</v>
      </c>
      <c r="D562" s="80">
        <v>1</v>
      </c>
    </row>
    <row r="563" spans="1:5" ht="15" thickBot="1" x14ac:dyDescent="0.25">
      <c r="A563" s="85">
        <v>45986</v>
      </c>
      <c r="B563" s="86" t="s">
        <v>155</v>
      </c>
      <c r="C563" s="86" t="s">
        <v>113</v>
      </c>
      <c r="D563" s="87">
        <v>1</v>
      </c>
    </row>
    <row r="564" spans="1:5" ht="15" thickBot="1" x14ac:dyDescent="0.25">
      <c r="A564" s="98">
        <v>45994</v>
      </c>
      <c r="B564" s="99" t="s">
        <v>155</v>
      </c>
      <c r="C564" s="99" t="s">
        <v>113</v>
      </c>
      <c r="D564" s="99">
        <v>1</v>
      </c>
      <c r="E564" t="s">
        <v>596</v>
      </c>
    </row>
    <row r="565" spans="1:5" ht="15" thickBot="1" x14ac:dyDescent="0.25">
      <c r="A565" s="102">
        <v>46014</v>
      </c>
      <c r="B565" s="103" t="s">
        <v>155</v>
      </c>
      <c r="C565" s="103" t="s">
        <v>113</v>
      </c>
      <c r="D565" s="104">
        <v>1</v>
      </c>
      <c r="E565" t="s">
        <v>596</v>
      </c>
    </row>
    <row r="566" spans="1:5" ht="15" thickBot="1" x14ac:dyDescent="0.25">
      <c r="A566" s="110">
        <v>46016</v>
      </c>
      <c r="B566" s="111" t="s">
        <v>155</v>
      </c>
      <c r="C566" s="111" t="s">
        <v>113</v>
      </c>
      <c r="D566" s="111">
        <v>1</v>
      </c>
      <c r="E566" t="s">
        <v>596</v>
      </c>
    </row>
    <row r="567" spans="1:5" x14ac:dyDescent="0.2">
      <c r="A567" s="78">
        <v>45734</v>
      </c>
      <c r="B567" s="79" t="s">
        <v>157</v>
      </c>
      <c r="C567" s="79" t="s">
        <v>135</v>
      </c>
      <c r="D567" s="80">
        <v>1</v>
      </c>
    </row>
    <row r="568" spans="1:5" x14ac:dyDescent="0.2">
      <c r="A568" s="81">
        <v>45735</v>
      </c>
      <c r="B568" s="63" t="s">
        <v>157</v>
      </c>
      <c r="C568" s="63" t="s">
        <v>135</v>
      </c>
      <c r="D568" s="82">
        <v>1</v>
      </c>
    </row>
    <row r="569" spans="1:5" ht="15" thickBot="1" x14ac:dyDescent="0.25">
      <c r="A569" s="85">
        <v>45736</v>
      </c>
      <c r="B569" s="86" t="s">
        <v>157</v>
      </c>
      <c r="C569" s="86" t="s">
        <v>135</v>
      </c>
      <c r="D569" s="87">
        <v>1</v>
      </c>
    </row>
    <row r="570" spans="1:5" x14ac:dyDescent="0.2">
      <c r="A570" s="78">
        <v>45827</v>
      </c>
      <c r="B570" s="79" t="s">
        <v>157</v>
      </c>
      <c r="C570" s="79" t="s">
        <v>135</v>
      </c>
      <c r="D570" s="80">
        <v>1</v>
      </c>
    </row>
    <row r="571" spans="1:5" x14ac:dyDescent="0.2">
      <c r="A571" s="81">
        <v>45828</v>
      </c>
      <c r="B571" s="63" t="s">
        <v>157</v>
      </c>
      <c r="C571" s="63" t="s">
        <v>135</v>
      </c>
      <c r="D571" s="82">
        <v>1</v>
      </c>
    </row>
    <row r="572" spans="1:5" x14ac:dyDescent="0.2">
      <c r="A572" s="81">
        <v>45829</v>
      </c>
      <c r="B572" s="63" t="s">
        <v>157</v>
      </c>
      <c r="C572" s="63" t="s">
        <v>135</v>
      </c>
      <c r="D572" s="82">
        <v>1</v>
      </c>
    </row>
    <row r="573" spans="1:5" x14ac:dyDescent="0.2">
      <c r="A573" s="81">
        <v>45830</v>
      </c>
      <c r="B573" s="63" t="s">
        <v>157</v>
      </c>
      <c r="C573" s="63" t="s">
        <v>135</v>
      </c>
      <c r="D573" s="82">
        <v>1</v>
      </c>
    </row>
    <row r="574" spans="1:5" x14ac:dyDescent="0.2">
      <c r="A574" s="81">
        <v>45831</v>
      </c>
      <c r="B574" s="63" t="s">
        <v>157</v>
      </c>
      <c r="C574" s="63" t="s">
        <v>135</v>
      </c>
      <c r="D574" s="82">
        <v>1</v>
      </c>
    </row>
    <row r="575" spans="1:5" ht="15" thickBot="1" x14ac:dyDescent="0.25">
      <c r="A575" s="85">
        <v>45832</v>
      </c>
      <c r="B575" s="86" t="s">
        <v>157</v>
      </c>
      <c r="C575" s="86" t="s">
        <v>135</v>
      </c>
      <c r="D575" s="87">
        <v>1</v>
      </c>
    </row>
    <row r="576" spans="1:5" x14ac:dyDescent="0.2">
      <c r="A576" s="88">
        <v>45963</v>
      </c>
      <c r="B576" s="69" t="s">
        <v>582</v>
      </c>
      <c r="C576" s="69" t="s">
        <v>118</v>
      </c>
      <c r="D576" s="69">
        <v>1</v>
      </c>
    </row>
    <row r="577" spans="1:5" x14ac:dyDescent="0.2">
      <c r="A577" s="71">
        <v>45964</v>
      </c>
      <c r="B577" s="63" t="s">
        <v>582</v>
      </c>
      <c r="C577" s="63" t="s">
        <v>118</v>
      </c>
      <c r="D577" s="63">
        <v>1</v>
      </c>
    </row>
    <row r="578" spans="1:5" x14ac:dyDescent="0.2">
      <c r="A578" s="71">
        <v>45965</v>
      </c>
      <c r="B578" s="63" t="s">
        <v>582</v>
      </c>
      <c r="C578" s="63" t="s">
        <v>118</v>
      </c>
      <c r="D578" s="63">
        <v>1</v>
      </c>
    </row>
    <row r="579" spans="1:5" x14ac:dyDescent="0.2">
      <c r="A579" s="71">
        <v>45966</v>
      </c>
      <c r="B579" s="63" t="s">
        <v>582</v>
      </c>
      <c r="C579" s="63" t="s">
        <v>118</v>
      </c>
      <c r="D579" s="63">
        <v>1</v>
      </c>
    </row>
    <row r="580" spans="1:5" ht="15" thickBot="1" x14ac:dyDescent="0.25">
      <c r="A580" s="100">
        <v>45967</v>
      </c>
      <c r="B580" s="101" t="s">
        <v>582</v>
      </c>
      <c r="C580" s="101" t="s">
        <v>118</v>
      </c>
      <c r="D580" s="101">
        <v>1</v>
      </c>
    </row>
    <row r="581" spans="1:5" x14ac:dyDescent="0.2">
      <c r="A581" s="78">
        <v>45995</v>
      </c>
      <c r="B581" s="79" t="s">
        <v>582</v>
      </c>
      <c r="C581" s="79" t="s">
        <v>118</v>
      </c>
      <c r="D581" s="80">
        <v>1</v>
      </c>
      <c r="E581" t="s">
        <v>596</v>
      </c>
    </row>
    <row r="582" spans="1:5" x14ac:dyDescent="0.2">
      <c r="A582" s="81">
        <v>45996</v>
      </c>
      <c r="B582" s="63" t="s">
        <v>582</v>
      </c>
      <c r="C582" s="63" t="s">
        <v>118</v>
      </c>
      <c r="D582" s="82">
        <v>1</v>
      </c>
      <c r="E582" t="s">
        <v>596</v>
      </c>
    </row>
    <row r="583" spans="1:5" x14ac:dyDescent="0.2">
      <c r="A583" s="81">
        <v>45997</v>
      </c>
      <c r="B583" s="63" t="s">
        <v>582</v>
      </c>
      <c r="C583" s="63" t="s">
        <v>118</v>
      </c>
      <c r="D583" s="82">
        <v>1</v>
      </c>
      <c r="E583" t="s">
        <v>596</v>
      </c>
    </row>
    <row r="584" spans="1:5" ht="15" thickBot="1" x14ac:dyDescent="0.25">
      <c r="A584" s="85">
        <v>45998</v>
      </c>
      <c r="B584" s="86" t="s">
        <v>582</v>
      </c>
      <c r="C584" s="86" t="s">
        <v>118</v>
      </c>
      <c r="D584" s="87">
        <v>1</v>
      </c>
      <c r="E584" t="s">
        <v>596</v>
      </c>
    </row>
    <row r="585" spans="1:5" x14ac:dyDescent="0.2">
      <c r="A585" s="88">
        <v>46006</v>
      </c>
      <c r="B585" s="69" t="s">
        <v>582</v>
      </c>
      <c r="C585" s="69" t="s">
        <v>118</v>
      </c>
      <c r="D585" s="69">
        <v>1</v>
      </c>
      <c r="E585" t="s">
        <v>596</v>
      </c>
    </row>
    <row r="586" spans="1:5" x14ac:dyDescent="0.2">
      <c r="A586" s="89">
        <v>46008</v>
      </c>
      <c r="B586" s="90" t="s">
        <v>582</v>
      </c>
      <c r="C586" s="90" t="s">
        <v>118</v>
      </c>
      <c r="D586" s="90">
        <v>1</v>
      </c>
      <c r="E586" t="s">
        <v>596</v>
      </c>
    </row>
    <row r="587" spans="1:5" x14ac:dyDescent="0.2">
      <c r="A587" s="71">
        <v>45658</v>
      </c>
      <c r="B587" s="63" t="s">
        <v>160</v>
      </c>
      <c r="C587" s="63" t="s">
        <v>135</v>
      </c>
      <c r="D587" s="63">
        <v>1</v>
      </c>
    </row>
    <row r="588" spans="1:5" x14ac:dyDescent="0.2">
      <c r="A588" s="71">
        <v>45662</v>
      </c>
      <c r="B588" s="63" t="s">
        <v>160</v>
      </c>
      <c r="C588" s="63" t="s">
        <v>135</v>
      </c>
      <c r="D588" s="63">
        <v>1</v>
      </c>
    </row>
    <row r="589" spans="1:5" x14ac:dyDescent="0.2">
      <c r="A589" s="71">
        <v>45663</v>
      </c>
      <c r="B589" s="63" t="s">
        <v>160</v>
      </c>
      <c r="C589" s="63" t="s">
        <v>135</v>
      </c>
      <c r="D589" s="63">
        <v>1</v>
      </c>
    </row>
    <row r="590" spans="1:5" x14ac:dyDescent="0.2">
      <c r="A590" s="71">
        <v>45664</v>
      </c>
      <c r="B590" s="63" t="s">
        <v>160</v>
      </c>
      <c r="C590" s="63" t="s">
        <v>135</v>
      </c>
      <c r="D590" s="63">
        <v>1</v>
      </c>
    </row>
    <row r="591" spans="1:5" x14ac:dyDescent="0.2">
      <c r="A591" s="71">
        <v>45665</v>
      </c>
      <c r="B591" s="63" t="s">
        <v>160</v>
      </c>
      <c r="C591" s="63" t="s">
        <v>135</v>
      </c>
      <c r="D591" s="63">
        <v>1</v>
      </c>
    </row>
    <row r="592" spans="1:5" x14ac:dyDescent="0.2">
      <c r="A592" s="71">
        <v>45666</v>
      </c>
      <c r="B592" s="63" t="s">
        <v>160</v>
      </c>
      <c r="C592" s="63" t="s">
        <v>135</v>
      </c>
      <c r="D592" s="63">
        <v>1</v>
      </c>
    </row>
    <row r="593" spans="1:4" x14ac:dyDescent="0.2">
      <c r="A593" s="89">
        <v>45667</v>
      </c>
      <c r="B593" s="90" t="s">
        <v>160</v>
      </c>
      <c r="C593" s="90" t="s">
        <v>135</v>
      </c>
      <c r="D593" s="90">
        <v>1</v>
      </c>
    </row>
    <row r="594" spans="1:4" x14ac:dyDescent="0.2">
      <c r="A594" s="89">
        <v>45668</v>
      </c>
      <c r="B594" s="90" t="s">
        <v>160</v>
      </c>
      <c r="C594" s="90" t="s">
        <v>135</v>
      </c>
      <c r="D594" s="90">
        <v>1</v>
      </c>
    </row>
    <row r="595" spans="1:4" x14ac:dyDescent="0.2">
      <c r="A595" s="71">
        <v>45671</v>
      </c>
      <c r="B595" s="63" t="s">
        <v>160</v>
      </c>
      <c r="C595" s="63" t="s">
        <v>135</v>
      </c>
      <c r="D595" s="63">
        <v>1</v>
      </c>
    </row>
    <row r="596" spans="1:4" x14ac:dyDescent="0.2">
      <c r="A596" s="71">
        <v>45672</v>
      </c>
      <c r="B596" s="63" t="s">
        <v>160</v>
      </c>
      <c r="C596" s="63" t="s">
        <v>135</v>
      </c>
      <c r="D596" s="63">
        <v>1</v>
      </c>
    </row>
    <row r="597" spans="1:4" x14ac:dyDescent="0.2">
      <c r="A597" s="71">
        <v>45673</v>
      </c>
      <c r="B597" s="63" t="s">
        <v>160</v>
      </c>
      <c r="C597" s="63" t="s">
        <v>135</v>
      </c>
      <c r="D597" s="63">
        <v>1</v>
      </c>
    </row>
    <row r="598" spans="1:4" x14ac:dyDescent="0.2">
      <c r="A598" s="89">
        <v>45674</v>
      </c>
      <c r="B598" s="90" t="s">
        <v>160</v>
      </c>
      <c r="C598" s="90" t="s">
        <v>135</v>
      </c>
      <c r="D598" s="90">
        <v>1</v>
      </c>
    </row>
    <row r="599" spans="1:4" x14ac:dyDescent="0.2">
      <c r="A599" s="71">
        <v>45677</v>
      </c>
      <c r="B599" s="63" t="s">
        <v>160</v>
      </c>
      <c r="C599" s="63" t="s">
        <v>135</v>
      </c>
      <c r="D599" s="63">
        <v>1</v>
      </c>
    </row>
    <row r="600" spans="1:4" x14ac:dyDescent="0.2">
      <c r="A600" s="89">
        <v>45681</v>
      </c>
      <c r="B600" s="90" t="s">
        <v>160</v>
      </c>
      <c r="C600" s="90" t="s">
        <v>135</v>
      </c>
      <c r="D600" s="90">
        <v>1</v>
      </c>
    </row>
    <row r="601" spans="1:4" x14ac:dyDescent="0.2">
      <c r="A601" s="89">
        <v>45682</v>
      </c>
      <c r="B601" s="90" t="s">
        <v>160</v>
      </c>
      <c r="C601" s="90" t="s">
        <v>135</v>
      </c>
      <c r="D601" s="90">
        <v>1</v>
      </c>
    </row>
    <row r="602" spans="1:4" x14ac:dyDescent="0.2">
      <c r="A602" s="71">
        <v>45683</v>
      </c>
      <c r="B602" s="63" t="s">
        <v>160</v>
      </c>
      <c r="C602" s="63" t="s">
        <v>135</v>
      </c>
      <c r="D602" s="63">
        <v>1</v>
      </c>
    </row>
    <row r="603" spans="1:4" x14ac:dyDescent="0.2">
      <c r="A603" s="71">
        <v>45698</v>
      </c>
      <c r="B603" s="63" t="s">
        <v>160</v>
      </c>
      <c r="C603" s="63" t="s">
        <v>135</v>
      </c>
      <c r="D603" s="63">
        <v>1</v>
      </c>
    </row>
    <row r="604" spans="1:4" x14ac:dyDescent="0.2">
      <c r="A604" s="71">
        <v>45699</v>
      </c>
      <c r="B604" s="63" t="s">
        <v>160</v>
      </c>
      <c r="C604" s="63" t="s">
        <v>135</v>
      </c>
      <c r="D604" s="63">
        <v>1</v>
      </c>
    </row>
    <row r="605" spans="1:4" x14ac:dyDescent="0.2">
      <c r="A605" s="89">
        <v>45701</v>
      </c>
      <c r="B605" s="90" t="s">
        <v>160</v>
      </c>
      <c r="C605" s="90" t="s">
        <v>135</v>
      </c>
      <c r="D605" s="90">
        <v>1</v>
      </c>
    </row>
    <row r="606" spans="1:4" x14ac:dyDescent="0.2">
      <c r="A606" s="71">
        <v>45705</v>
      </c>
      <c r="B606" s="63" t="s">
        <v>160</v>
      </c>
      <c r="C606" s="63" t="s">
        <v>135</v>
      </c>
      <c r="D606" s="63">
        <v>1</v>
      </c>
    </row>
    <row r="607" spans="1:4" x14ac:dyDescent="0.2">
      <c r="A607" s="71">
        <v>45706</v>
      </c>
      <c r="B607" s="63" t="s">
        <v>160</v>
      </c>
      <c r="C607" s="63" t="s">
        <v>135</v>
      </c>
      <c r="D607" s="63">
        <v>1</v>
      </c>
    </row>
    <row r="608" spans="1:4" x14ac:dyDescent="0.2">
      <c r="A608" s="71">
        <v>45712</v>
      </c>
      <c r="B608" s="63" t="s">
        <v>160</v>
      </c>
      <c r="C608" s="63" t="s">
        <v>135</v>
      </c>
      <c r="D608" s="63">
        <v>1</v>
      </c>
    </row>
    <row r="609" spans="1:4" x14ac:dyDescent="0.2">
      <c r="A609" s="71">
        <v>45713</v>
      </c>
      <c r="B609" s="63" t="s">
        <v>160</v>
      </c>
      <c r="C609" s="63" t="s">
        <v>135</v>
      </c>
      <c r="D609" s="63">
        <v>1</v>
      </c>
    </row>
    <row r="610" spans="1:4" x14ac:dyDescent="0.2">
      <c r="A610" s="71">
        <v>45726</v>
      </c>
      <c r="B610" s="63" t="s">
        <v>160</v>
      </c>
      <c r="C610" s="63" t="s">
        <v>135</v>
      </c>
      <c r="D610" s="63">
        <v>1</v>
      </c>
    </row>
    <row r="611" spans="1:4" x14ac:dyDescent="0.2">
      <c r="A611" s="71">
        <v>45727</v>
      </c>
      <c r="B611" s="63" t="s">
        <v>160</v>
      </c>
      <c r="C611" s="63" t="s">
        <v>135</v>
      </c>
      <c r="D611" s="63">
        <v>1</v>
      </c>
    </row>
    <row r="612" spans="1:4" x14ac:dyDescent="0.2">
      <c r="A612" s="71">
        <v>45728</v>
      </c>
      <c r="B612" s="63" t="s">
        <v>160</v>
      </c>
      <c r="C612" s="63" t="s">
        <v>135</v>
      </c>
      <c r="D612" s="63">
        <v>1</v>
      </c>
    </row>
    <row r="613" spans="1:4" x14ac:dyDescent="0.2">
      <c r="A613" s="89">
        <v>45729</v>
      </c>
      <c r="B613" s="90" t="s">
        <v>160</v>
      </c>
      <c r="C613" s="90" t="s">
        <v>135</v>
      </c>
      <c r="D613" s="90">
        <v>1</v>
      </c>
    </row>
    <row r="614" spans="1:4" x14ac:dyDescent="0.2">
      <c r="A614" s="71">
        <v>45733</v>
      </c>
      <c r="B614" s="63" t="s">
        <v>160</v>
      </c>
      <c r="C614" s="63" t="s">
        <v>135</v>
      </c>
      <c r="D614" s="63">
        <v>1</v>
      </c>
    </row>
    <row r="615" spans="1:4" x14ac:dyDescent="0.2">
      <c r="A615" s="71">
        <v>45733</v>
      </c>
      <c r="B615" s="63" t="s">
        <v>160</v>
      </c>
      <c r="C615" s="63" t="s">
        <v>135</v>
      </c>
      <c r="D615" s="63">
        <v>1</v>
      </c>
    </row>
    <row r="616" spans="1:4" x14ac:dyDescent="0.2">
      <c r="A616" s="71">
        <v>45734</v>
      </c>
      <c r="B616" s="63" t="s">
        <v>160</v>
      </c>
      <c r="C616" s="63" t="s">
        <v>135</v>
      </c>
      <c r="D616" s="63">
        <v>1</v>
      </c>
    </row>
    <row r="617" spans="1:4" x14ac:dyDescent="0.2">
      <c r="A617" s="71">
        <v>45740</v>
      </c>
      <c r="B617" s="63" t="s">
        <v>160</v>
      </c>
      <c r="C617" s="63" t="s">
        <v>135</v>
      </c>
      <c r="D617" s="63">
        <v>1</v>
      </c>
    </row>
    <row r="618" spans="1:4" x14ac:dyDescent="0.2">
      <c r="A618" s="71">
        <v>45741</v>
      </c>
      <c r="B618" s="63" t="s">
        <v>160</v>
      </c>
      <c r="C618" s="63" t="s">
        <v>135</v>
      </c>
      <c r="D618" s="63">
        <v>1</v>
      </c>
    </row>
    <row r="619" spans="1:4" x14ac:dyDescent="0.2">
      <c r="A619" s="89">
        <v>45743</v>
      </c>
      <c r="B619" s="90" t="s">
        <v>160</v>
      </c>
      <c r="C619" s="90" t="s">
        <v>135</v>
      </c>
      <c r="D619" s="90">
        <v>1</v>
      </c>
    </row>
    <row r="620" spans="1:4" x14ac:dyDescent="0.2">
      <c r="A620" s="89">
        <v>45744</v>
      </c>
      <c r="B620" s="90" t="s">
        <v>160</v>
      </c>
      <c r="C620" s="90" t="s">
        <v>135</v>
      </c>
      <c r="D620" s="90">
        <v>1</v>
      </c>
    </row>
    <row r="621" spans="1:4" x14ac:dyDescent="0.2">
      <c r="A621" s="71">
        <v>45746</v>
      </c>
      <c r="B621" s="63" t="s">
        <v>160</v>
      </c>
      <c r="C621" s="63" t="s">
        <v>135</v>
      </c>
      <c r="D621" s="63">
        <v>1</v>
      </c>
    </row>
    <row r="622" spans="1:4" x14ac:dyDescent="0.2">
      <c r="A622" s="71">
        <v>45747</v>
      </c>
      <c r="B622" s="63" t="s">
        <v>160</v>
      </c>
      <c r="C622" s="63" t="s">
        <v>135</v>
      </c>
      <c r="D622" s="63">
        <v>1</v>
      </c>
    </row>
    <row r="623" spans="1:4" x14ac:dyDescent="0.2">
      <c r="A623" s="71">
        <v>45748</v>
      </c>
      <c r="B623" s="63" t="s">
        <v>160</v>
      </c>
      <c r="C623" s="63" t="s">
        <v>135</v>
      </c>
      <c r="D623" s="63">
        <v>1</v>
      </c>
    </row>
    <row r="624" spans="1:4" x14ac:dyDescent="0.2">
      <c r="A624" s="71">
        <v>45749</v>
      </c>
      <c r="B624" s="63" t="s">
        <v>160</v>
      </c>
      <c r="C624" s="63" t="s">
        <v>135</v>
      </c>
      <c r="D624" s="63">
        <v>1</v>
      </c>
    </row>
    <row r="625" spans="1:4" x14ac:dyDescent="0.2">
      <c r="A625" s="89">
        <v>45750</v>
      </c>
      <c r="B625" s="90" t="s">
        <v>160</v>
      </c>
      <c r="C625" s="90" t="s">
        <v>135</v>
      </c>
      <c r="D625" s="90">
        <v>1</v>
      </c>
    </row>
    <row r="626" spans="1:4" x14ac:dyDescent="0.2">
      <c r="A626" s="71">
        <v>45753</v>
      </c>
      <c r="B626" s="63" t="s">
        <v>160</v>
      </c>
      <c r="C626" s="63" t="s">
        <v>135</v>
      </c>
      <c r="D626" s="63">
        <v>1</v>
      </c>
    </row>
    <row r="627" spans="1:4" x14ac:dyDescent="0.2">
      <c r="A627" s="71">
        <v>45756</v>
      </c>
      <c r="B627" s="63" t="s">
        <v>160</v>
      </c>
      <c r="C627" s="63" t="s">
        <v>135</v>
      </c>
      <c r="D627" s="63">
        <v>1</v>
      </c>
    </row>
    <row r="628" spans="1:4" x14ac:dyDescent="0.2">
      <c r="A628" s="71">
        <v>45768</v>
      </c>
      <c r="B628" s="63" t="s">
        <v>160</v>
      </c>
      <c r="C628" s="63" t="s">
        <v>135</v>
      </c>
      <c r="D628" s="63">
        <v>1</v>
      </c>
    </row>
    <row r="629" spans="1:4" x14ac:dyDescent="0.2">
      <c r="A629" s="71">
        <v>45769</v>
      </c>
      <c r="B629" s="63" t="s">
        <v>160</v>
      </c>
      <c r="C629" s="63" t="s">
        <v>135</v>
      </c>
      <c r="D629" s="63">
        <v>1</v>
      </c>
    </row>
    <row r="630" spans="1:4" x14ac:dyDescent="0.2">
      <c r="A630" s="71">
        <v>45770</v>
      </c>
      <c r="B630" s="63" t="s">
        <v>160</v>
      </c>
      <c r="C630" s="63" t="s">
        <v>135</v>
      </c>
      <c r="D630" s="63">
        <v>1</v>
      </c>
    </row>
    <row r="631" spans="1:4" x14ac:dyDescent="0.2">
      <c r="A631" s="71">
        <v>45776</v>
      </c>
      <c r="B631" s="63" t="s">
        <v>160</v>
      </c>
      <c r="C631" s="63" t="s">
        <v>135</v>
      </c>
      <c r="D631" s="63">
        <v>1</v>
      </c>
    </row>
    <row r="632" spans="1:4" x14ac:dyDescent="0.2">
      <c r="A632" s="71">
        <v>45782</v>
      </c>
      <c r="B632" s="63" t="s">
        <v>160</v>
      </c>
      <c r="C632" s="63" t="s">
        <v>135</v>
      </c>
      <c r="D632" s="63">
        <v>1</v>
      </c>
    </row>
    <row r="633" spans="1:4" x14ac:dyDescent="0.2">
      <c r="A633" s="71">
        <v>45783</v>
      </c>
      <c r="B633" s="63" t="s">
        <v>160</v>
      </c>
      <c r="C633" s="63" t="s">
        <v>135</v>
      </c>
      <c r="D633" s="63">
        <v>1</v>
      </c>
    </row>
    <row r="634" spans="1:4" x14ac:dyDescent="0.2">
      <c r="A634" s="71">
        <v>45795</v>
      </c>
      <c r="B634" s="63" t="s">
        <v>160</v>
      </c>
      <c r="C634" s="63" t="s">
        <v>135</v>
      </c>
      <c r="D634" s="63">
        <v>1</v>
      </c>
    </row>
    <row r="635" spans="1:4" x14ac:dyDescent="0.2">
      <c r="A635" s="71">
        <v>45797</v>
      </c>
      <c r="B635" s="63" t="s">
        <v>160</v>
      </c>
      <c r="C635" s="63" t="s">
        <v>135</v>
      </c>
      <c r="D635" s="63">
        <v>1</v>
      </c>
    </row>
    <row r="636" spans="1:4" x14ac:dyDescent="0.2">
      <c r="A636" s="89">
        <v>45799</v>
      </c>
      <c r="B636" s="90" t="s">
        <v>160</v>
      </c>
      <c r="C636" s="90" t="s">
        <v>135</v>
      </c>
      <c r="D636" s="90">
        <v>1</v>
      </c>
    </row>
    <row r="637" spans="1:4" x14ac:dyDescent="0.2">
      <c r="A637" s="71">
        <v>45802</v>
      </c>
      <c r="B637" s="63" t="s">
        <v>160</v>
      </c>
      <c r="C637" s="63" t="s">
        <v>135</v>
      </c>
      <c r="D637" s="63">
        <v>1</v>
      </c>
    </row>
    <row r="638" spans="1:4" x14ac:dyDescent="0.2">
      <c r="A638" s="71">
        <v>45811</v>
      </c>
      <c r="B638" s="63" t="s">
        <v>160</v>
      </c>
      <c r="C638" s="63" t="s">
        <v>135</v>
      </c>
      <c r="D638" s="63">
        <v>1</v>
      </c>
    </row>
    <row r="639" spans="1:4" x14ac:dyDescent="0.2">
      <c r="A639" s="71">
        <v>45812</v>
      </c>
      <c r="B639" s="63" t="s">
        <v>160</v>
      </c>
      <c r="C639" s="63" t="s">
        <v>135</v>
      </c>
      <c r="D639" s="63">
        <v>1</v>
      </c>
    </row>
    <row r="640" spans="1:4" x14ac:dyDescent="0.2">
      <c r="A640" s="71">
        <v>45816</v>
      </c>
      <c r="B640" s="63" t="s">
        <v>160</v>
      </c>
      <c r="C640" s="63" t="s">
        <v>135</v>
      </c>
      <c r="D640" s="63">
        <v>1</v>
      </c>
    </row>
    <row r="641" spans="1:4" x14ac:dyDescent="0.2">
      <c r="A641" s="71">
        <v>45819</v>
      </c>
      <c r="B641" s="63" t="s">
        <v>160</v>
      </c>
      <c r="C641" s="63" t="s">
        <v>135</v>
      </c>
      <c r="D641" s="63">
        <v>1</v>
      </c>
    </row>
    <row r="642" spans="1:4" x14ac:dyDescent="0.2">
      <c r="A642" s="89">
        <v>45820</v>
      </c>
      <c r="B642" s="90" t="s">
        <v>160</v>
      </c>
      <c r="C642" s="90" t="s">
        <v>135</v>
      </c>
      <c r="D642" s="90">
        <v>1</v>
      </c>
    </row>
    <row r="643" spans="1:4" x14ac:dyDescent="0.2">
      <c r="A643" s="89">
        <v>45821</v>
      </c>
      <c r="B643" s="90" t="s">
        <v>160</v>
      </c>
      <c r="C643" s="90" t="s">
        <v>135</v>
      </c>
      <c r="D643" s="90">
        <v>1</v>
      </c>
    </row>
    <row r="644" spans="1:4" x14ac:dyDescent="0.2">
      <c r="A644" s="71">
        <v>45822</v>
      </c>
      <c r="B644" s="63" t="s">
        <v>160</v>
      </c>
      <c r="C644" s="63" t="s">
        <v>135</v>
      </c>
      <c r="D644" s="63">
        <v>1</v>
      </c>
    </row>
    <row r="645" spans="1:4" x14ac:dyDescent="0.2">
      <c r="A645" s="71">
        <v>45823</v>
      </c>
      <c r="B645" s="63" t="s">
        <v>160</v>
      </c>
      <c r="C645" s="63" t="s">
        <v>135</v>
      </c>
      <c r="D645" s="63">
        <v>1</v>
      </c>
    </row>
    <row r="646" spans="1:4" x14ac:dyDescent="0.2">
      <c r="A646" s="71">
        <v>45824</v>
      </c>
      <c r="B646" s="63" t="s">
        <v>160</v>
      </c>
      <c r="C646" s="63" t="s">
        <v>135</v>
      </c>
      <c r="D646" s="63">
        <v>1</v>
      </c>
    </row>
    <row r="647" spans="1:4" x14ac:dyDescent="0.2">
      <c r="A647" s="71">
        <v>45825</v>
      </c>
      <c r="B647" s="63" t="s">
        <v>160</v>
      </c>
      <c r="C647" s="63" t="s">
        <v>135</v>
      </c>
      <c r="D647" s="63">
        <v>1</v>
      </c>
    </row>
    <row r="648" spans="1:4" x14ac:dyDescent="0.2">
      <c r="A648" s="71">
        <v>45826</v>
      </c>
      <c r="B648" s="63" t="s">
        <v>160</v>
      </c>
      <c r="C648" s="63" t="s">
        <v>135</v>
      </c>
      <c r="D648" s="63">
        <v>1</v>
      </c>
    </row>
    <row r="649" spans="1:4" x14ac:dyDescent="0.2">
      <c r="A649" s="89">
        <v>45827</v>
      </c>
      <c r="B649" s="90" t="s">
        <v>160</v>
      </c>
      <c r="C649" s="90" t="s">
        <v>135</v>
      </c>
      <c r="D649" s="90">
        <v>1</v>
      </c>
    </row>
    <row r="650" spans="1:4" x14ac:dyDescent="0.2">
      <c r="A650" s="89">
        <v>45828</v>
      </c>
      <c r="B650" s="90" t="s">
        <v>160</v>
      </c>
      <c r="C650" s="90" t="s">
        <v>135</v>
      </c>
      <c r="D650" s="90">
        <v>1</v>
      </c>
    </row>
    <row r="651" spans="1:4" x14ac:dyDescent="0.2">
      <c r="A651" s="71">
        <v>45829</v>
      </c>
      <c r="B651" s="63" t="s">
        <v>160</v>
      </c>
      <c r="C651" s="63" t="s">
        <v>135</v>
      </c>
      <c r="D651" s="63">
        <v>1</v>
      </c>
    </row>
    <row r="652" spans="1:4" x14ac:dyDescent="0.2">
      <c r="A652" s="71">
        <v>45830</v>
      </c>
      <c r="B652" s="63" t="s">
        <v>160</v>
      </c>
      <c r="C652" s="63" t="s">
        <v>135</v>
      </c>
      <c r="D652" s="63">
        <v>1</v>
      </c>
    </row>
    <row r="653" spans="1:4" x14ac:dyDescent="0.2">
      <c r="A653" s="71">
        <v>45831</v>
      </c>
      <c r="B653" s="63" t="s">
        <v>160</v>
      </c>
      <c r="C653" s="63" t="s">
        <v>135</v>
      </c>
      <c r="D653" s="63">
        <v>1</v>
      </c>
    </row>
    <row r="654" spans="1:4" x14ac:dyDescent="0.2">
      <c r="A654" s="71">
        <v>45832</v>
      </c>
      <c r="B654" s="63" t="s">
        <v>160</v>
      </c>
      <c r="C654" s="63" t="s">
        <v>135</v>
      </c>
      <c r="D654" s="63">
        <v>1</v>
      </c>
    </row>
    <row r="655" spans="1:4" x14ac:dyDescent="0.2">
      <c r="A655" s="71">
        <v>45833</v>
      </c>
      <c r="B655" s="63" t="s">
        <v>160</v>
      </c>
      <c r="C655" s="63" t="s">
        <v>135</v>
      </c>
      <c r="D655" s="63">
        <v>1</v>
      </c>
    </row>
    <row r="656" spans="1:4" x14ac:dyDescent="0.2">
      <c r="A656" s="89">
        <v>45834</v>
      </c>
      <c r="B656" s="90" t="s">
        <v>160</v>
      </c>
      <c r="C656" s="90" t="s">
        <v>135</v>
      </c>
      <c r="D656" s="90">
        <v>1</v>
      </c>
    </row>
    <row r="657" spans="1:4" x14ac:dyDescent="0.2">
      <c r="A657" s="89">
        <v>45835</v>
      </c>
      <c r="B657" s="90" t="s">
        <v>160</v>
      </c>
      <c r="C657" s="90" t="s">
        <v>135</v>
      </c>
      <c r="D657" s="90">
        <v>1</v>
      </c>
    </row>
    <row r="658" spans="1:4" x14ac:dyDescent="0.2">
      <c r="A658" s="71">
        <v>45836</v>
      </c>
      <c r="B658" s="63" t="s">
        <v>160</v>
      </c>
      <c r="C658" s="63" t="s">
        <v>135</v>
      </c>
      <c r="D658" s="63">
        <v>1</v>
      </c>
    </row>
    <row r="659" spans="1:4" x14ac:dyDescent="0.2">
      <c r="A659" s="71">
        <v>45837</v>
      </c>
      <c r="B659" s="63" t="s">
        <v>160</v>
      </c>
      <c r="C659" s="63" t="s">
        <v>135</v>
      </c>
      <c r="D659" s="63">
        <v>1</v>
      </c>
    </row>
    <row r="660" spans="1:4" x14ac:dyDescent="0.2">
      <c r="A660" s="71">
        <v>45853</v>
      </c>
      <c r="B660" s="63" t="s">
        <v>160</v>
      </c>
      <c r="C660" s="63" t="s">
        <v>135</v>
      </c>
      <c r="D660" s="63">
        <v>1</v>
      </c>
    </row>
    <row r="661" spans="1:4" x14ac:dyDescent="0.2">
      <c r="A661" s="71">
        <v>45854</v>
      </c>
      <c r="B661" s="63" t="s">
        <v>160</v>
      </c>
      <c r="C661" s="63" t="s">
        <v>135</v>
      </c>
      <c r="D661" s="63">
        <v>1</v>
      </c>
    </row>
    <row r="662" spans="1:4" x14ac:dyDescent="0.2">
      <c r="A662" s="71">
        <v>45861</v>
      </c>
      <c r="B662" s="63" t="s">
        <v>160</v>
      </c>
      <c r="C662" s="63" t="s">
        <v>135</v>
      </c>
      <c r="D662" s="63">
        <v>1</v>
      </c>
    </row>
    <row r="663" spans="1:4" x14ac:dyDescent="0.2">
      <c r="A663" s="89">
        <v>45862</v>
      </c>
      <c r="B663" s="90" t="s">
        <v>160</v>
      </c>
      <c r="C663" s="90" t="s">
        <v>135</v>
      </c>
      <c r="D663" s="90">
        <v>1</v>
      </c>
    </row>
    <row r="664" spans="1:4" x14ac:dyDescent="0.2">
      <c r="A664" s="71">
        <v>45866</v>
      </c>
      <c r="B664" s="63" t="s">
        <v>160</v>
      </c>
      <c r="C664" s="63" t="s">
        <v>135</v>
      </c>
      <c r="D664" s="63">
        <v>1</v>
      </c>
    </row>
    <row r="665" spans="1:4" x14ac:dyDescent="0.2">
      <c r="A665" s="71">
        <v>45874</v>
      </c>
      <c r="B665" s="63" t="s">
        <v>160</v>
      </c>
      <c r="C665" s="63" t="s">
        <v>135</v>
      </c>
      <c r="D665" s="63">
        <v>1</v>
      </c>
    </row>
    <row r="666" spans="1:4" x14ac:dyDescent="0.2">
      <c r="A666" s="71">
        <v>45887</v>
      </c>
      <c r="B666" s="63" t="s">
        <v>160</v>
      </c>
      <c r="C666" s="63" t="s">
        <v>135</v>
      </c>
      <c r="D666" s="63">
        <v>1</v>
      </c>
    </row>
    <row r="667" spans="1:4" x14ac:dyDescent="0.2">
      <c r="A667" s="71">
        <v>45903</v>
      </c>
      <c r="B667" s="63" t="s">
        <v>160</v>
      </c>
      <c r="C667" s="63" t="s">
        <v>135</v>
      </c>
      <c r="D667" s="63">
        <v>1</v>
      </c>
    </row>
    <row r="668" spans="1:4" x14ac:dyDescent="0.2">
      <c r="A668" s="71">
        <v>45904</v>
      </c>
      <c r="B668" s="63" t="s">
        <v>160</v>
      </c>
      <c r="C668" s="63" t="s">
        <v>135</v>
      </c>
      <c r="D668" s="63">
        <v>1</v>
      </c>
    </row>
    <row r="669" spans="1:4" x14ac:dyDescent="0.2">
      <c r="A669" s="71">
        <v>45914</v>
      </c>
      <c r="B669" s="63" t="s">
        <v>160</v>
      </c>
      <c r="C669" s="63" t="s">
        <v>135</v>
      </c>
      <c r="D669" s="63">
        <v>1</v>
      </c>
    </row>
    <row r="670" spans="1:4" x14ac:dyDescent="0.2">
      <c r="A670" s="71">
        <v>45914</v>
      </c>
      <c r="B670" s="63" t="s">
        <v>160</v>
      </c>
      <c r="C670" s="63" t="s">
        <v>135</v>
      </c>
      <c r="D670" s="63">
        <v>1</v>
      </c>
    </row>
    <row r="671" spans="1:4" x14ac:dyDescent="0.2">
      <c r="A671" s="71">
        <v>45953</v>
      </c>
      <c r="B671" s="63" t="s">
        <v>160</v>
      </c>
      <c r="C671" s="63" t="s">
        <v>135</v>
      </c>
      <c r="D671" s="63">
        <v>1</v>
      </c>
    </row>
    <row r="672" spans="1:4" ht="15" thickBot="1" x14ac:dyDescent="0.25">
      <c r="A672" s="100">
        <v>45956</v>
      </c>
      <c r="B672" s="101" t="s">
        <v>160</v>
      </c>
      <c r="C672" s="101" t="s">
        <v>135</v>
      </c>
      <c r="D672" s="101">
        <v>1</v>
      </c>
    </row>
    <row r="673" spans="1:5" x14ac:dyDescent="0.2">
      <c r="A673" s="78">
        <v>45964</v>
      </c>
      <c r="B673" s="79" t="s">
        <v>160</v>
      </c>
      <c r="C673" s="79" t="s">
        <v>135</v>
      </c>
      <c r="D673" s="80">
        <v>1</v>
      </c>
    </row>
    <row r="674" spans="1:5" ht="15" thickBot="1" x14ac:dyDescent="0.25">
      <c r="A674" s="85">
        <v>45965</v>
      </c>
      <c r="B674" s="86" t="s">
        <v>160</v>
      </c>
      <c r="C674" s="86" t="s">
        <v>135</v>
      </c>
      <c r="D674" s="87">
        <v>1</v>
      </c>
    </row>
    <row r="675" spans="1:5" x14ac:dyDescent="0.2">
      <c r="A675" s="88">
        <v>45971</v>
      </c>
      <c r="B675" s="69" t="s">
        <v>160</v>
      </c>
      <c r="C675" s="69" t="s">
        <v>135</v>
      </c>
      <c r="D675" s="69">
        <v>1</v>
      </c>
    </row>
    <row r="676" spans="1:5" x14ac:dyDescent="0.2">
      <c r="A676" s="71">
        <v>45972</v>
      </c>
      <c r="B676" s="63" t="s">
        <v>160</v>
      </c>
      <c r="C676" s="63" t="s">
        <v>135</v>
      </c>
      <c r="D676" s="63">
        <v>1</v>
      </c>
    </row>
    <row r="677" spans="1:5" x14ac:dyDescent="0.2">
      <c r="A677" s="71">
        <v>45984</v>
      </c>
      <c r="B677" s="63" t="s">
        <v>160</v>
      </c>
      <c r="C677" s="63" t="s">
        <v>135</v>
      </c>
      <c r="D677" s="63">
        <v>1</v>
      </c>
    </row>
    <row r="678" spans="1:5" x14ac:dyDescent="0.2">
      <c r="A678" s="71">
        <v>45985</v>
      </c>
      <c r="B678" s="63" t="s">
        <v>160</v>
      </c>
      <c r="C678" s="63" t="s">
        <v>135</v>
      </c>
      <c r="D678" s="63">
        <v>1</v>
      </c>
    </row>
    <row r="679" spans="1:5" x14ac:dyDescent="0.2">
      <c r="A679" s="71">
        <v>45994</v>
      </c>
      <c r="B679" s="63" t="s">
        <v>160</v>
      </c>
      <c r="C679" s="63" t="s">
        <v>135</v>
      </c>
      <c r="D679" s="63">
        <v>1</v>
      </c>
      <c r="E679" t="s">
        <v>596</v>
      </c>
    </row>
    <row r="680" spans="1:5" ht="15" thickBot="1" x14ac:dyDescent="0.25">
      <c r="A680" s="100">
        <v>45995</v>
      </c>
      <c r="B680" s="101" t="s">
        <v>160</v>
      </c>
      <c r="C680" s="101" t="s">
        <v>135</v>
      </c>
      <c r="D680" s="101">
        <v>1</v>
      </c>
      <c r="E680" t="s">
        <v>596</v>
      </c>
    </row>
    <row r="681" spans="1:5" x14ac:dyDescent="0.2">
      <c r="A681" s="78">
        <v>45998</v>
      </c>
      <c r="B681" s="79" t="s">
        <v>160</v>
      </c>
      <c r="C681" s="79" t="s">
        <v>135</v>
      </c>
      <c r="D681" s="80">
        <v>1</v>
      </c>
      <c r="E681" t="s">
        <v>596</v>
      </c>
    </row>
    <row r="682" spans="1:5" x14ac:dyDescent="0.2">
      <c r="A682" s="81">
        <v>45999</v>
      </c>
      <c r="B682" s="63" t="s">
        <v>160</v>
      </c>
      <c r="C682" s="63" t="s">
        <v>135</v>
      </c>
      <c r="D682" s="82">
        <v>1</v>
      </c>
      <c r="E682" t="s">
        <v>596</v>
      </c>
    </row>
    <row r="683" spans="1:5" x14ac:dyDescent="0.2">
      <c r="A683" s="81">
        <v>46000</v>
      </c>
      <c r="B683" s="63" t="s">
        <v>160</v>
      </c>
      <c r="C683" s="63" t="s">
        <v>135</v>
      </c>
      <c r="D683" s="82">
        <v>1</v>
      </c>
      <c r="E683" t="s">
        <v>596</v>
      </c>
    </row>
    <row r="684" spans="1:5" ht="15" thickBot="1" x14ac:dyDescent="0.25">
      <c r="A684" s="85">
        <v>46001</v>
      </c>
      <c r="B684" s="86" t="s">
        <v>160</v>
      </c>
      <c r="C684" s="86" t="s">
        <v>135</v>
      </c>
      <c r="D684" s="87">
        <v>1</v>
      </c>
      <c r="E684" t="s">
        <v>596</v>
      </c>
    </row>
    <row r="685" spans="1:5" x14ac:dyDescent="0.2">
      <c r="A685" s="108">
        <v>46003</v>
      </c>
      <c r="B685" s="109" t="s">
        <v>160</v>
      </c>
      <c r="C685" s="109" t="s">
        <v>135</v>
      </c>
      <c r="D685" s="109">
        <v>1</v>
      </c>
      <c r="E685" t="s">
        <v>596</v>
      </c>
    </row>
    <row r="686" spans="1:5" x14ac:dyDescent="0.2">
      <c r="A686" s="71">
        <v>46004</v>
      </c>
      <c r="B686" s="63" t="s">
        <v>160</v>
      </c>
      <c r="C686" s="63" t="s">
        <v>135</v>
      </c>
      <c r="D686" s="63">
        <v>1</v>
      </c>
      <c r="E686" t="s">
        <v>596</v>
      </c>
    </row>
    <row r="687" spans="1:5" x14ac:dyDescent="0.2">
      <c r="A687" s="71">
        <v>46005</v>
      </c>
      <c r="B687" s="63" t="s">
        <v>160</v>
      </c>
      <c r="C687" s="63" t="s">
        <v>135</v>
      </c>
      <c r="D687" s="63">
        <v>1</v>
      </c>
      <c r="E687" t="s">
        <v>596</v>
      </c>
    </row>
    <row r="688" spans="1:5" x14ac:dyDescent="0.2">
      <c r="A688" s="71">
        <v>46012</v>
      </c>
      <c r="B688" s="63" t="s">
        <v>160</v>
      </c>
      <c r="C688" s="63" t="s">
        <v>135</v>
      </c>
      <c r="D688" s="63">
        <v>1</v>
      </c>
      <c r="E688" t="s">
        <v>596</v>
      </c>
    </row>
    <row r="689" spans="1:5" ht="15" thickBot="1" x14ac:dyDescent="0.25">
      <c r="A689" s="100">
        <v>46013</v>
      </c>
      <c r="B689" s="101" t="s">
        <v>160</v>
      </c>
      <c r="C689" s="101" t="s">
        <v>135</v>
      </c>
      <c r="D689" s="101">
        <v>1</v>
      </c>
      <c r="E689" t="s">
        <v>596</v>
      </c>
    </row>
    <row r="690" spans="1:5" x14ac:dyDescent="0.2">
      <c r="A690" s="78">
        <v>45733</v>
      </c>
      <c r="B690" s="79" t="s">
        <v>163</v>
      </c>
      <c r="C690" s="79" t="s">
        <v>113</v>
      </c>
      <c r="D690" s="80">
        <v>1</v>
      </c>
    </row>
    <row r="691" spans="1:5" x14ac:dyDescent="0.2">
      <c r="A691" s="81">
        <v>45734</v>
      </c>
      <c r="B691" s="63" t="s">
        <v>163</v>
      </c>
      <c r="C691" s="63" t="s">
        <v>113</v>
      </c>
      <c r="D691" s="82">
        <v>1</v>
      </c>
    </row>
    <row r="692" spans="1:5" x14ac:dyDescent="0.2">
      <c r="A692" s="81">
        <v>45735</v>
      </c>
      <c r="B692" s="63" t="s">
        <v>163</v>
      </c>
      <c r="C692" s="63" t="s">
        <v>113</v>
      </c>
      <c r="D692" s="82">
        <v>1</v>
      </c>
    </row>
    <row r="693" spans="1:5" ht="15" thickBot="1" x14ac:dyDescent="0.25">
      <c r="A693" s="85">
        <v>45736</v>
      </c>
      <c r="B693" s="86" t="s">
        <v>163</v>
      </c>
      <c r="C693" s="86" t="s">
        <v>113</v>
      </c>
      <c r="D693" s="87">
        <v>1</v>
      </c>
    </row>
    <row r="694" spans="1:5" x14ac:dyDescent="0.2">
      <c r="A694" s="88">
        <v>45798</v>
      </c>
      <c r="B694" s="69" t="s">
        <v>163</v>
      </c>
      <c r="C694" s="69" t="s">
        <v>113</v>
      </c>
      <c r="D694" s="69">
        <v>1</v>
      </c>
    </row>
    <row r="695" spans="1:5" ht="15" thickBot="1" x14ac:dyDescent="0.25">
      <c r="A695" s="100">
        <v>45799</v>
      </c>
      <c r="B695" s="101" t="s">
        <v>163</v>
      </c>
      <c r="C695" s="101" t="s">
        <v>113</v>
      </c>
      <c r="D695" s="101">
        <v>1</v>
      </c>
    </row>
    <row r="696" spans="1:5" x14ac:dyDescent="0.2">
      <c r="A696" s="78">
        <v>45802</v>
      </c>
      <c r="B696" s="79" t="s">
        <v>163</v>
      </c>
      <c r="C696" s="79" t="s">
        <v>113</v>
      </c>
      <c r="D696" s="80">
        <v>1</v>
      </c>
    </row>
    <row r="697" spans="1:5" x14ac:dyDescent="0.2">
      <c r="A697" s="81">
        <v>45803</v>
      </c>
      <c r="B697" s="63" t="s">
        <v>163</v>
      </c>
      <c r="C697" s="63" t="s">
        <v>113</v>
      </c>
      <c r="D697" s="82">
        <v>1</v>
      </c>
    </row>
    <row r="698" spans="1:5" x14ac:dyDescent="0.2">
      <c r="A698" s="81">
        <v>45804</v>
      </c>
      <c r="B698" s="63" t="s">
        <v>163</v>
      </c>
      <c r="C698" s="63" t="s">
        <v>113</v>
      </c>
      <c r="D698" s="82">
        <v>1</v>
      </c>
    </row>
    <row r="699" spans="1:5" x14ac:dyDescent="0.2">
      <c r="A699" s="81">
        <v>45805</v>
      </c>
      <c r="B699" s="63" t="s">
        <v>163</v>
      </c>
      <c r="C699" s="63" t="s">
        <v>113</v>
      </c>
      <c r="D699" s="82">
        <v>1</v>
      </c>
    </row>
    <row r="700" spans="1:5" ht="15" thickBot="1" x14ac:dyDescent="0.25">
      <c r="A700" s="85">
        <v>45806</v>
      </c>
      <c r="B700" s="86" t="s">
        <v>163</v>
      </c>
      <c r="C700" s="86" t="s">
        <v>113</v>
      </c>
      <c r="D700" s="87">
        <v>1</v>
      </c>
    </row>
    <row r="701" spans="1:5" x14ac:dyDescent="0.2">
      <c r="A701" s="88">
        <v>45818</v>
      </c>
      <c r="B701" s="69" t="s">
        <v>163</v>
      </c>
      <c r="C701" s="69" t="s">
        <v>113</v>
      </c>
      <c r="D701" s="69">
        <v>1</v>
      </c>
    </row>
    <row r="702" spans="1:5" x14ac:dyDescent="0.2">
      <c r="A702" s="71">
        <v>45819</v>
      </c>
      <c r="B702" s="63" t="s">
        <v>163</v>
      </c>
      <c r="C702" s="63" t="s">
        <v>113</v>
      </c>
      <c r="D702" s="63">
        <v>1</v>
      </c>
    </row>
    <row r="703" spans="1:5" ht="15" thickBot="1" x14ac:dyDescent="0.25">
      <c r="A703" s="100">
        <v>45820</v>
      </c>
      <c r="B703" s="101" t="s">
        <v>163</v>
      </c>
      <c r="C703" s="101" t="s">
        <v>113</v>
      </c>
      <c r="D703" s="101">
        <v>1</v>
      </c>
    </row>
    <row r="704" spans="1:5" ht="15" thickBot="1" x14ac:dyDescent="0.25">
      <c r="A704" s="102">
        <v>45823</v>
      </c>
      <c r="B704" s="103" t="s">
        <v>163</v>
      </c>
      <c r="C704" s="103" t="s">
        <v>113</v>
      </c>
      <c r="D704" s="104">
        <v>1</v>
      </c>
    </row>
    <row r="705" spans="1:4" x14ac:dyDescent="0.2">
      <c r="A705" s="88">
        <v>45875</v>
      </c>
      <c r="B705" s="69" t="s">
        <v>163</v>
      </c>
      <c r="C705" s="69" t="s">
        <v>113</v>
      </c>
      <c r="D705" s="69">
        <v>1</v>
      </c>
    </row>
    <row r="706" spans="1:4" x14ac:dyDescent="0.2">
      <c r="A706" s="71">
        <v>45876</v>
      </c>
      <c r="B706" s="63" t="s">
        <v>163</v>
      </c>
      <c r="C706" s="63" t="s">
        <v>113</v>
      </c>
      <c r="D706" s="63">
        <v>1</v>
      </c>
    </row>
    <row r="707" spans="1:4" x14ac:dyDescent="0.2">
      <c r="A707" s="71">
        <v>45880</v>
      </c>
      <c r="B707" s="63" t="s">
        <v>163</v>
      </c>
      <c r="C707" s="63" t="s">
        <v>113</v>
      </c>
      <c r="D707" s="63">
        <v>1</v>
      </c>
    </row>
    <row r="708" spans="1:4" x14ac:dyDescent="0.2">
      <c r="A708" s="71">
        <v>45881</v>
      </c>
      <c r="B708" s="63" t="s">
        <v>163</v>
      </c>
      <c r="C708" s="63" t="s">
        <v>113</v>
      </c>
      <c r="D708" s="63">
        <v>1</v>
      </c>
    </row>
    <row r="709" spans="1:4" x14ac:dyDescent="0.2">
      <c r="A709" s="71">
        <v>45907</v>
      </c>
      <c r="B709" s="63" t="s">
        <v>163</v>
      </c>
      <c r="C709" s="63" t="s">
        <v>113</v>
      </c>
      <c r="D709" s="63">
        <v>1</v>
      </c>
    </row>
    <row r="710" spans="1:4" x14ac:dyDescent="0.2">
      <c r="A710" s="71">
        <v>45908</v>
      </c>
      <c r="B710" s="63" t="s">
        <v>163</v>
      </c>
      <c r="C710" s="63" t="s">
        <v>113</v>
      </c>
      <c r="D710" s="63">
        <v>1</v>
      </c>
    </row>
    <row r="711" spans="1:4" x14ac:dyDescent="0.2">
      <c r="A711" s="71">
        <v>45909</v>
      </c>
      <c r="B711" s="63" t="s">
        <v>163</v>
      </c>
      <c r="C711" s="63" t="s">
        <v>113</v>
      </c>
      <c r="D711" s="63">
        <v>1</v>
      </c>
    </row>
    <row r="712" spans="1:4" x14ac:dyDescent="0.2">
      <c r="A712" s="71">
        <v>45957</v>
      </c>
      <c r="B712" s="63" t="s">
        <v>163</v>
      </c>
      <c r="C712" s="63" t="s">
        <v>113</v>
      </c>
      <c r="D712" s="63">
        <v>1</v>
      </c>
    </row>
    <row r="713" spans="1:4" x14ac:dyDescent="0.2">
      <c r="A713" s="71">
        <v>45958</v>
      </c>
      <c r="B713" s="63" t="s">
        <v>163</v>
      </c>
      <c r="C713" s="63" t="s">
        <v>113</v>
      </c>
      <c r="D713" s="63">
        <v>1</v>
      </c>
    </row>
    <row r="714" spans="1:4" x14ac:dyDescent="0.2">
      <c r="A714" s="71">
        <v>45959</v>
      </c>
      <c r="B714" s="63" t="s">
        <v>163</v>
      </c>
      <c r="C714" s="63" t="s">
        <v>113</v>
      </c>
      <c r="D714" s="63">
        <v>1</v>
      </c>
    </row>
    <row r="715" spans="1:4" x14ac:dyDescent="0.2">
      <c r="A715" s="71">
        <v>45971</v>
      </c>
      <c r="B715" s="63" t="s">
        <v>163</v>
      </c>
      <c r="C715" s="63" t="s">
        <v>113</v>
      </c>
      <c r="D715" s="63">
        <v>1</v>
      </c>
    </row>
    <row r="716" spans="1:4" x14ac:dyDescent="0.2">
      <c r="A716" s="71">
        <v>45972</v>
      </c>
      <c r="B716" s="63" t="s">
        <v>163</v>
      </c>
      <c r="C716" s="63" t="s">
        <v>113</v>
      </c>
      <c r="D716" s="63">
        <v>1</v>
      </c>
    </row>
    <row r="717" spans="1:4" x14ac:dyDescent="0.2">
      <c r="A717" s="71">
        <v>45985</v>
      </c>
      <c r="B717" s="63" t="s">
        <v>163</v>
      </c>
      <c r="C717" s="63" t="s">
        <v>113</v>
      </c>
      <c r="D717" s="63">
        <v>1</v>
      </c>
    </row>
    <row r="718" spans="1:4" x14ac:dyDescent="0.2">
      <c r="A718" s="71">
        <v>45986</v>
      </c>
      <c r="B718" s="63" t="s">
        <v>163</v>
      </c>
      <c r="C718" s="63" t="s">
        <v>113</v>
      </c>
      <c r="D718" s="63">
        <v>1</v>
      </c>
    </row>
    <row r="719" spans="1:4" x14ac:dyDescent="0.2">
      <c r="A719" s="71">
        <v>45987</v>
      </c>
      <c r="B719" s="63" t="s">
        <v>163</v>
      </c>
      <c r="C719" s="63" t="s">
        <v>113</v>
      </c>
      <c r="D719" s="63">
        <v>1</v>
      </c>
    </row>
    <row r="720" spans="1:4" ht="15" thickBot="1" x14ac:dyDescent="0.25">
      <c r="A720" s="100">
        <v>45988</v>
      </c>
      <c r="B720" s="101" t="s">
        <v>163</v>
      </c>
      <c r="C720" s="101" t="s">
        <v>113</v>
      </c>
      <c r="D720" s="101">
        <v>1</v>
      </c>
    </row>
    <row r="721" spans="1:5" x14ac:dyDescent="0.2">
      <c r="A721" s="78">
        <v>45998</v>
      </c>
      <c r="B721" s="79" t="s">
        <v>163</v>
      </c>
      <c r="C721" s="79" t="s">
        <v>113</v>
      </c>
      <c r="D721" s="80">
        <v>1</v>
      </c>
      <c r="E721" t="s">
        <v>596</v>
      </c>
    </row>
    <row r="722" spans="1:5" x14ac:dyDescent="0.2">
      <c r="A722" s="81">
        <v>45999</v>
      </c>
      <c r="B722" s="63" t="s">
        <v>163</v>
      </c>
      <c r="C722" s="63" t="s">
        <v>113</v>
      </c>
      <c r="D722" s="82">
        <v>1</v>
      </c>
      <c r="E722" t="s">
        <v>596</v>
      </c>
    </row>
    <row r="723" spans="1:5" x14ac:dyDescent="0.2">
      <c r="A723" s="81">
        <v>46000</v>
      </c>
      <c r="B723" s="63" t="s">
        <v>163</v>
      </c>
      <c r="C723" s="63" t="s">
        <v>113</v>
      </c>
      <c r="D723" s="82">
        <v>1</v>
      </c>
      <c r="E723" t="s">
        <v>596</v>
      </c>
    </row>
    <row r="724" spans="1:5" x14ac:dyDescent="0.2">
      <c r="A724" s="81">
        <v>46001</v>
      </c>
      <c r="B724" s="63" t="s">
        <v>163</v>
      </c>
      <c r="C724" s="63" t="s">
        <v>113</v>
      </c>
      <c r="D724" s="82">
        <v>1</v>
      </c>
      <c r="E724" t="s">
        <v>596</v>
      </c>
    </row>
    <row r="725" spans="1:5" ht="15" thickBot="1" x14ac:dyDescent="0.25">
      <c r="A725" s="85">
        <v>46002</v>
      </c>
      <c r="B725" s="86" t="s">
        <v>163</v>
      </c>
      <c r="C725" s="86" t="s">
        <v>113</v>
      </c>
      <c r="D725" s="87">
        <v>1</v>
      </c>
      <c r="E725" t="s">
        <v>596</v>
      </c>
    </row>
    <row r="726" spans="1:5" x14ac:dyDescent="0.2">
      <c r="A726" s="88">
        <v>46014</v>
      </c>
      <c r="B726" s="69" t="s">
        <v>163</v>
      </c>
      <c r="C726" s="69" t="s">
        <v>113</v>
      </c>
      <c r="D726" s="69">
        <v>1</v>
      </c>
      <c r="E726" t="s">
        <v>596</v>
      </c>
    </row>
    <row r="727" spans="1:5" x14ac:dyDescent="0.2">
      <c r="A727" s="71">
        <v>46015</v>
      </c>
      <c r="B727" s="63" t="s">
        <v>163</v>
      </c>
      <c r="C727" s="63" t="s">
        <v>113</v>
      </c>
      <c r="D727" s="63">
        <v>1</v>
      </c>
      <c r="E727" t="s">
        <v>596</v>
      </c>
    </row>
    <row r="728" spans="1:5" x14ac:dyDescent="0.2">
      <c r="A728" s="71">
        <v>46016</v>
      </c>
      <c r="B728" s="63" t="s">
        <v>163</v>
      </c>
      <c r="C728" s="63" t="s">
        <v>113</v>
      </c>
      <c r="D728" s="63">
        <v>1</v>
      </c>
      <c r="E728" t="s">
        <v>596</v>
      </c>
    </row>
    <row r="729" spans="1:5" x14ac:dyDescent="0.2">
      <c r="A729" s="71">
        <v>46014</v>
      </c>
      <c r="B729" s="63" t="s">
        <v>584</v>
      </c>
      <c r="C729" s="63" t="s">
        <v>118</v>
      </c>
      <c r="D729" s="63">
        <v>1</v>
      </c>
      <c r="E729" t="s">
        <v>596</v>
      </c>
    </row>
    <row r="730" spans="1:5" x14ac:dyDescent="0.2">
      <c r="A730" s="71">
        <v>45965</v>
      </c>
      <c r="B730" s="63" t="s">
        <v>586</v>
      </c>
      <c r="C730" s="63" t="s">
        <v>135</v>
      </c>
      <c r="D730" s="63">
        <v>1</v>
      </c>
    </row>
    <row r="731" spans="1:5" x14ac:dyDescent="0.2">
      <c r="A731" s="71">
        <v>45804</v>
      </c>
      <c r="B731" s="63" t="s">
        <v>165</v>
      </c>
      <c r="C731" s="63" t="s">
        <v>118</v>
      </c>
      <c r="D731" s="63">
        <v>1</v>
      </c>
    </row>
    <row r="732" spans="1:5" x14ac:dyDescent="0.2">
      <c r="A732" s="71">
        <v>45805</v>
      </c>
      <c r="B732" s="63" t="s">
        <v>165</v>
      </c>
      <c r="C732" s="63" t="s">
        <v>118</v>
      </c>
      <c r="D732" s="63">
        <v>1</v>
      </c>
    </row>
    <row r="733" spans="1:5" x14ac:dyDescent="0.2">
      <c r="A733" s="71">
        <v>45811</v>
      </c>
      <c r="B733" s="63" t="s">
        <v>165</v>
      </c>
      <c r="C733" s="63" t="s">
        <v>118</v>
      </c>
      <c r="D733" s="63">
        <v>1</v>
      </c>
    </row>
    <row r="734" spans="1:5" x14ac:dyDescent="0.2">
      <c r="A734" s="71">
        <v>45812</v>
      </c>
      <c r="B734" s="63" t="s">
        <v>165</v>
      </c>
      <c r="C734" s="63" t="s">
        <v>118</v>
      </c>
      <c r="D734" s="63">
        <v>1</v>
      </c>
    </row>
    <row r="735" spans="1:5" x14ac:dyDescent="0.2">
      <c r="A735" s="71">
        <v>45817</v>
      </c>
      <c r="B735" s="63" t="s">
        <v>165</v>
      </c>
      <c r="C735" s="63" t="s">
        <v>118</v>
      </c>
      <c r="D735" s="63">
        <v>1</v>
      </c>
    </row>
    <row r="736" spans="1:5" x14ac:dyDescent="0.2">
      <c r="A736" s="71">
        <v>45818</v>
      </c>
      <c r="B736" s="63" t="s">
        <v>165</v>
      </c>
      <c r="C736" s="63" t="s">
        <v>118</v>
      </c>
      <c r="D736" s="63">
        <v>1</v>
      </c>
    </row>
    <row r="737" spans="1:4" x14ac:dyDescent="0.2">
      <c r="A737" s="71">
        <v>45820</v>
      </c>
      <c r="B737" s="63" t="s">
        <v>165</v>
      </c>
      <c r="C737" s="63" t="s">
        <v>118</v>
      </c>
      <c r="D737" s="63">
        <v>1</v>
      </c>
    </row>
    <row r="738" spans="1:4" x14ac:dyDescent="0.2">
      <c r="A738" s="71">
        <v>45821</v>
      </c>
      <c r="B738" s="63" t="s">
        <v>165</v>
      </c>
      <c r="C738" s="63" t="s">
        <v>118</v>
      </c>
      <c r="D738" s="63">
        <v>1</v>
      </c>
    </row>
    <row r="739" spans="1:4" x14ac:dyDescent="0.2">
      <c r="A739" s="71">
        <v>45822</v>
      </c>
      <c r="B739" s="63" t="s">
        <v>165</v>
      </c>
      <c r="C739" s="63" t="s">
        <v>118</v>
      </c>
      <c r="D739" s="63">
        <v>1</v>
      </c>
    </row>
    <row r="740" spans="1:4" x14ac:dyDescent="0.2">
      <c r="A740" s="71">
        <v>45823</v>
      </c>
      <c r="B740" s="63" t="s">
        <v>165</v>
      </c>
      <c r="C740" s="63" t="s">
        <v>118</v>
      </c>
      <c r="D740" s="63">
        <v>1</v>
      </c>
    </row>
    <row r="741" spans="1:4" x14ac:dyDescent="0.2">
      <c r="A741" s="71">
        <v>45824</v>
      </c>
      <c r="B741" s="63" t="s">
        <v>165</v>
      </c>
      <c r="C741" s="63" t="s">
        <v>118</v>
      </c>
      <c r="D741" s="63">
        <v>1</v>
      </c>
    </row>
    <row r="742" spans="1:4" x14ac:dyDescent="0.2">
      <c r="A742" s="71">
        <v>45825</v>
      </c>
      <c r="B742" s="63" t="s">
        <v>165</v>
      </c>
      <c r="C742" s="63" t="s">
        <v>118</v>
      </c>
      <c r="D742" s="63">
        <v>1</v>
      </c>
    </row>
    <row r="743" spans="1:4" x14ac:dyDescent="0.2">
      <c r="A743" s="71">
        <v>45826</v>
      </c>
      <c r="B743" s="63" t="s">
        <v>165</v>
      </c>
      <c r="C743" s="63" t="s">
        <v>118</v>
      </c>
      <c r="D743" s="63">
        <v>1</v>
      </c>
    </row>
    <row r="744" spans="1:4" x14ac:dyDescent="0.2">
      <c r="A744" s="71">
        <v>45827</v>
      </c>
      <c r="B744" s="63" t="s">
        <v>165</v>
      </c>
      <c r="C744" s="63" t="s">
        <v>118</v>
      </c>
      <c r="D744" s="63">
        <v>1</v>
      </c>
    </row>
    <row r="745" spans="1:4" x14ac:dyDescent="0.2">
      <c r="A745" s="71">
        <v>45828</v>
      </c>
      <c r="B745" s="63" t="s">
        <v>165</v>
      </c>
      <c r="C745" s="63" t="s">
        <v>118</v>
      </c>
      <c r="D745" s="63">
        <v>1</v>
      </c>
    </row>
    <row r="746" spans="1:4" x14ac:dyDescent="0.2">
      <c r="A746" s="71">
        <v>45829</v>
      </c>
      <c r="B746" s="63" t="s">
        <v>165</v>
      </c>
      <c r="C746" s="63" t="s">
        <v>118</v>
      </c>
      <c r="D746" s="63">
        <v>1</v>
      </c>
    </row>
    <row r="747" spans="1:4" x14ac:dyDescent="0.2">
      <c r="A747" s="71">
        <v>45830</v>
      </c>
      <c r="B747" s="63" t="s">
        <v>165</v>
      </c>
      <c r="C747" s="63" t="s">
        <v>118</v>
      </c>
      <c r="D747" s="63">
        <v>1</v>
      </c>
    </row>
    <row r="748" spans="1:4" x14ac:dyDescent="0.2">
      <c r="A748" s="71">
        <v>45831</v>
      </c>
      <c r="B748" s="63" t="s">
        <v>165</v>
      </c>
      <c r="C748" s="63" t="s">
        <v>118</v>
      </c>
      <c r="D748" s="63">
        <v>1</v>
      </c>
    </row>
    <row r="749" spans="1:4" x14ac:dyDescent="0.2">
      <c r="A749" s="71">
        <v>45832</v>
      </c>
      <c r="B749" s="63" t="s">
        <v>165</v>
      </c>
      <c r="C749" s="63" t="s">
        <v>118</v>
      </c>
      <c r="D749" s="63">
        <v>1</v>
      </c>
    </row>
    <row r="750" spans="1:4" x14ac:dyDescent="0.2">
      <c r="A750" s="71">
        <v>45833</v>
      </c>
      <c r="B750" s="63" t="s">
        <v>165</v>
      </c>
      <c r="C750" s="63" t="s">
        <v>118</v>
      </c>
      <c r="D750" s="63">
        <v>1</v>
      </c>
    </row>
    <row r="751" spans="1:4" x14ac:dyDescent="0.2">
      <c r="A751" s="71">
        <v>45834</v>
      </c>
      <c r="B751" s="63" t="s">
        <v>165</v>
      </c>
      <c r="C751" s="63" t="s">
        <v>118</v>
      </c>
      <c r="D751" s="63">
        <v>1</v>
      </c>
    </row>
    <row r="752" spans="1:4" x14ac:dyDescent="0.2">
      <c r="A752" s="71">
        <v>45835</v>
      </c>
      <c r="B752" s="63" t="s">
        <v>165</v>
      </c>
      <c r="C752" s="63" t="s">
        <v>118</v>
      </c>
      <c r="D752" s="63">
        <v>1</v>
      </c>
    </row>
    <row r="753" spans="1:4" x14ac:dyDescent="0.2">
      <c r="A753" s="71">
        <v>45836</v>
      </c>
      <c r="B753" s="63" t="s">
        <v>165</v>
      </c>
      <c r="C753" s="63" t="s">
        <v>118</v>
      </c>
      <c r="D753" s="63">
        <v>1</v>
      </c>
    </row>
  </sheetData>
  <autoFilter ref="A1:D753" xr:uid="{FF251E95-7067-4557-9CE8-370DF540C9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רשימות</vt:lpstr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  <vt:lpstr>2️⃣ תקופות מילואים-חדש</vt:lpstr>
      <vt:lpstr>מילואים 2025- מקאנו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2026-02-05T10:20:38Z</dcterms:modified>
</cp:coreProperties>
</file>