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3️⃣ תשלומי ב&quot;ל" sheetId="3" state="visible" r:id="rId3"/>
    <sheet xmlns:r="http://schemas.openxmlformats.org/officeDocument/2006/relationships" name="4️⃣ דוח מסכם" sheetId="4" state="visible" r:id="rId4"/>
    <sheet xmlns:r="http://schemas.openxmlformats.org/officeDocument/2006/relationships" name="💵 רשימת תשלומים" sheetId="5" state="visible" r:id="rId5"/>
    <sheet xmlns:r="http://schemas.openxmlformats.org/officeDocument/2006/relationships" name="📈 היסטוריית שכר" sheetId="6" state="visible" r:id="rId6"/>
    <sheet xmlns:r="http://schemas.openxmlformats.org/officeDocument/2006/relationships" name="2️⃣ תקופות מילואים" sheetId="7" state="visible" r:id="rId7"/>
  </sheets>
  <definedNames>
    <definedName name="_xlnm._FilterDatabase" localSheetId="1" hidden="1">'1️⃣ רשימת עובדים'!$A$1:$J$1</definedName>
    <definedName name="_xlnm._FilterDatabase" localSheetId="2" hidden="1">'3️⃣ תשלומי ב"ל'!$A$1:$L$81</definedName>
    <definedName name="_xlnm._FilterDatabase" localSheetId="3" hidden="1">'4️⃣ דוח מסכם'!$A$1:$L$1</definedName>
    <definedName name="_xlnm._FilterDatabase" localSheetId="5" hidden="1">'📈 היסטוריית שכר'!$A$4:$G$13</definedName>
    <definedName name="_xlnm._FilterDatabase" localSheetId="6" hidden="1">'2️⃣ תקופות מילואים'!$A$1:$Q$1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  <font>
      <b val="1"/>
      <color rgb="0027ae60"/>
    </font>
    <font>
      <b val="1"/>
      <color rgb="00FFFFFF"/>
      <sz val="12"/>
    </font>
    <font>
      <b val="1"/>
      <color rgb="0027ae60"/>
      <sz val="11"/>
    </font>
    <font>
      <b val="1"/>
      <sz val="12"/>
    </font>
    <font>
      <b val="1"/>
      <color rgb="0027ae60"/>
      <sz val="14"/>
    </font>
    <font>
      <b val="1"/>
      <sz val="13"/>
    </font>
    <font>
      <b val="1"/>
      <color rgb="0027ae60"/>
      <sz val="13"/>
    </font>
    <font>
      <b val="1"/>
      <sz val="14"/>
    </font>
    <font>
      <i val="1"/>
      <color rgb="00636e72"/>
      <sz val="10"/>
    </font>
    <font>
      <b val="1"/>
      <color rgb="00f39c12"/>
    </font>
    <font>
      <i val="1"/>
      <color rgb="0095a5a6"/>
      <sz val="9"/>
    </font>
    <font>
      <name val="Assistant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  <fill>
      <patternFill patternType="solid">
        <fgColor rgb="0027ae60"/>
        <bgColor rgb="0027ae60"/>
      </patternFill>
    </fill>
    <fill>
      <patternFill patternType="solid">
        <fgColor rgb="003498db"/>
        <bgColor rgb="003498db"/>
      </patternFill>
    </fill>
    <fill>
      <patternFill patternType="solid">
        <fgColor rgb="00FFF9C4"/>
        <bgColor rgb="00FFF9C4"/>
      </patternFill>
    </fill>
    <fill>
      <patternFill patternType="solid">
        <fgColor rgb="00528163"/>
        <bgColor rgb="0052816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double">
        <color rgb="002d5f3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11" fillId="0" borderId="0" pivotButton="0" quotePrefix="0" xfId="0"/>
    <xf numFmtId="3" fontId="12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right" vertical="center"/>
    </xf>
    <xf numFmtId="3" fontId="10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10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7" fillId="6" borderId="2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3" fillId="2" borderId="0" pivotButton="0" quotePrefix="0" xfId="0"/>
    <xf numFmtId="0" fontId="19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n">
        <v>211877550</v>
      </c>
      <c r="B3" s="3" t="inlineStr">
        <is>
          <t>אוראל</t>
        </is>
      </c>
      <c r="C3" s="3" t="inlineStr">
        <is>
          <t>שווקי</t>
        </is>
      </c>
      <c r="D3" s="3" t="inlineStr">
        <is>
          <t>אוראל שווקי</t>
        </is>
      </c>
      <c r="E3" s="3" t="inlineStr">
        <is>
          <t>רפאל</t>
        </is>
      </c>
      <c r="F3" s="3" t="n">
        <v>18717</v>
      </c>
      <c r="G3" s="3" t="n">
        <v>863.7286571296723</v>
      </c>
      <c r="H3" s="3" t="n"/>
      <c r="I3" s="3" t="n"/>
      <c r="J3" s="3" t="inlineStr">
        <is>
          <t>פעיל</t>
        </is>
      </c>
    </row>
    <row r="4">
      <c r="A4" s="3" t="n">
        <v>37643772</v>
      </c>
      <c r="B4" s="3" t="inlineStr">
        <is>
          <t>אורי</t>
        </is>
      </c>
      <c r="C4" s="3" t="inlineStr">
        <is>
          <t>אשתר</t>
        </is>
      </c>
      <c r="D4" s="3" t="inlineStr">
        <is>
          <t>אורי אשתר</t>
        </is>
      </c>
      <c r="E4" s="3" t="inlineStr">
        <is>
          <t>מל"מ</t>
        </is>
      </c>
      <c r="F4" s="3" t="n">
        <v>24026</v>
      </c>
      <c r="G4" s="3" t="n">
        <v>1108.721735117674</v>
      </c>
      <c r="H4" s="3" t="n"/>
      <c r="I4" s="3" t="n"/>
      <c r="J4" s="3" t="inlineStr">
        <is>
          <t>פעיל</t>
        </is>
      </c>
    </row>
    <row r="5">
      <c r="A5" s="3" t="n">
        <v>28027738</v>
      </c>
      <c r="B5" s="3" t="inlineStr">
        <is>
          <t>אייל</t>
        </is>
      </c>
      <c r="C5" s="3" t="inlineStr">
        <is>
          <t>מלח</t>
        </is>
      </c>
      <c r="D5" s="3" t="inlineStr">
        <is>
          <t>אייל מלח</t>
        </is>
      </c>
      <c r="E5" s="3" t="inlineStr">
        <is>
          <t>רפאל</t>
        </is>
      </c>
      <c r="F5" s="3" t="n">
        <v>20500</v>
      </c>
      <c r="G5" s="3" t="n">
        <v>946.0083064143977</v>
      </c>
      <c r="H5" s="3" t="n"/>
      <c r="I5" s="3" t="n"/>
      <c r="J5" s="3" t="inlineStr">
        <is>
          <t>מ01.09.25</t>
        </is>
      </c>
    </row>
    <row r="6">
      <c r="A6" s="3" t="n">
        <v>203661004</v>
      </c>
      <c r="B6" s="3" t="inlineStr">
        <is>
          <t>אריאל</t>
        </is>
      </c>
      <c r="C6" s="3" t="inlineStr">
        <is>
          <t>אליה</t>
        </is>
      </c>
      <c r="D6" s="3" t="inlineStr">
        <is>
          <t>אריאל אליה</t>
        </is>
      </c>
      <c r="E6" s="3" t="inlineStr">
        <is>
          <t>מל"מ</t>
        </is>
      </c>
      <c r="F6" s="3" t="n">
        <v>18828</v>
      </c>
      <c r="G6" s="3" t="n">
        <v>868.8509460083063</v>
      </c>
      <c r="H6" s="3" t="n"/>
      <c r="I6" s="3" t="n"/>
      <c r="J6" s="3" t="inlineStr">
        <is>
          <t>פעיל</t>
        </is>
      </c>
    </row>
    <row r="7">
      <c r="A7" s="3" t="n">
        <v>315919936</v>
      </c>
      <c r="B7" s="3" t="inlineStr">
        <is>
          <t>דניאל</t>
        </is>
      </c>
      <c r="C7" s="3" t="inlineStr">
        <is>
          <t>בנדרימר</t>
        </is>
      </c>
      <c r="D7" s="3" t="inlineStr">
        <is>
          <t>דניאל בנדרימר</t>
        </is>
      </c>
      <c r="E7" s="3" t="inlineStr">
        <is>
          <t>מל"מ</t>
        </is>
      </c>
      <c r="F7" s="3" t="n">
        <v>14532</v>
      </c>
      <c r="G7" s="3" t="n">
        <v>670.604522381172</v>
      </c>
      <c r="H7" s="3" t="n"/>
      <c r="I7" s="3" t="n"/>
      <c r="J7" s="3" t="inlineStr">
        <is>
          <t>פעיל</t>
        </is>
      </c>
    </row>
    <row r="8">
      <c r="A8" s="3" t="n">
        <v>69304962</v>
      </c>
      <c r="B8" s="3" t="inlineStr">
        <is>
          <t>חיים</t>
        </is>
      </c>
      <c r="C8" s="3" t="inlineStr">
        <is>
          <t>ראש</t>
        </is>
      </c>
      <c r="D8" s="3" t="inlineStr">
        <is>
          <t xml:space="preserve">חיים  ראש </t>
        </is>
      </c>
      <c r="E8" s="3" t="inlineStr">
        <is>
          <t>מל"מ</t>
        </is>
      </c>
      <c r="F8" s="3" t="n">
        <v>20586.6</v>
      </c>
      <c r="G8" s="3" t="n">
        <v>950.0046146746653</v>
      </c>
      <c r="H8" s="3" t="n"/>
      <c r="I8" s="3" t="n"/>
      <c r="J8" s="3" t="inlineStr">
        <is>
          <t>פעיל</t>
        </is>
      </c>
    </row>
    <row r="9">
      <c r="A9" s="3" t="n">
        <v>25474677</v>
      </c>
      <c r="B9" s="3" t="inlineStr">
        <is>
          <t>יום</t>
        </is>
      </c>
      <c r="C9" s="3" t="inlineStr">
        <is>
          <t>טוב מוסארי</t>
        </is>
      </c>
      <c r="D9" s="3" t="inlineStr">
        <is>
          <t>יום טוב מוסארי</t>
        </is>
      </c>
      <c r="E9" s="3" t="inlineStr">
        <is>
          <t>רוה"מ</t>
        </is>
      </c>
      <c r="F9" s="3" t="n">
        <v>27791</v>
      </c>
      <c r="G9" s="3" t="n">
        <v>1282.464236271343</v>
      </c>
      <c r="H9" s="3" t="n"/>
      <c r="I9" s="3" t="n"/>
      <c r="J9" s="3" t="inlineStr">
        <is>
          <t>מ01.06.25</t>
        </is>
      </c>
    </row>
    <row r="10">
      <c r="A10" s="3" t="n">
        <v>22201347</v>
      </c>
      <c r="B10" s="3" t="inlineStr">
        <is>
          <t>יורם</t>
        </is>
      </c>
      <c r="C10" s="3" t="inlineStr">
        <is>
          <t>שלמה</t>
        </is>
      </c>
      <c r="D10" s="3" t="inlineStr">
        <is>
          <t>יורם  שלמה</t>
        </is>
      </c>
      <c r="E10" s="3" t="inlineStr">
        <is>
          <t>רוה"מ</t>
        </is>
      </c>
      <c r="F10" s="3" t="n">
        <v>23754</v>
      </c>
      <c r="G10" s="3" t="n">
        <v>1096.169820027688</v>
      </c>
      <c r="H10" s="3" t="n"/>
      <c r="I10" s="3" t="n"/>
      <c r="J10" s="3" t="inlineStr">
        <is>
          <t>פעיל</t>
        </is>
      </c>
    </row>
    <row r="11">
      <c r="A11" s="3" t="n">
        <v>322131285</v>
      </c>
      <c r="B11" s="3" t="inlineStr">
        <is>
          <t>יענקל</t>
        </is>
      </c>
      <c r="C11" s="3" t="inlineStr">
        <is>
          <t>מונטבולינסקי</t>
        </is>
      </c>
      <c r="D11" s="3" t="inlineStr">
        <is>
          <t>יענקל מונטבולינסקי</t>
        </is>
      </c>
      <c r="E11" s="3" t="inlineStr">
        <is>
          <t>רפאל</t>
        </is>
      </c>
      <c r="F11" s="3" t="n">
        <v>18077</v>
      </c>
      <c r="G11" s="3" t="n">
        <v>834.1947392708813</v>
      </c>
      <c r="H11" s="3" t="n"/>
      <c r="I11" s="3" t="n"/>
      <c r="J11" s="3" t="inlineStr">
        <is>
          <t>פעיל</t>
        </is>
      </c>
    </row>
    <row r="12">
      <c r="A12" s="3" t="n">
        <v>209501998</v>
      </c>
      <c r="B12" s="3" t="inlineStr">
        <is>
          <t>לאון</t>
        </is>
      </c>
      <c r="C12" s="3" t="inlineStr">
        <is>
          <t>שמייב</t>
        </is>
      </c>
      <c r="D12" s="3" t="inlineStr">
        <is>
          <t>לאון שמייב</t>
        </is>
      </c>
      <c r="E12" s="3" t="inlineStr">
        <is>
          <t>רוה"מ</t>
        </is>
      </c>
      <c r="F12" s="3" t="n">
        <v>15825</v>
      </c>
      <c r="G12" s="3" t="n">
        <v>730.2722658052606</v>
      </c>
      <c r="H12" s="3" t="n"/>
      <c r="I12" s="3" t="n"/>
      <c r="J12" s="3" t="inlineStr">
        <is>
          <t>01.07.2025</t>
        </is>
      </c>
    </row>
    <row r="13">
      <c r="A13" s="3" t="n">
        <v>308280510</v>
      </c>
      <c r="B13" s="3" t="inlineStr">
        <is>
          <t>לוי</t>
        </is>
      </c>
      <c r="C13" s="3" t="inlineStr">
        <is>
          <t>דור</t>
        </is>
      </c>
      <c r="D13" s="3" t="inlineStr">
        <is>
          <t>לוי דור</t>
        </is>
      </c>
      <c r="E13" s="3" t="inlineStr">
        <is>
          <t>רפאל</t>
        </is>
      </c>
      <c r="F13" s="3" t="n">
        <v>17921</v>
      </c>
      <c r="G13" s="3" t="n">
        <v>826.995846792801</v>
      </c>
      <c r="H13" s="3" t="n"/>
      <c r="I13" s="3" t="n"/>
      <c r="J13" s="3" t="inlineStr">
        <is>
          <t>פעיל</t>
        </is>
      </c>
    </row>
    <row r="14">
      <c r="A14" s="3" t="n">
        <v>11915519</v>
      </c>
      <c r="B14" s="3" t="inlineStr">
        <is>
          <t>מנפרד</t>
        </is>
      </c>
      <c r="C14" s="3" t="inlineStr">
        <is>
          <t>מרקוביץ'</t>
        </is>
      </c>
      <c r="D14" s="3" t="inlineStr">
        <is>
          <t>מנפרד מרקוביץ'</t>
        </is>
      </c>
      <c r="E14" s="3" t="inlineStr">
        <is>
          <t>רפאל</t>
        </is>
      </c>
      <c r="F14" s="3" t="n">
        <v>18822</v>
      </c>
      <c r="G14" s="3" t="n">
        <v>868.5740655283802</v>
      </c>
      <c r="H14" s="3" t="n"/>
      <c r="I14" s="3" t="n"/>
      <c r="J14" s="3" t="inlineStr">
        <is>
          <t>פעיל</t>
        </is>
      </c>
    </row>
    <row r="15">
      <c r="A15" s="3" t="n">
        <v>25147505</v>
      </c>
      <c r="B15" s="3" t="inlineStr">
        <is>
          <t>משה</t>
        </is>
      </c>
      <c r="C15" s="3" t="inlineStr">
        <is>
          <t>בורך</t>
        </is>
      </c>
      <c r="D15" s="3" t="inlineStr">
        <is>
          <t>משה בורך</t>
        </is>
      </c>
      <c r="E15" s="3" t="inlineStr">
        <is>
          <t>רפאל</t>
        </is>
      </c>
      <c r="F15" s="3" t="n">
        <v>20150</v>
      </c>
      <c r="G15" s="3" t="n">
        <v>929.8569450853714</v>
      </c>
      <c r="H15" s="3" t="n"/>
      <c r="I15" s="3" t="n"/>
      <c r="J15" s="3" t="inlineStr">
        <is>
          <t>פעיל</t>
        </is>
      </c>
    </row>
    <row r="16">
      <c r="A16" s="3" t="n">
        <v>25342445</v>
      </c>
      <c r="B16" s="3" t="inlineStr">
        <is>
          <t>משה</t>
        </is>
      </c>
      <c r="C16" s="3" t="inlineStr">
        <is>
          <t>פינץ</t>
        </is>
      </c>
      <c r="D16" s="3" t="inlineStr">
        <is>
          <t>משה פינץ</t>
        </is>
      </c>
      <c r="E16" s="3" t="inlineStr">
        <is>
          <t>רוה"מ</t>
        </is>
      </c>
      <c r="F16" s="3" t="n">
        <v>19826</v>
      </c>
      <c r="G16" s="3" t="n">
        <v>914.9053991693585</v>
      </c>
      <c r="H16" s="3" t="n"/>
      <c r="I16" s="3" t="n"/>
      <c r="J16" s="3" t="inlineStr">
        <is>
          <t>פעיל</t>
        </is>
      </c>
    </row>
    <row r="17">
      <c r="A17" s="3" t="n">
        <v>25155235</v>
      </c>
      <c r="B17" s="3" t="inlineStr">
        <is>
          <t>נתן</t>
        </is>
      </c>
      <c r="C17" s="3" t="inlineStr">
        <is>
          <t>פרדר</t>
        </is>
      </c>
      <c r="D17" s="3" t="inlineStr">
        <is>
          <t>נתן פרדר</t>
        </is>
      </c>
      <c r="E17" s="3" t="inlineStr">
        <is>
          <t>רוה"מ</t>
        </is>
      </c>
      <c r="F17" s="3" t="n">
        <v>19825</v>
      </c>
      <c r="G17" s="3" t="n">
        <v>914.8592524227041</v>
      </c>
      <c r="H17" s="3" t="n"/>
      <c r="I17" s="3" t="n"/>
      <c r="J17" s="3" t="inlineStr">
        <is>
          <t>פעיל</t>
        </is>
      </c>
    </row>
    <row r="18">
      <c r="A18" s="3" t="n">
        <v>315536524</v>
      </c>
      <c r="B18" s="3" t="inlineStr">
        <is>
          <t>צחי</t>
        </is>
      </c>
      <c r="C18" s="3" t="inlineStr">
        <is>
          <t>חנגל</t>
        </is>
      </c>
      <c r="D18" s="3" t="inlineStr">
        <is>
          <t>צחי חנגל</t>
        </is>
      </c>
      <c r="E18" s="3" t="inlineStr">
        <is>
          <t>רפאל</t>
        </is>
      </c>
      <c r="F18" s="3" t="n">
        <v>17601</v>
      </c>
      <c r="G18" s="3" t="n">
        <v>812.2288878634056</v>
      </c>
      <c r="H18" s="3" t="n"/>
      <c r="I18" s="3" t="n"/>
      <c r="J18" s="3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dataValidations count="2">
    <dataValidation sqref="J3:J100" showDropDown="0" showInputMessage="0" showErrorMessage="0" allowBlank="1" errorTitle="ערך לא חוקי" error="נא לבחור סטטוס מהרשימה" type="list">
      <formula1>"פעיל,לא פעיל,הוגש לביטוח לאומי,חופש,פרישה"</formula1>
    </dataValidation>
    <dataValidation sqref="E3:E100" showDropDown="0" showInputMessage="0" showErrorMessage="0" allowBlank="1" type="list">
      <formula1>"מל"מ,רפאל,רוה"מ"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0" t="inlineStr">
        <is>
          <t>ת.ז.</t>
        </is>
      </c>
      <c r="B1" s="10" t="inlineStr">
        <is>
          <t>שם עובד</t>
        </is>
      </c>
      <c r="C1" s="10" t="inlineStr">
        <is>
          <t>תאריך התחלה</t>
        </is>
      </c>
      <c r="D1" s="10" t="inlineStr">
        <is>
          <t>תאריך סיום</t>
        </is>
      </c>
      <c r="E1" s="10" t="inlineStr">
        <is>
          <t>סוג תשלום</t>
        </is>
      </c>
      <c r="F1" s="10" t="inlineStr">
        <is>
          <t>תגמול ₪</t>
        </is>
      </c>
      <c r="G1" s="10" t="inlineStr">
        <is>
          <t>פיצוי 20% ₪</t>
        </is>
      </c>
      <c r="H1" s="10" t="inlineStr">
        <is>
          <t>תוספת 40% ₪</t>
        </is>
      </c>
      <c r="I1" s="10" t="inlineStr">
        <is>
          <t>סה"כ לעובד ₪</t>
        </is>
      </c>
      <c r="J1" s="10" t="inlineStr">
        <is>
          <t>מספר מנה</t>
        </is>
      </c>
      <c r="K1" s="10" t="inlineStr">
        <is>
          <t>תאריך תשלום</t>
        </is>
      </c>
      <c r="L1" s="10" t="inlineStr">
        <is>
          <t>קובץ מקור</t>
        </is>
      </c>
    </row>
    <row r="2">
      <c r="A2" s="11" t="n">
        <v>11915519</v>
      </c>
      <c r="B2" s="11" t="inlineStr">
        <is>
          <t>מנפרד מרקוביץ'</t>
        </is>
      </c>
      <c r="C2" s="11" t="inlineStr">
        <is>
          <t>07/01/2025</t>
        </is>
      </c>
      <c r="D2" s="11" t="inlineStr">
        <is>
          <t>07/01/2025</t>
        </is>
      </c>
      <c r="E2" s="11" t="inlineStr">
        <is>
          <t>רגיל</t>
        </is>
      </c>
      <c r="F2" s="27" t="n">
        <v>821</v>
      </c>
      <c r="G2" s="27" t="n">
        <v>164</v>
      </c>
      <c r="H2" s="27" t="n">
        <v>0</v>
      </c>
      <c r="I2" s="27" t="n">
        <v>985</v>
      </c>
      <c r="J2" s="11" t="n">
        <v>203</v>
      </c>
      <c r="K2" s="11" t="inlineStr">
        <is>
          <t>09/02/2025</t>
        </is>
      </c>
      <c r="L2" s="11" t="inlineStr">
        <is>
          <t>PDF_מנה_0203</t>
        </is>
      </c>
    </row>
    <row r="3">
      <c r="A3" s="11" t="n">
        <v>11915519</v>
      </c>
      <c r="B3" s="11" t="inlineStr">
        <is>
          <t>מנפרד מרקוביץ'</t>
        </is>
      </c>
      <c r="C3" s="11" t="inlineStr">
        <is>
          <t>16/01/2025</t>
        </is>
      </c>
      <c r="D3" s="11" t="inlineStr">
        <is>
          <t>16/01/2025</t>
        </is>
      </c>
      <c r="E3" s="11" t="inlineStr">
        <is>
          <t>רגיל</t>
        </is>
      </c>
      <c r="F3" s="27" t="n">
        <v>821</v>
      </c>
      <c r="G3" s="27" t="n">
        <v>164</v>
      </c>
      <c r="H3" s="27" t="n">
        <v>0</v>
      </c>
      <c r="I3" s="27" t="n">
        <v>985</v>
      </c>
      <c r="J3" s="11" t="n">
        <v>203</v>
      </c>
      <c r="K3" s="11" t="inlineStr">
        <is>
          <t>09/02/2025</t>
        </is>
      </c>
      <c r="L3" s="11" t="inlineStr">
        <is>
          <t>PDF_מנה_0203</t>
        </is>
      </c>
    </row>
    <row r="4">
      <c r="A4" s="11" t="n">
        <v>22201347</v>
      </c>
      <c r="B4" s="11" t="inlineStr">
        <is>
          <t>שלמה יורם</t>
        </is>
      </c>
      <c r="C4" s="11" t="inlineStr">
        <is>
          <t>01/01/2025</t>
        </is>
      </c>
      <c r="D4" s="11" t="inlineStr">
        <is>
          <t>01/01/2025</t>
        </is>
      </c>
      <c r="E4" s="11" t="inlineStr">
        <is>
          <t>רגיל</t>
        </is>
      </c>
      <c r="F4" s="27" t="n">
        <v>1051</v>
      </c>
      <c r="G4" s="27" t="n">
        <v>210</v>
      </c>
      <c r="H4" s="27" t="n">
        <v>0</v>
      </c>
      <c r="I4" s="27" t="n">
        <v>1261</v>
      </c>
      <c r="J4" s="11" t="n">
        <v>203</v>
      </c>
      <c r="K4" s="11" t="inlineStr">
        <is>
          <t>09/02/2025</t>
        </is>
      </c>
      <c r="L4" s="11" t="inlineStr">
        <is>
          <t>PDF_מנה_0203</t>
        </is>
      </c>
    </row>
    <row r="5">
      <c r="A5" s="11" t="n">
        <v>22201347</v>
      </c>
      <c r="B5" s="11" t="inlineStr">
        <is>
          <t>שלמה יורם</t>
        </is>
      </c>
      <c r="C5" s="11" t="inlineStr">
        <is>
          <t>19/01/2025</t>
        </is>
      </c>
      <c r="D5" s="11" t="inlineStr">
        <is>
          <t>23/01/2025</t>
        </is>
      </c>
      <c r="E5" s="11" t="inlineStr">
        <is>
          <t>רגיל</t>
        </is>
      </c>
      <c r="F5" s="27" t="n">
        <v>5257</v>
      </c>
      <c r="G5" s="27" t="n">
        <v>1051</v>
      </c>
      <c r="H5" s="27" t="n">
        <v>0</v>
      </c>
      <c r="I5" s="27" t="n">
        <v>6308</v>
      </c>
      <c r="J5" s="11" t="n">
        <v>203</v>
      </c>
      <c r="K5" s="11" t="inlineStr">
        <is>
          <t>09/02/2025</t>
        </is>
      </c>
      <c r="L5" s="11" t="inlineStr">
        <is>
          <t>PDF_מנה_0203</t>
        </is>
      </c>
    </row>
    <row r="6">
      <c r="A6" s="11" t="n">
        <v>25147505</v>
      </c>
      <c r="B6" s="11" t="inlineStr">
        <is>
          <t>בורך משה</t>
        </is>
      </c>
      <c r="C6" s="11" t="inlineStr">
        <is>
          <t>27/11/2024</t>
        </is>
      </c>
      <c r="D6" s="11" t="inlineStr">
        <is>
          <t>27/11/2024</t>
        </is>
      </c>
      <c r="E6" s="11" t="inlineStr">
        <is>
          <t>רגיל</t>
        </is>
      </c>
      <c r="F6" s="27" t="n">
        <v>751</v>
      </c>
      <c r="G6" s="27" t="n">
        <v>0</v>
      </c>
      <c r="H6" s="27" t="n">
        <v>0</v>
      </c>
      <c r="I6" s="27" t="n">
        <v>751</v>
      </c>
      <c r="J6" s="11" t="n">
        <v>203</v>
      </c>
      <c r="K6" s="11" t="inlineStr">
        <is>
          <t>09/02/2025</t>
        </is>
      </c>
      <c r="L6" s="11" t="inlineStr">
        <is>
          <t>PDF_מנה_0203</t>
        </is>
      </c>
    </row>
    <row r="7">
      <c r="A7" s="11" t="n">
        <v>25155235</v>
      </c>
      <c r="B7" s="11" t="inlineStr">
        <is>
          <t>פרדר נתן</t>
        </is>
      </c>
      <c r="C7" s="11" t="inlineStr">
        <is>
          <t>05/01/2025</t>
        </is>
      </c>
      <c r="D7" s="11" t="inlineStr">
        <is>
          <t>05/01/2025</t>
        </is>
      </c>
      <c r="E7" s="11" t="inlineStr">
        <is>
          <t>רגיל</t>
        </is>
      </c>
      <c r="F7" s="27" t="n">
        <v>1116</v>
      </c>
      <c r="G7" s="27" t="n">
        <v>223</v>
      </c>
      <c r="H7" s="27" t="n">
        <v>0</v>
      </c>
      <c r="I7" s="27" t="n">
        <v>1339</v>
      </c>
      <c r="J7" s="11" t="n">
        <v>203</v>
      </c>
      <c r="K7" s="11" t="inlineStr">
        <is>
          <t>09/02/2025</t>
        </is>
      </c>
      <c r="L7" s="11" t="inlineStr">
        <is>
          <t>PDF_מנה_0203</t>
        </is>
      </c>
    </row>
    <row r="8">
      <c r="A8" s="11" t="n">
        <v>25155235</v>
      </c>
      <c r="B8" s="11" t="inlineStr">
        <is>
          <t>פרדר נתן</t>
        </is>
      </c>
      <c r="C8" s="11" t="inlineStr">
        <is>
          <t>06/01/2025</t>
        </is>
      </c>
      <c r="D8" s="11" t="inlineStr">
        <is>
          <t>07/01/2025</t>
        </is>
      </c>
      <c r="E8" s="11" t="inlineStr">
        <is>
          <t>רגיל</t>
        </is>
      </c>
      <c r="F8" s="27" t="n">
        <v>2231</v>
      </c>
      <c r="G8" s="27" t="n">
        <v>446</v>
      </c>
      <c r="H8" s="27" t="n">
        <v>0</v>
      </c>
      <c r="I8" s="27" t="n">
        <v>2677</v>
      </c>
      <c r="J8" s="11" t="n">
        <v>203</v>
      </c>
      <c r="K8" s="11" t="inlineStr">
        <is>
          <t>09/02/2025</t>
        </is>
      </c>
      <c r="L8" s="11" t="inlineStr">
        <is>
          <t>PDF_מנה_0203</t>
        </is>
      </c>
    </row>
    <row r="9">
      <c r="A9" s="11" t="n">
        <v>25155235</v>
      </c>
      <c r="B9" s="11" t="inlineStr">
        <is>
          <t>פרדר נתן</t>
        </is>
      </c>
      <c r="C9" s="11" t="inlineStr">
        <is>
          <t>08/01/2025</t>
        </is>
      </c>
      <c r="D9" s="11" t="inlineStr">
        <is>
          <t>09/01/2025</t>
        </is>
      </c>
      <c r="E9" s="11" t="inlineStr">
        <is>
          <t>רגיל</t>
        </is>
      </c>
      <c r="F9" s="27" t="n">
        <v>2231</v>
      </c>
      <c r="G9" s="27" t="n">
        <v>446</v>
      </c>
      <c r="H9" s="27" t="n">
        <v>0</v>
      </c>
      <c r="I9" s="27" t="n">
        <v>2677</v>
      </c>
      <c r="J9" s="11" t="n">
        <v>203</v>
      </c>
      <c r="K9" s="11" t="inlineStr">
        <is>
          <t>09/02/2025</t>
        </is>
      </c>
      <c r="L9" s="11" t="inlineStr">
        <is>
          <t>PDF_מנה_0203</t>
        </is>
      </c>
    </row>
    <row r="10">
      <c r="A10" s="11" t="n">
        <v>25155235</v>
      </c>
      <c r="B10" s="11" t="inlineStr">
        <is>
          <t>פרדר נתן</t>
        </is>
      </c>
      <c r="C10" s="11" t="inlineStr">
        <is>
          <t>10/01/2025</t>
        </is>
      </c>
      <c r="D10" s="11" t="inlineStr">
        <is>
          <t>11/01/2025</t>
        </is>
      </c>
      <c r="E10" s="11" t="inlineStr">
        <is>
          <t>רגיל</t>
        </is>
      </c>
      <c r="F10" s="27" t="n">
        <v>2231</v>
      </c>
      <c r="G10" s="27" t="n">
        <v>446</v>
      </c>
      <c r="H10" s="27" t="n">
        <v>0</v>
      </c>
      <c r="I10" s="27" t="n">
        <v>2677</v>
      </c>
      <c r="J10" s="11" t="n">
        <v>203</v>
      </c>
      <c r="K10" s="11" t="inlineStr">
        <is>
          <t>09/02/2025</t>
        </is>
      </c>
      <c r="L10" s="11" t="inlineStr">
        <is>
          <t>PDF_מנה_0203</t>
        </is>
      </c>
    </row>
    <row r="11">
      <c r="A11" s="11" t="n">
        <v>25155235</v>
      </c>
      <c r="B11" s="11" t="inlineStr">
        <is>
          <t>פרדר נתן</t>
        </is>
      </c>
      <c r="C11" s="11" t="inlineStr">
        <is>
          <t>14/01/2025</t>
        </is>
      </c>
      <c r="D11" s="11" t="inlineStr">
        <is>
          <t>15/01/2025</t>
        </is>
      </c>
      <c r="E11" s="11" t="inlineStr">
        <is>
          <t>רגיל</t>
        </is>
      </c>
      <c r="F11" s="27" t="n">
        <v>2231</v>
      </c>
      <c r="G11" s="27" t="n">
        <v>446</v>
      </c>
      <c r="H11" s="27" t="n">
        <v>0</v>
      </c>
      <c r="I11" s="27" t="n">
        <v>2677</v>
      </c>
      <c r="J11" s="11" t="n">
        <v>203</v>
      </c>
      <c r="K11" s="11" t="inlineStr">
        <is>
          <t>09/02/2025</t>
        </is>
      </c>
      <c r="L11" s="11" t="inlineStr">
        <is>
          <t>PDF_מנה_0203</t>
        </is>
      </c>
    </row>
    <row r="12">
      <c r="A12" s="11" t="n">
        <v>25155235</v>
      </c>
      <c r="B12" s="11" t="inlineStr">
        <is>
          <t>פרדר נתן</t>
        </is>
      </c>
      <c r="C12" s="11" t="inlineStr">
        <is>
          <t>16/01/2025</t>
        </is>
      </c>
      <c r="D12" s="11" t="inlineStr">
        <is>
          <t>17/01/2025</t>
        </is>
      </c>
      <c r="E12" s="11" t="inlineStr">
        <is>
          <t>רגיל</t>
        </is>
      </c>
      <c r="F12" s="27" t="n">
        <v>1116</v>
      </c>
      <c r="G12" s="27" t="n">
        <v>446</v>
      </c>
      <c r="H12" s="27" t="n">
        <v>0</v>
      </c>
      <c r="I12" s="27" t="n">
        <v>1562</v>
      </c>
      <c r="J12" s="11" t="n">
        <v>203</v>
      </c>
      <c r="K12" s="11" t="inlineStr">
        <is>
          <t>09/02/2025</t>
        </is>
      </c>
      <c r="L12" s="11" t="inlineStr">
        <is>
          <t>PDF_מנה_0203</t>
        </is>
      </c>
    </row>
    <row r="13">
      <c r="A13" s="11" t="n">
        <v>25155235</v>
      </c>
      <c r="B13" s="11" t="inlineStr">
        <is>
          <t>פרדר נתן</t>
        </is>
      </c>
      <c r="C13" s="11" t="inlineStr">
        <is>
          <t>20/01/2025</t>
        </is>
      </c>
      <c r="D13" s="11" t="inlineStr">
        <is>
          <t>20/01/2025</t>
        </is>
      </c>
      <c r="E13" s="11" t="inlineStr">
        <is>
          <t>רגיל</t>
        </is>
      </c>
      <c r="F13" s="27" t="n">
        <v>1116</v>
      </c>
      <c r="G13" s="27" t="n">
        <v>223</v>
      </c>
      <c r="H13" s="27" t="n">
        <v>0</v>
      </c>
      <c r="I13" s="27" t="n">
        <v>1339</v>
      </c>
      <c r="J13" s="11" t="n">
        <v>203</v>
      </c>
      <c r="K13" s="11" t="inlineStr">
        <is>
          <t>09/02/2025</t>
        </is>
      </c>
      <c r="L13" s="11" t="inlineStr">
        <is>
          <t>PDF_מנה_0203</t>
        </is>
      </c>
    </row>
    <row r="14">
      <c r="A14" s="11" t="n">
        <v>25155235</v>
      </c>
      <c r="B14" s="11" t="inlineStr">
        <is>
          <t>פרדר נתן</t>
        </is>
      </c>
      <c r="C14" s="11" t="inlineStr">
        <is>
          <t>24/01/2025</t>
        </is>
      </c>
      <c r="D14" s="11" t="inlineStr">
        <is>
          <t>24/01/2025</t>
        </is>
      </c>
      <c r="E14" s="11" t="inlineStr">
        <is>
          <t>רגיל</t>
        </is>
      </c>
      <c r="F14" s="27" t="n">
        <v>1116</v>
      </c>
      <c r="G14" s="27" t="n">
        <v>223</v>
      </c>
      <c r="H14" s="27" t="n">
        <v>0</v>
      </c>
      <c r="I14" s="27" t="n">
        <v>1339</v>
      </c>
      <c r="J14" s="11" t="n">
        <v>203</v>
      </c>
      <c r="K14" s="11" t="inlineStr">
        <is>
          <t>09/02/2025</t>
        </is>
      </c>
      <c r="L14" s="11" t="inlineStr">
        <is>
          <t>PDF_מנה_0203</t>
        </is>
      </c>
    </row>
    <row r="15">
      <c r="A15" s="11" t="n">
        <v>28027738</v>
      </c>
      <c r="B15" s="11" t="inlineStr">
        <is>
          <t>מלח אייל</t>
        </is>
      </c>
      <c r="C15" s="11" t="inlineStr">
        <is>
          <t>01/01/2025</t>
        </is>
      </c>
      <c r="D15" s="11" t="inlineStr">
        <is>
          <t>03/01/2025</t>
        </is>
      </c>
      <c r="E15" s="11" t="inlineStr">
        <is>
          <t>רגיל</t>
        </is>
      </c>
      <c r="F15" s="27" t="n">
        <v>2206</v>
      </c>
      <c r="G15" s="27" t="n">
        <v>556</v>
      </c>
      <c r="H15" s="27" t="n">
        <v>0</v>
      </c>
      <c r="I15" s="27" t="n">
        <v>2762</v>
      </c>
      <c r="J15" s="11" t="n">
        <v>203</v>
      </c>
      <c r="K15" s="11" t="inlineStr">
        <is>
          <t>09/02/2025</t>
        </is>
      </c>
      <c r="L15" s="11" t="inlineStr">
        <is>
          <t>PDF_מנה_0203</t>
        </is>
      </c>
    </row>
    <row r="16">
      <c r="A16" s="11" t="n">
        <v>69304962</v>
      </c>
      <c r="B16" s="11" t="inlineStr">
        <is>
          <t>ראש חיים</t>
        </is>
      </c>
      <c r="C16" s="11" t="inlineStr">
        <is>
          <t>17/11/2024</t>
        </is>
      </c>
      <c r="D16" s="11" t="inlineStr">
        <is>
          <t>21/11/2024</t>
        </is>
      </c>
      <c r="E16" s="11" t="inlineStr">
        <is>
          <t>רגיל</t>
        </is>
      </c>
      <c r="F16" s="27" t="n">
        <v>6811</v>
      </c>
      <c r="G16" s="27" t="n">
        <v>973</v>
      </c>
      <c r="H16" s="27" t="n">
        <v>0</v>
      </c>
      <c r="I16" s="27" t="n">
        <v>7784</v>
      </c>
      <c r="J16" s="11" t="n">
        <v>203</v>
      </c>
      <c r="K16" s="11" t="inlineStr">
        <is>
          <t>09/02/2025</t>
        </is>
      </c>
      <c r="L16" s="11" t="inlineStr">
        <is>
          <t>PDF_מנה_0203</t>
        </is>
      </c>
    </row>
    <row r="17">
      <c r="A17" s="11" t="n">
        <v>203661004</v>
      </c>
      <c r="B17" s="11" t="inlineStr">
        <is>
          <t>אליה אריאל</t>
        </is>
      </c>
      <c r="C17" s="11" t="inlineStr">
        <is>
          <t>17/11/2024</t>
        </is>
      </c>
      <c r="D17" s="11" t="inlineStr">
        <is>
          <t>21/11/2024</t>
        </is>
      </c>
      <c r="E17" s="11" t="inlineStr">
        <is>
          <t>רגיל</t>
        </is>
      </c>
      <c r="F17" s="27" t="n">
        <v>4638</v>
      </c>
      <c r="G17" s="27" t="n">
        <v>663</v>
      </c>
      <c r="H17" s="27" t="n">
        <v>0</v>
      </c>
      <c r="I17" s="27" t="n">
        <v>5301</v>
      </c>
      <c r="J17" s="11" t="n">
        <v>203</v>
      </c>
      <c r="K17" s="11" t="inlineStr">
        <is>
          <t>09/02/2025</t>
        </is>
      </c>
      <c r="L17" s="11" t="inlineStr">
        <is>
          <t>PDF_מנה_0203</t>
        </is>
      </c>
    </row>
    <row r="18">
      <c r="A18" s="11" t="n">
        <v>209501998</v>
      </c>
      <c r="B18" s="11" t="inlineStr">
        <is>
          <t>שמייב לאון</t>
        </is>
      </c>
      <c r="C18" s="11" t="inlineStr">
        <is>
          <t>27/11/2024</t>
        </is>
      </c>
      <c r="D18" s="11" t="inlineStr">
        <is>
          <t>27/11/2024</t>
        </is>
      </c>
      <c r="E18" s="11" t="inlineStr">
        <is>
          <t>רגיל</t>
        </is>
      </c>
      <c r="F18" s="27" t="n">
        <v>550</v>
      </c>
      <c r="G18" s="27" t="n">
        <v>0</v>
      </c>
      <c r="H18" s="27" t="n">
        <v>0</v>
      </c>
      <c r="I18" s="27" t="n">
        <v>550</v>
      </c>
      <c r="J18" s="11" t="n">
        <v>203</v>
      </c>
      <c r="K18" s="11" t="inlineStr">
        <is>
          <t>09/02/2025</t>
        </is>
      </c>
      <c r="L18" s="11" t="inlineStr">
        <is>
          <t>PDF_מנה_0203</t>
        </is>
      </c>
    </row>
    <row r="19">
      <c r="A19" s="11" t="n">
        <v>211877550</v>
      </c>
      <c r="B19" s="11" t="inlineStr">
        <is>
          <t>שווקי אוראל</t>
        </is>
      </c>
      <c r="C19" s="11" t="inlineStr">
        <is>
          <t>17/11/2024</t>
        </is>
      </c>
      <c r="D19" s="11" t="inlineStr">
        <is>
          <t>21/11/2024</t>
        </is>
      </c>
      <c r="E19" s="11" t="inlineStr">
        <is>
          <t>רגיל</t>
        </is>
      </c>
      <c r="F19" s="27" t="n">
        <v>1010</v>
      </c>
      <c r="G19" s="27" t="n">
        <v>606</v>
      </c>
      <c r="H19" s="27" t="n">
        <v>0</v>
      </c>
      <c r="I19" s="27" t="n">
        <v>1616</v>
      </c>
      <c r="J19" s="11" t="n">
        <v>203</v>
      </c>
      <c r="K19" s="11" t="inlineStr">
        <is>
          <t>09/02/2025</t>
        </is>
      </c>
      <c r="L19" s="11" t="inlineStr">
        <is>
          <t>PDF_מנה_0203</t>
        </is>
      </c>
    </row>
    <row r="20">
      <c r="A20" s="11" t="n">
        <v>308280510</v>
      </c>
      <c r="B20" s="11" t="inlineStr">
        <is>
          <t>לוי דור</t>
        </is>
      </c>
      <c r="C20" s="11" t="inlineStr">
        <is>
          <t>09/10/2024</t>
        </is>
      </c>
      <c r="D20" s="11" t="inlineStr">
        <is>
          <t>11/10/2024</t>
        </is>
      </c>
      <c r="E20" s="11" t="inlineStr">
        <is>
          <t>רגיל</t>
        </is>
      </c>
      <c r="F20" s="27" t="n">
        <v>2334</v>
      </c>
      <c r="G20" s="27" t="n">
        <v>427</v>
      </c>
      <c r="H20" s="27" t="n">
        <v>0</v>
      </c>
      <c r="I20" s="27" t="n">
        <v>2761</v>
      </c>
      <c r="J20" s="11" t="n">
        <v>203</v>
      </c>
      <c r="K20" s="11" t="inlineStr">
        <is>
          <t>09/02/2025</t>
        </is>
      </c>
      <c r="L20" s="11" t="inlineStr">
        <is>
          <t>PDF_מנה_0203</t>
        </is>
      </c>
    </row>
    <row r="21">
      <c r="A21" s="11" t="n">
        <v>315536524</v>
      </c>
      <c r="B21" s="11" t="inlineStr">
        <is>
          <t>חנגל צדוק צחי</t>
        </is>
      </c>
      <c r="C21" s="11" t="inlineStr">
        <is>
          <t>27/10/2024</t>
        </is>
      </c>
      <c r="D21" s="11" t="inlineStr">
        <is>
          <t>28/10/2024</t>
        </is>
      </c>
      <c r="E21" s="11" t="inlineStr">
        <is>
          <t>רגיל</t>
        </is>
      </c>
      <c r="F21" s="27" t="n">
        <v>1448</v>
      </c>
      <c r="G21" s="27" t="n">
        <v>0</v>
      </c>
      <c r="H21" s="27" t="n">
        <v>0</v>
      </c>
      <c r="I21" s="27" t="n">
        <v>1448</v>
      </c>
      <c r="J21" s="11" t="n">
        <v>203</v>
      </c>
      <c r="K21" s="11" t="inlineStr">
        <is>
          <t>09/02/2025</t>
        </is>
      </c>
      <c r="L21" s="11" t="inlineStr">
        <is>
          <t>PDF_מנה_0203</t>
        </is>
      </c>
    </row>
    <row r="22">
      <c r="A22" s="11" t="n">
        <v>315536524</v>
      </c>
      <c r="B22" s="11" t="inlineStr">
        <is>
          <t>חנגל צדוק צחי</t>
        </is>
      </c>
      <c r="C22" s="11" t="inlineStr">
        <is>
          <t>25/11/2024</t>
        </is>
      </c>
      <c r="D22" s="11" t="inlineStr">
        <is>
          <t>27/11/2024</t>
        </is>
      </c>
      <c r="E22" s="11" t="inlineStr">
        <is>
          <t>רגיל</t>
        </is>
      </c>
      <c r="F22" s="27" t="n">
        <v>2063</v>
      </c>
      <c r="G22" s="27" t="n">
        <v>0</v>
      </c>
      <c r="H22" s="27" t="n">
        <v>0</v>
      </c>
      <c r="I22" s="27" t="n">
        <v>2063</v>
      </c>
      <c r="J22" s="11" t="n">
        <v>203</v>
      </c>
      <c r="K22" s="11" t="inlineStr">
        <is>
          <t>09/02/2025</t>
        </is>
      </c>
      <c r="L22" s="11" t="inlineStr">
        <is>
          <t>PDF_מנה_0203</t>
        </is>
      </c>
    </row>
    <row r="23">
      <c r="A23" s="11" t="n">
        <v>315919936</v>
      </c>
      <c r="B23" s="11" t="inlineStr">
        <is>
          <t>בנדרימר דניאל</t>
        </is>
      </c>
      <c r="C23" s="11" t="inlineStr">
        <is>
          <t>09/10/2024</t>
        </is>
      </c>
      <c r="D23" s="11" t="inlineStr">
        <is>
          <t>09/10/2024</t>
        </is>
      </c>
      <c r="E23" s="11" t="inlineStr">
        <is>
          <t>רגיל</t>
        </is>
      </c>
      <c r="F23" s="27" t="n">
        <v>551</v>
      </c>
      <c r="G23" s="27" t="n">
        <v>110</v>
      </c>
      <c r="H23" s="27" t="n">
        <v>0</v>
      </c>
      <c r="I23" s="27" t="n">
        <v>661</v>
      </c>
      <c r="J23" s="11" t="n">
        <v>203</v>
      </c>
      <c r="K23" s="11" t="inlineStr">
        <is>
          <t>09/02/2025</t>
        </is>
      </c>
      <c r="L23" s="11" t="inlineStr">
        <is>
          <t>PDF_מנה_0203</t>
        </is>
      </c>
    </row>
    <row r="24">
      <c r="A24" s="11" t="n">
        <v>315919936</v>
      </c>
      <c r="B24" s="11" t="inlineStr">
        <is>
          <t>בנדרימר דניאל</t>
        </is>
      </c>
      <c r="C24" s="11" t="inlineStr">
        <is>
          <t>29/10/2024</t>
        </is>
      </c>
      <c r="D24" s="11" t="inlineStr">
        <is>
          <t>29/10/2024</t>
        </is>
      </c>
      <c r="E24" s="11" t="inlineStr">
        <is>
          <t>רגיל</t>
        </is>
      </c>
      <c r="F24" s="27" t="n">
        <v>1102</v>
      </c>
      <c r="G24" s="27" t="n">
        <v>110</v>
      </c>
      <c r="H24" s="27" t="n">
        <v>0</v>
      </c>
      <c r="I24" s="27" t="n">
        <v>1212</v>
      </c>
      <c r="J24" s="11" t="n">
        <v>203</v>
      </c>
      <c r="K24" s="11" t="inlineStr">
        <is>
          <t>09/02/2025</t>
        </is>
      </c>
      <c r="L24" s="11" t="inlineStr">
        <is>
          <t>PDF_מנה_0203</t>
        </is>
      </c>
    </row>
    <row r="25">
      <c r="A25" s="11" t="n">
        <v>315919936</v>
      </c>
      <c r="B25" s="11" t="inlineStr">
        <is>
          <t>בנדרימר דניאל</t>
        </is>
      </c>
      <c r="C25" s="11" t="inlineStr">
        <is>
          <t>30/10/2024</t>
        </is>
      </c>
      <c r="D25" s="11" t="inlineStr">
        <is>
          <t>30/10/2024</t>
        </is>
      </c>
      <c r="E25" s="11" t="inlineStr">
        <is>
          <t>רגיל</t>
        </is>
      </c>
      <c r="F25" s="27" t="n">
        <v>1102</v>
      </c>
      <c r="G25" s="27" t="n">
        <v>110</v>
      </c>
      <c r="H25" s="27" t="n">
        <v>0</v>
      </c>
      <c r="I25" s="27" t="n">
        <v>1212</v>
      </c>
      <c r="J25" s="11" t="n">
        <v>203</v>
      </c>
      <c r="K25" s="11" t="inlineStr">
        <is>
          <t>09/02/2025</t>
        </is>
      </c>
      <c r="L25" s="11" t="inlineStr">
        <is>
          <t>PDF_מנה_0203</t>
        </is>
      </c>
    </row>
    <row r="26">
      <c r="A26" s="11" t="n">
        <v>315919936</v>
      </c>
      <c r="B26" s="11" t="inlineStr">
        <is>
          <t>בנדרימר דניאל</t>
        </is>
      </c>
      <c r="C26" s="11" t="inlineStr">
        <is>
          <t>17/11/2024</t>
        </is>
      </c>
      <c r="D26" s="11" t="inlineStr">
        <is>
          <t>21/11/2024</t>
        </is>
      </c>
      <c r="E26" s="11" t="inlineStr">
        <is>
          <t>רגיל</t>
        </is>
      </c>
      <c r="F26" s="27" t="n">
        <v>2718</v>
      </c>
      <c r="G26" s="27" t="n">
        <v>544</v>
      </c>
      <c r="H26" s="27" t="n">
        <v>0</v>
      </c>
      <c r="I26" s="27" t="n">
        <v>3262</v>
      </c>
      <c r="J26" s="11" t="n">
        <v>203</v>
      </c>
      <c r="K26" s="11" t="inlineStr">
        <is>
          <t>09/02/2025</t>
        </is>
      </c>
      <c r="L26" s="11" t="inlineStr">
        <is>
          <t>PDF_מנה_0203</t>
        </is>
      </c>
    </row>
    <row r="27">
      <c r="A27" s="11" t="n">
        <v>315919936</v>
      </c>
      <c r="B27" s="11" t="inlineStr">
        <is>
          <t>בנדרימר דניאל</t>
        </is>
      </c>
      <c r="C27" s="11" t="inlineStr">
        <is>
          <t>02/12/2024</t>
        </is>
      </c>
      <c r="D27" s="11" t="inlineStr">
        <is>
          <t>02/12/2024</t>
        </is>
      </c>
      <c r="E27" s="11" t="inlineStr">
        <is>
          <t>רגיל</t>
        </is>
      </c>
      <c r="F27" s="27" t="n">
        <v>97</v>
      </c>
      <c r="G27" s="27" t="n">
        <v>0</v>
      </c>
      <c r="H27" s="27" t="n">
        <v>0</v>
      </c>
      <c r="I27" s="27" t="n">
        <v>97</v>
      </c>
      <c r="J27" s="11" t="n">
        <v>204</v>
      </c>
      <c r="K27" s="11" t="inlineStr">
        <is>
          <t>09/02/2025</t>
        </is>
      </c>
      <c r="L27" s="11" t="inlineStr">
        <is>
          <t>PDF_מנה_0204</t>
        </is>
      </c>
    </row>
    <row r="28">
      <c r="A28" s="11" t="n">
        <v>315919936</v>
      </c>
      <c r="B28" s="11" t="inlineStr">
        <is>
          <t>בנדרימר דניאל</t>
        </is>
      </c>
      <c r="C28" s="11" t="inlineStr">
        <is>
          <t>15/12/2024</t>
        </is>
      </c>
      <c r="D28" s="11" t="inlineStr">
        <is>
          <t>19/12/2024</t>
        </is>
      </c>
      <c r="E28" s="11" t="inlineStr">
        <is>
          <t>רגיל</t>
        </is>
      </c>
      <c r="F28" s="27" t="n">
        <v>484</v>
      </c>
      <c r="G28" s="27" t="n">
        <v>0</v>
      </c>
      <c r="H28" s="27" t="n">
        <v>0</v>
      </c>
      <c r="I28" s="27" t="n">
        <v>484</v>
      </c>
      <c r="J28" s="11" t="n">
        <v>204</v>
      </c>
      <c r="K28" s="11" t="inlineStr">
        <is>
          <t>09/02/2025</t>
        </is>
      </c>
      <c r="L28" s="11" t="inlineStr">
        <is>
          <t>PDF_מנה_0204</t>
        </is>
      </c>
    </row>
    <row r="29">
      <c r="A29" s="11" t="n">
        <v>11915519</v>
      </c>
      <c r="B29" s="11" t="inlineStr">
        <is>
          <t>מרקוביץ' מנפרד</t>
        </is>
      </c>
      <c r="C29" s="11" t="inlineStr">
        <is>
          <t>24/02/2025</t>
        </is>
      </c>
      <c r="D29" s="11" t="inlineStr">
        <is>
          <t>28/02/2025</t>
        </is>
      </c>
      <c r="E29" s="11" t="inlineStr">
        <is>
          <t>רגיל</t>
        </is>
      </c>
      <c r="F29" s="27" t="n">
        <v>7184</v>
      </c>
      <c r="G29" s="27" t="n">
        <v>1217</v>
      </c>
      <c r="H29" s="27" t="n">
        <v>0</v>
      </c>
      <c r="I29" s="27" t="n">
        <v>8401</v>
      </c>
      <c r="J29" s="11" t="n">
        <v>408</v>
      </c>
      <c r="K29" s="11" t="inlineStr">
        <is>
          <t>23/04/2025</t>
        </is>
      </c>
      <c r="L29" s="11" t="inlineStr">
        <is>
          <t>PDF_מנה_0408</t>
        </is>
      </c>
    </row>
    <row r="30">
      <c r="A30" s="11" t="n">
        <v>11915519</v>
      </c>
      <c r="B30" s="11" t="inlineStr">
        <is>
          <t>מרקוביץ' מנפרד</t>
        </is>
      </c>
      <c r="C30" s="11" t="inlineStr">
        <is>
          <t>19/03/2025</t>
        </is>
      </c>
      <c r="D30" s="11" t="inlineStr">
        <is>
          <t>20/03/2025</t>
        </is>
      </c>
      <c r="E30" s="11" t="inlineStr">
        <is>
          <t>רגיל</t>
        </is>
      </c>
      <c r="F30" s="27" t="n">
        <v>2873</v>
      </c>
      <c r="G30" s="27" t="n">
        <v>481</v>
      </c>
      <c r="H30" s="27" t="n">
        <v>0</v>
      </c>
      <c r="I30" s="27" t="n">
        <v>3354</v>
      </c>
      <c r="J30" s="11" t="n">
        <v>408</v>
      </c>
      <c r="K30" s="11" t="inlineStr">
        <is>
          <t>23/04/2025</t>
        </is>
      </c>
      <c r="L30" s="11" t="inlineStr">
        <is>
          <t>PDF_מנה_0408</t>
        </is>
      </c>
    </row>
    <row r="31">
      <c r="A31" s="11" t="n">
        <v>11915519</v>
      </c>
      <c r="B31" s="11" t="inlineStr">
        <is>
          <t>מרקוביץ' מנפרד</t>
        </is>
      </c>
      <c r="C31" s="11" t="inlineStr">
        <is>
          <t>26/03/2025</t>
        </is>
      </c>
      <c r="D31" s="11" t="inlineStr">
        <is>
          <t>26/03/2025</t>
        </is>
      </c>
      <c r="E31" s="11" t="inlineStr">
        <is>
          <t>רגיל</t>
        </is>
      </c>
      <c r="F31" s="27" t="n">
        <v>1437</v>
      </c>
      <c r="G31" s="27" t="n">
        <v>240</v>
      </c>
      <c r="H31" s="27" t="n">
        <v>0</v>
      </c>
      <c r="I31" s="27" t="n">
        <v>1677</v>
      </c>
      <c r="J31" s="11" t="n">
        <v>408</v>
      </c>
      <c r="K31" s="11" t="inlineStr">
        <is>
          <t>23/04/2025</t>
        </is>
      </c>
      <c r="L31" s="11" t="inlineStr">
        <is>
          <t>PDF_מנה_0408</t>
        </is>
      </c>
    </row>
    <row r="32">
      <c r="A32" s="11" t="n">
        <v>22201347</v>
      </c>
      <c r="B32" s="11" t="inlineStr">
        <is>
          <t>שלמה יורם</t>
        </is>
      </c>
      <c r="C32" s="11" t="inlineStr">
        <is>
          <t>10/02/2025</t>
        </is>
      </c>
      <c r="D32" s="11" t="inlineStr">
        <is>
          <t>10/02/2025</t>
        </is>
      </c>
      <c r="E32" s="11" t="inlineStr">
        <is>
          <t>רגיל</t>
        </is>
      </c>
      <c r="F32" s="27" t="n">
        <v>1174</v>
      </c>
      <c r="G32" s="27" t="n">
        <v>235</v>
      </c>
      <c r="H32" s="27" t="n">
        <v>0</v>
      </c>
      <c r="I32" s="27" t="n">
        <v>1409</v>
      </c>
      <c r="J32" s="11" t="n">
        <v>408</v>
      </c>
      <c r="K32" s="11" t="inlineStr">
        <is>
          <t>23/04/2025</t>
        </is>
      </c>
      <c r="L32" s="11" t="inlineStr">
        <is>
          <t>PDF_מנה_0408</t>
        </is>
      </c>
    </row>
    <row r="33">
      <c r="A33" s="11" t="n">
        <v>22201347</v>
      </c>
      <c r="B33" s="11" t="inlineStr">
        <is>
          <t>שלמה יורם</t>
        </is>
      </c>
      <c r="C33" s="11" t="inlineStr">
        <is>
          <t>18/02/2025</t>
        </is>
      </c>
      <c r="D33" s="11" t="inlineStr">
        <is>
          <t>19/02/2025</t>
        </is>
      </c>
      <c r="E33" s="11" t="inlineStr">
        <is>
          <t>רגיל</t>
        </is>
      </c>
      <c r="F33" s="27" t="n">
        <v>3287</v>
      </c>
      <c r="G33" s="27" t="n">
        <v>470</v>
      </c>
      <c r="H33" s="27" t="n">
        <v>0</v>
      </c>
      <c r="I33" s="27" t="n">
        <v>3757</v>
      </c>
      <c r="J33" s="11" t="n">
        <v>408</v>
      </c>
      <c r="K33" s="11" t="inlineStr">
        <is>
          <t>23/04/2025</t>
        </is>
      </c>
      <c r="L33" s="11" t="inlineStr">
        <is>
          <t>PDF_מנה_0408</t>
        </is>
      </c>
    </row>
    <row r="34">
      <c r="A34" s="11" t="n">
        <v>22201347</v>
      </c>
      <c r="B34" s="11" t="inlineStr">
        <is>
          <t>שלמה יורם</t>
        </is>
      </c>
      <c r="C34" s="11" t="inlineStr">
        <is>
          <t>26/02/2025</t>
        </is>
      </c>
      <c r="D34" s="11" t="inlineStr">
        <is>
          <t>26/02/2025</t>
        </is>
      </c>
      <c r="E34" s="11" t="inlineStr">
        <is>
          <t>רגיל</t>
        </is>
      </c>
      <c r="F34" s="27" t="n">
        <v>1174</v>
      </c>
      <c r="G34" s="27" t="n">
        <v>235</v>
      </c>
      <c r="H34" s="27" t="n">
        <v>0</v>
      </c>
      <c r="I34" s="27" t="n">
        <v>1409</v>
      </c>
      <c r="J34" s="11" t="n">
        <v>408</v>
      </c>
      <c r="K34" s="11" t="inlineStr">
        <is>
          <t>23/04/2025</t>
        </is>
      </c>
      <c r="L34" s="11" t="inlineStr">
        <is>
          <t>PDF_מנה_0408</t>
        </is>
      </c>
    </row>
    <row r="35">
      <c r="A35" s="11" t="n">
        <v>22201347</v>
      </c>
      <c r="B35" s="11" t="inlineStr">
        <is>
          <t>שלמה יורם</t>
        </is>
      </c>
      <c r="C35" s="11" t="inlineStr">
        <is>
          <t>04/03/2025</t>
        </is>
      </c>
      <c r="D35" s="11" t="inlineStr">
        <is>
          <t>04/03/2025</t>
        </is>
      </c>
      <c r="E35" s="11" t="inlineStr">
        <is>
          <t>רגיל</t>
        </is>
      </c>
      <c r="F35" s="27" t="n">
        <v>1233</v>
      </c>
      <c r="G35" s="27" t="n">
        <v>247</v>
      </c>
      <c r="H35" s="27" t="n">
        <v>0</v>
      </c>
      <c r="I35" s="27" t="n">
        <v>1480</v>
      </c>
      <c r="J35" s="11" t="n">
        <v>408</v>
      </c>
      <c r="K35" s="11" t="inlineStr">
        <is>
          <t>23/04/2025</t>
        </is>
      </c>
      <c r="L35" s="11" t="inlineStr">
        <is>
          <t>PDF_מנה_0408</t>
        </is>
      </c>
    </row>
    <row r="36">
      <c r="A36" s="11" t="n">
        <v>22201347</v>
      </c>
      <c r="B36" s="11" t="inlineStr">
        <is>
          <t>שלמה יורם</t>
        </is>
      </c>
      <c r="C36" s="11" t="inlineStr">
        <is>
          <t>17/03/2025</t>
        </is>
      </c>
      <c r="D36" s="11" t="inlineStr">
        <is>
          <t>17/03/2025</t>
        </is>
      </c>
      <c r="E36" s="11" t="inlineStr">
        <is>
          <t>רגיל</t>
        </is>
      </c>
      <c r="F36" s="27" t="n">
        <v>1233</v>
      </c>
      <c r="G36" s="27" t="n">
        <v>247</v>
      </c>
      <c r="H36" s="27" t="n">
        <v>0</v>
      </c>
      <c r="I36" s="27" t="n">
        <v>1480</v>
      </c>
      <c r="J36" s="11" t="n">
        <v>408</v>
      </c>
      <c r="K36" s="11" t="inlineStr">
        <is>
          <t>23/04/2025</t>
        </is>
      </c>
      <c r="L36" s="11" t="inlineStr">
        <is>
          <t>PDF_מנה_0408</t>
        </is>
      </c>
    </row>
    <row r="37">
      <c r="A37" s="11" t="n">
        <v>22201347</v>
      </c>
      <c r="B37" s="11" t="inlineStr">
        <is>
          <t>שלמה יורם</t>
        </is>
      </c>
      <c r="C37" s="11" t="inlineStr">
        <is>
          <t>18/03/2025</t>
        </is>
      </c>
      <c r="D37" s="11" t="inlineStr">
        <is>
          <t>19/03/2025</t>
        </is>
      </c>
      <c r="E37" s="11" t="inlineStr">
        <is>
          <t>רגיל</t>
        </is>
      </c>
      <c r="F37" s="27" t="n">
        <v>2466</v>
      </c>
      <c r="G37" s="27" t="n">
        <v>493</v>
      </c>
      <c r="H37" s="27" t="n">
        <v>0</v>
      </c>
      <c r="I37" s="27" t="n">
        <v>2959</v>
      </c>
      <c r="J37" s="11" t="n">
        <v>408</v>
      </c>
      <c r="K37" s="11" t="inlineStr">
        <is>
          <t>23/04/2025</t>
        </is>
      </c>
      <c r="L37" s="11" t="inlineStr">
        <is>
          <t>PDF_מנה_0408</t>
        </is>
      </c>
    </row>
    <row r="38">
      <c r="A38" s="11" t="n">
        <v>22201347</v>
      </c>
      <c r="B38" s="11" t="inlineStr">
        <is>
          <t>שלמה יורם</t>
        </is>
      </c>
      <c r="C38" s="11" t="inlineStr">
        <is>
          <t>30/03/2025</t>
        </is>
      </c>
      <c r="D38" s="11" t="inlineStr">
        <is>
          <t>31/03/2025</t>
        </is>
      </c>
      <c r="E38" s="11" t="inlineStr">
        <is>
          <t>רגיל</t>
        </is>
      </c>
      <c r="F38" s="27" t="n">
        <v>2466</v>
      </c>
      <c r="G38" s="27" t="n">
        <v>493</v>
      </c>
      <c r="H38" s="27" t="n">
        <v>0</v>
      </c>
      <c r="I38" s="27" t="n">
        <v>2959</v>
      </c>
      <c r="J38" s="11" t="n">
        <v>408</v>
      </c>
      <c r="K38" s="11" t="inlineStr">
        <is>
          <t>23/04/2025</t>
        </is>
      </c>
      <c r="L38" s="11" t="inlineStr">
        <is>
          <t>PDF_מנה_0408</t>
        </is>
      </c>
    </row>
    <row r="39">
      <c r="A39" s="11" t="n">
        <v>25147505</v>
      </c>
      <c r="B39" s="11" t="inlineStr">
        <is>
          <t>בורך משה</t>
        </is>
      </c>
      <c r="C39" s="11" t="inlineStr">
        <is>
          <t>23/02/2025</t>
        </is>
      </c>
      <c r="D39" s="11" t="inlineStr">
        <is>
          <t>23/02/2025</t>
        </is>
      </c>
      <c r="E39" s="11" t="inlineStr">
        <is>
          <t>רגיל</t>
        </is>
      </c>
      <c r="F39" s="27" t="n">
        <v>1107</v>
      </c>
      <c r="G39" s="27" t="n">
        <v>158</v>
      </c>
      <c r="H39" s="27" t="n">
        <v>0</v>
      </c>
      <c r="I39" s="27" t="n">
        <v>1265</v>
      </c>
      <c r="J39" s="11" t="n">
        <v>408</v>
      </c>
      <c r="K39" s="11" t="inlineStr">
        <is>
          <t>23/04/2025</t>
        </is>
      </c>
      <c r="L39" s="11" t="inlineStr">
        <is>
          <t>PDF_מנה_0408</t>
        </is>
      </c>
    </row>
    <row r="40">
      <c r="A40" s="11" t="n">
        <v>11915519</v>
      </c>
      <c r="B40" s="11" t="inlineStr">
        <is>
          <t>מנפרד מרקוביץ'</t>
        </is>
      </c>
      <c r="C40" s="11" t="inlineStr">
        <is>
          <t>02/04/2025</t>
        </is>
      </c>
      <c r="D40" s="11" t="inlineStr">
        <is>
          <t>02/04/2025</t>
        </is>
      </c>
      <c r="E40" s="11" t="inlineStr">
        <is>
          <t>רגיל</t>
        </is>
      </c>
      <c r="F40" s="27" t="n">
        <v>1251</v>
      </c>
      <c r="G40" s="27" t="n">
        <v>250</v>
      </c>
      <c r="H40" s="27" t="n">
        <v>0</v>
      </c>
      <c r="I40" s="27" t="n">
        <v>1501</v>
      </c>
      <c r="J40" s="11" t="n">
        <v>802</v>
      </c>
      <c r="K40" s="11" t="inlineStr">
        <is>
          <t>08/08/2025</t>
        </is>
      </c>
      <c r="L40" s="11" t="inlineStr">
        <is>
          <t>PDF_מנה_0802</t>
        </is>
      </c>
    </row>
    <row r="41">
      <c r="A41" s="11" t="n">
        <v>11915519</v>
      </c>
      <c r="B41" s="11" t="inlineStr">
        <is>
          <t>מנפרד מרקוביץ'</t>
        </is>
      </c>
      <c r="C41" s="11" t="inlineStr">
        <is>
          <t>08/04/2025</t>
        </is>
      </c>
      <c r="D41" s="11" t="inlineStr">
        <is>
          <t>08/04/2025</t>
        </is>
      </c>
      <c r="E41" s="11" t="inlineStr">
        <is>
          <t>רגיל</t>
        </is>
      </c>
      <c r="F41" s="27" t="n">
        <v>1251</v>
      </c>
      <c r="G41" s="27" t="n">
        <v>250</v>
      </c>
      <c r="H41" s="27" t="n">
        <v>0</v>
      </c>
      <c r="I41" s="27" t="n">
        <v>1501</v>
      </c>
      <c r="J41" s="11" t="n">
        <v>802</v>
      </c>
      <c r="K41" s="11" t="inlineStr">
        <is>
          <t>08/08/2025</t>
        </is>
      </c>
      <c r="L41" s="11" t="inlineStr">
        <is>
          <t>PDF_מנה_0802</t>
        </is>
      </c>
    </row>
    <row r="42">
      <c r="A42" s="11" t="n">
        <v>11915519</v>
      </c>
      <c r="B42" s="11" t="inlineStr">
        <is>
          <t>מנפרד מרקוביץ'</t>
        </is>
      </c>
      <c r="C42" s="11" t="inlineStr">
        <is>
          <t>04/05/2025</t>
        </is>
      </c>
      <c r="D42" s="11" t="inlineStr">
        <is>
          <t>04/05/2025</t>
        </is>
      </c>
      <c r="E42" s="11" t="inlineStr">
        <is>
          <t>רגיל</t>
        </is>
      </c>
      <c r="F42" s="27" t="n">
        <v>891</v>
      </c>
      <c r="G42" s="27" t="n">
        <v>178</v>
      </c>
      <c r="H42" s="27" t="n">
        <v>0</v>
      </c>
      <c r="I42" s="27" t="n">
        <v>1069</v>
      </c>
      <c r="J42" s="11" t="n">
        <v>802</v>
      </c>
      <c r="K42" s="11" t="inlineStr">
        <is>
          <t>08/08/2025</t>
        </is>
      </c>
      <c r="L42" s="11" t="inlineStr">
        <is>
          <t>PDF_מנה_0802</t>
        </is>
      </c>
    </row>
    <row r="43">
      <c r="A43" s="11" t="n">
        <v>11915519</v>
      </c>
      <c r="B43" s="11" t="inlineStr">
        <is>
          <t>מנפרד מרקוביץ'</t>
        </is>
      </c>
      <c r="C43" s="11" t="inlineStr">
        <is>
          <t>07/05/2025</t>
        </is>
      </c>
      <c r="D43" s="11" t="inlineStr">
        <is>
          <t>07/05/2025</t>
        </is>
      </c>
      <c r="E43" s="11" t="inlineStr">
        <is>
          <t>רגיל</t>
        </is>
      </c>
      <c r="F43" s="27" t="n">
        <v>891</v>
      </c>
      <c r="G43" s="27" t="n">
        <v>178</v>
      </c>
      <c r="H43" s="27" t="n">
        <v>0</v>
      </c>
      <c r="I43" s="27" t="n">
        <v>1069</v>
      </c>
      <c r="J43" s="11" t="n">
        <v>802</v>
      </c>
      <c r="K43" s="11" t="inlineStr">
        <is>
          <t>08/08/2025</t>
        </is>
      </c>
      <c r="L43" s="11" t="inlineStr">
        <is>
          <t>PDF_מנה_0802</t>
        </is>
      </c>
    </row>
    <row r="44">
      <c r="A44" s="11" t="n">
        <v>11915519</v>
      </c>
      <c r="B44" s="11" t="inlineStr">
        <is>
          <t>מנפרד מרקוביץ'</t>
        </is>
      </c>
      <c r="C44" s="11" t="inlineStr">
        <is>
          <t>12/05/2025</t>
        </is>
      </c>
      <c r="D44" s="11" t="inlineStr">
        <is>
          <t>12/05/2025</t>
        </is>
      </c>
      <c r="E44" s="11" t="inlineStr">
        <is>
          <t>רגיל</t>
        </is>
      </c>
      <c r="F44" s="27" t="n">
        <v>891</v>
      </c>
      <c r="G44" s="27" t="n">
        <v>178</v>
      </c>
      <c r="H44" s="27" t="n">
        <v>0</v>
      </c>
      <c r="I44" s="27" t="n">
        <v>1069</v>
      </c>
      <c r="J44" s="11" t="n">
        <v>802</v>
      </c>
      <c r="K44" s="11" t="inlineStr">
        <is>
          <t>08/08/2025</t>
        </is>
      </c>
      <c r="L44" s="11" t="inlineStr">
        <is>
          <t>PDF_מנה_0802</t>
        </is>
      </c>
    </row>
    <row r="45">
      <c r="A45" s="11" t="n">
        <v>11915519</v>
      </c>
      <c r="B45" s="11" t="inlineStr">
        <is>
          <t>מנפרד מרקוביץ'</t>
        </is>
      </c>
      <c r="C45" s="11" t="inlineStr">
        <is>
          <t>24/05/2025</t>
        </is>
      </c>
      <c r="D45" s="11" t="inlineStr">
        <is>
          <t>24/05/2025</t>
        </is>
      </c>
      <c r="E45" s="11" t="inlineStr">
        <is>
          <t>רגיל</t>
        </is>
      </c>
      <c r="F45" s="27" t="n">
        <v>891</v>
      </c>
      <c r="G45" s="27" t="n">
        <v>178</v>
      </c>
      <c r="H45" s="27" t="n">
        <v>0</v>
      </c>
      <c r="I45" s="27" t="n">
        <v>1069</v>
      </c>
      <c r="J45" s="11" t="n">
        <v>802</v>
      </c>
      <c r="K45" s="11" t="inlineStr">
        <is>
          <t>08/08/2025</t>
        </is>
      </c>
      <c r="L45" s="11" t="inlineStr">
        <is>
          <t>PDF_מנה_0802</t>
        </is>
      </c>
    </row>
    <row r="46">
      <c r="A46" s="11" t="n">
        <v>11915519</v>
      </c>
      <c r="B46" s="11" t="inlineStr">
        <is>
          <t>מנפרד מרקוביץ'</t>
        </is>
      </c>
      <c r="C46" s="11" t="inlineStr">
        <is>
          <t>25/05/2025</t>
        </is>
      </c>
      <c r="D46" s="11" t="inlineStr">
        <is>
          <t>31/05/2025</t>
        </is>
      </c>
      <c r="E46" s="11" t="inlineStr">
        <is>
          <t>רגיל</t>
        </is>
      </c>
      <c r="F46" s="27" t="n">
        <v>6234</v>
      </c>
      <c r="G46" s="27" t="n">
        <v>1247</v>
      </c>
      <c r="H46" s="27" t="n">
        <v>0</v>
      </c>
      <c r="I46" s="27" t="n">
        <v>7481</v>
      </c>
      <c r="J46" s="11" t="n">
        <v>802</v>
      </c>
      <c r="K46" s="11" t="inlineStr">
        <is>
          <t>08/08/2025</t>
        </is>
      </c>
      <c r="L46" s="11" t="inlineStr">
        <is>
          <t>PDF_מנה_0802</t>
        </is>
      </c>
    </row>
    <row r="47">
      <c r="A47" s="11" t="n">
        <v>11915519</v>
      </c>
      <c r="B47" s="11" t="inlineStr">
        <is>
          <t>מנפרד מרקוביץ'</t>
        </is>
      </c>
      <c r="C47" s="11" t="inlineStr">
        <is>
          <t>01/06/2025</t>
        </is>
      </c>
      <c r="D47" s="11" t="inlineStr">
        <is>
          <t>30/06/2025</t>
        </is>
      </c>
      <c r="E47" s="11" t="inlineStr">
        <is>
          <t>רגיל</t>
        </is>
      </c>
      <c r="F47" s="27" t="n">
        <v>26717</v>
      </c>
      <c r="G47" s="27" t="n">
        <v>5333</v>
      </c>
      <c r="H47" s="27" t="n">
        <v>0</v>
      </c>
      <c r="I47" s="27" t="n">
        <v>32050</v>
      </c>
      <c r="J47" s="11" t="n">
        <v>802</v>
      </c>
      <c r="K47" s="11" t="inlineStr">
        <is>
          <t>08/08/2025</t>
        </is>
      </c>
      <c r="L47" s="11" t="inlineStr">
        <is>
          <t>PDF_מנה_0802</t>
        </is>
      </c>
    </row>
    <row r="48">
      <c r="A48" s="11" t="n">
        <v>11915519</v>
      </c>
      <c r="B48" s="11" t="inlineStr">
        <is>
          <t>מנפרד מרקוביץ'</t>
        </is>
      </c>
      <c r="C48" s="11" t="inlineStr">
        <is>
          <t>01/07/2025</t>
        </is>
      </c>
      <c r="D48" s="11" t="inlineStr">
        <is>
          <t>31/07/2025</t>
        </is>
      </c>
      <c r="E48" s="11" t="inlineStr">
        <is>
          <t>רגיל</t>
        </is>
      </c>
      <c r="F48" s="27" t="n">
        <v>27607</v>
      </c>
      <c r="G48" s="27" t="n">
        <v>5448</v>
      </c>
      <c r="H48" s="27" t="n">
        <v>0</v>
      </c>
      <c r="I48" s="27" t="n">
        <v>33055</v>
      </c>
      <c r="J48" s="11" t="n">
        <v>802</v>
      </c>
      <c r="K48" s="11" t="inlineStr">
        <is>
          <t>08/08/2025</t>
        </is>
      </c>
      <c r="L48" s="11" t="inlineStr">
        <is>
          <t>PDF_מנה_0802</t>
        </is>
      </c>
    </row>
    <row r="49">
      <c r="A49" s="11" t="n">
        <v>22201347</v>
      </c>
      <c r="B49" s="11" t="inlineStr">
        <is>
          <t>שלמה יורם</t>
        </is>
      </c>
      <c r="C49" s="11" t="inlineStr">
        <is>
          <t>01/04/2025</t>
        </is>
      </c>
      <c r="D49" s="11" t="inlineStr">
        <is>
          <t>03/04/2025</t>
        </is>
      </c>
      <c r="E49" s="11" t="inlineStr">
        <is>
          <t>רגיל</t>
        </is>
      </c>
      <c r="F49" s="27" t="n">
        <v>3798</v>
      </c>
      <c r="G49" s="27" t="n">
        <v>760</v>
      </c>
      <c r="H49" s="27" t="n">
        <v>0</v>
      </c>
      <c r="I49" s="27" t="n">
        <v>4558</v>
      </c>
      <c r="J49" s="11" t="n">
        <v>802</v>
      </c>
      <c r="K49" s="11" t="inlineStr">
        <is>
          <t>08/08/2025</t>
        </is>
      </c>
      <c r="L49" s="11" t="inlineStr">
        <is>
          <t>PDF_מנה_0802</t>
        </is>
      </c>
    </row>
    <row r="50">
      <c r="A50" s="11" t="n">
        <v>22201347</v>
      </c>
      <c r="B50" s="11" t="inlineStr">
        <is>
          <t>שלמה יורם</t>
        </is>
      </c>
      <c r="C50" s="11" t="inlineStr">
        <is>
          <t>09/04/2025</t>
        </is>
      </c>
      <c r="D50" s="11" t="inlineStr">
        <is>
          <t>10/04/2025</t>
        </is>
      </c>
      <c r="E50" s="11" t="inlineStr">
        <is>
          <t>רגיל</t>
        </is>
      </c>
      <c r="F50" s="27" t="n">
        <v>2532</v>
      </c>
      <c r="G50" s="27" t="n">
        <v>506</v>
      </c>
      <c r="H50" s="27" t="n">
        <v>0</v>
      </c>
      <c r="I50" s="27" t="n">
        <v>3038</v>
      </c>
      <c r="J50" s="11" t="n">
        <v>802</v>
      </c>
      <c r="K50" s="11" t="inlineStr">
        <is>
          <t>08/08/2025</t>
        </is>
      </c>
      <c r="L50" s="11" t="inlineStr">
        <is>
          <t>PDF_מנה_0802</t>
        </is>
      </c>
    </row>
    <row r="51">
      <c r="A51" s="11" t="n">
        <v>22201347</v>
      </c>
      <c r="B51" s="11" t="inlineStr">
        <is>
          <t>שלמה יורם</t>
        </is>
      </c>
      <c r="C51" s="11" t="inlineStr">
        <is>
          <t>04/05/2025</t>
        </is>
      </c>
      <c r="D51" s="11" t="inlineStr">
        <is>
          <t>08/05/2025</t>
        </is>
      </c>
      <c r="E51" s="11" t="inlineStr">
        <is>
          <t>רגיל</t>
        </is>
      </c>
      <c r="F51" s="27" t="n">
        <v>5014</v>
      </c>
      <c r="G51" s="27" t="n">
        <v>1254</v>
      </c>
      <c r="H51" s="27" t="n">
        <v>0</v>
      </c>
      <c r="I51" s="27" t="n">
        <v>6268</v>
      </c>
      <c r="J51" s="11" t="n">
        <v>802</v>
      </c>
      <c r="K51" s="11" t="inlineStr">
        <is>
          <t>08/08/2025</t>
        </is>
      </c>
      <c r="L51" s="11" t="inlineStr">
        <is>
          <t>PDF_מנה_0802</t>
        </is>
      </c>
    </row>
    <row r="52">
      <c r="A52" s="11" t="n">
        <v>22201347</v>
      </c>
      <c r="B52" s="11" t="inlineStr">
        <is>
          <t>שלמה יורם</t>
        </is>
      </c>
      <c r="C52" s="11" t="inlineStr">
        <is>
          <t>12/05/2025</t>
        </is>
      </c>
      <c r="D52" s="11" t="inlineStr">
        <is>
          <t>12/05/2025</t>
        </is>
      </c>
      <c r="E52" s="11" t="inlineStr">
        <is>
          <t>רגיל</t>
        </is>
      </c>
      <c r="F52" s="27" t="n">
        <v>1254</v>
      </c>
      <c r="G52" s="27" t="n">
        <v>251</v>
      </c>
      <c r="H52" s="27" t="n">
        <v>0</v>
      </c>
      <c r="I52" s="27" t="n">
        <v>1505</v>
      </c>
      <c r="J52" s="11" t="n">
        <v>802</v>
      </c>
      <c r="K52" s="11" t="inlineStr">
        <is>
          <t>08/08/2025</t>
        </is>
      </c>
      <c r="L52" s="11" t="inlineStr">
        <is>
          <t>PDF_מנה_0802</t>
        </is>
      </c>
    </row>
    <row r="53">
      <c r="A53" s="11" t="n">
        <v>22201347</v>
      </c>
      <c r="B53" s="11" t="inlineStr">
        <is>
          <t>שלמה יורם</t>
        </is>
      </c>
      <c r="C53" s="11" t="inlineStr">
        <is>
          <t>28/05/2025</t>
        </is>
      </c>
      <c r="D53" s="11" t="inlineStr">
        <is>
          <t>28/05/2025</t>
        </is>
      </c>
      <c r="E53" s="11" t="inlineStr">
        <is>
          <t>רגיל</t>
        </is>
      </c>
      <c r="F53" s="27" t="n">
        <v>1254</v>
      </c>
      <c r="G53" s="27" t="n">
        <v>251</v>
      </c>
      <c r="H53" s="27" t="n">
        <v>0</v>
      </c>
      <c r="I53" s="27" t="n">
        <v>1505</v>
      </c>
      <c r="J53" s="11" t="n">
        <v>802</v>
      </c>
      <c r="K53" s="11" t="inlineStr">
        <is>
          <t>08/08/2025</t>
        </is>
      </c>
      <c r="L53" s="11" t="inlineStr">
        <is>
          <t>PDF_מנה_0802</t>
        </is>
      </c>
    </row>
    <row r="54">
      <c r="A54" s="11" t="n">
        <v>22201347</v>
      </c>
      <c r="B54" s="11" t="inlineStr">
        <is>
          <t>שלמה יורם</t>
        </is>
      </c>
      <c r="C54" s="11" t="inlineStr">
        <is>
          <t>05/06/2025</t>
        </is>
      </c>
      <c r="D54" s="11" t="inlineStr">
        <is>
          <t>05/06/2025</t>
        </is>
      </c>
      <c r="E54" s="11" t="inlineStr">
        <is>
          <t>רגיל</t>
        </is>
      </c>
      <c r="F54" s="27" t="n">
        <v>1294</v>
      </c>
      <c r="G54" s="27" t="n">
        <v>259</v>
      </c>
      <c r="H54" s="27" t="n">
        <v>0</v>
      </c>
      <c r="I54" s="27" t="n">
        <v>1553</v>
      </c>
      <c r="J54" s="11" t="n">
        <v>802</v>
      </c>
      <c r="K54" s="11" t="inlineStr">
        <is>
          <t>08/08/2025</t>
        </is>
      </c>
      <c r="L54" s="11" t="inlineStr">
        <is>
          <t>PDF_מנה_0802</t>
        </is>
      </c>
    </row>
    <row r="55">
      <c r="A55" s="11" t="n">
        <v>22201347</v>
      </c>
      <c r="B55" s="11" t="inlineStr">
        <is>
          <t>שלמה יורם</t>
        </is>
      </c>
      <c r="C55" s="11" t="inlineStr">
        <is>
          <t>11/06/2025</t>
        </is>
      </c>
      <c r="D55" s="11" t="inlineStr">
        <is>
          <t>12/06/2025</t>
        </is>
      </c>
      <c r="E55" s="11" t="inlineStr">
        <is>
          <t>רגיל</t>
        </is>
      </c>
      <c r="F55" s="27" t="n">
        <v>2587</v>
      </c>
      <c r="G55" s="27" t="n">
        <v>517</v>
      </c>
      <c r="H55" s="27" t="n">
        <v>0</v>
      </c>
      <c r="I55" s="27" t="n">
        <v>3104</v>
      </c>
      <c r="J55" s="11" t="n">
        <v>802</v>
      </c>
      <c r="K55" s="11" t="inlineStr">
        <is>
          <t>08/08/2025</t>
        </is>
      </c>
      <c r="L55" s="11" t="inlineStr">
        <is>
          <t>PDF_מנה_0802</t>
        </is>
      </c>
    </row>
    <row r="56">
      <c r="A56" s="11" t="n">
        <v>25147505</v>
      </c>
      <c r="B56" s="11" t="inlineStr">
        <is>
          <t>בורך משה</t>
        </is>
      </c>
      <c r="C56" s="11" t="inlineStr">
        <is>
          <t>05/03/2025</t>
        </is>
      </c>
      <c r="D56" s="11" t="inlineStr">
        <is>
          <t>05/03/2025</t>
        </is>
      </c>
      <c r="E56" s="11" t="inlineStr">
        <is>
          <t>רגיל</t>
        </is>
      </c>
      <c r="F56" s="27" t="n">
        <v>812</v>
      </c>
      <c r="G56" s="27" t="n">
        <v>162</v>
      </c>
      <c r="H56" s="27" t="n">
        <v>0</v>
      </c>
      <c r="I56" s="27" t="n">
        <v>974</v>
      </c>
      <c r="J56" s="11" t="n">
        <v>802</v>
      </c>
      <c r="K56" s="11" t="inlineStr">
        <is>
          <t>08/08/2025</t>
        </is>
      </c>
      <c r="L56" s="11" t="inlineStr">
        <is>
          <t>PDF_מנה_0802</t>
        </is>
      </c>
    </row>
    <row r="57">
      <c r="A57" s="11" t="n">
        <v>25147505</v>
      </c>
      <c r="B57" s="11" t="inlineStr">
        <is>
          <t>בורך משה</t>
        </is>
      </c>
      <c r="C57" s="11" t="inlineStr">
        <is>
          <t>24/03/2025</t>
        </is>
      </c>
      <c r="D57" s="11" t="inlineStr">
        <is>
          <t>25/03/2025</t>
        </is>
      </c>
      <c r="E57" s="11" t="inlineStr">
        <is>
          <t>רגיל</t>
        </is>
      </c>
      <c r="F57" s="27" t="n">
        <v>1623</v>
      </c>
      <c r="G57" s="27" t="n">
        <v>325</v>
      </c>
      <c r="H57" s="27" t="n">
        <v>0</v>
      </c>
      <c r="I57" s="27" t="n">
        <v>1948</v>
      </c>
      <c r="J57" s="11" t="n">
        <v>802</v>
      </c>
      <c r="K57" s="11" t="inlineStr">
        <is>
          <t>08/08/2025</t>
        </is>
      </c>
      <c r="L57" s="11" t="inlineStr">
        <is>
          <t>PDF_מנה_0802</t>
        </is>
      </c>
    </row>
    <row r="58">
      <c r="A58" s="11" t="n">
        <v>25147505</v>
      </c>
      <c r="B58" s="11" t="inlineStr">
        <is>
          <t>בורך משה</t>
        </is>
      </c>
      <c r="C58" s="11" t="inlineStr">
        <is>
          <t>27/03/2025</t>
        </is>
      </c>
      <c r="D58" s="11" t="inlineStr">
        <is>
          <t>27/03/2025</t>
        </is>
      </c>
      <c r="E58" s="11" t="inlineStr">
        <is>
          <t>רגיל</t>
        </is>
      </c>
      <c r="F58" s="27" t="n">
        <v>812</v>
      </c>
      <c r="G58" s="27" t="n">
        <v>162</v>
      </c>
      <c r="H58" s="27" t="n">
        <v>0</v>
      </c>
      <c r="I58" s="27" t="n">
        <v>974</v>
      </c>
      <c r="J58" s="11" t="n">
        <v>802</v>
      </c>
      <c r="K58" s="11" t="inlineStr">
        <is>
          <t>08/08/2025</t>
        </is>
      </c>
      <c r="L58" s="11" t="inlineStr">
        <is>
          <t>PDF_מנה_0802</t>
        </is>
      </c>
    </row>
    <row r="59">
      <c r="A59" s="11" t="n">
        <v>25147505</v>
      </c>
      <c r="B59" s="11" t="inlineStr">
        <is>
          <t>בורך משה</t>
        </is>
      </c>
      <c r="C59" s="11" t="inlineStr">
        <is>
          <t>21/04/2025</t>
        </is>
      </c>
      <c r="D59" s="11" t="inlineStr">
        <is>
          <t>21/04/2025</t>
        </is>
      </c>
      <c r="E59" s="11" t="inlineStr">
        <is>
          <t>רגיל</t>
        </is>
      </c>
      <c r="F59" s="27" t="n">
        <v>813</v>
      </c>
      <c r="G59" s="27" t="n">
        <v>163</v>
      </c>
      <c r="H59" s="27" t="n">
        <v>0</v>
      </c>
      <c r="I59" s="27" t="n">
        <v>976</v>
      </c>
      <c r="J59" s="11" t="n">
        <v>802</v>
      </c>
      <c r="K59" s="11" t="inlineStr">
        <is>
          <t>08/08/2025</t>
        </is>
      </c>
      <c r="L59" s="11" t="inlineStr">
        <is>
          <t>PDF_מנה_0802</t>
        </is>
      </c>
    </row>
    <row r="60">
      <c r="A60" s="11" t="n">
        <v>25147505</v>
      </c>
      <c r="B60" s="11" t="inlineStr">
        <is>
          <t>בורך משה</t>
        </is>
      </c>
      <c r="C60" s="11" t="inlineStr">
        <is>
          <t>04/05/2025</t>
        </is>
      </c>
      <c r="D60" s="11" t="inlineStr">
        <is>
          <t>04/05/2025</t>
        </is>
      </c>
      <c r="E60" s="11" t="inlineStr">
        <is>
          <t>רגיל</t>
        </is>
      </c>
      <c r="F60" s="27" t="n">
        <v>805</v>
      </c>
      <c r="G60" s="27" t="n">
        <v>161</v>
      </c>
      <c r="H60" s="27" t="n">
        <v>0</v>
      </c>
      <c r="I60" s="27" t="n">
        <v>966</v>
      </c>
      <c r="J60" s="11" t="n">
        <v>802</v>
      </c>
      <c r="K60" s="11" t="inlineStr">
        <is>
          <t>08/08/2025</t>
        </is>
      </c>
      <c r="L60" s="11" t="inlineStr">
        <is>
          <t>PDF_מנה_0802</t>
        </is>
      </c>
    </row>
    <row r="61">
      <c r="A61" s="11" t="n">
        <v>25147505</v>
      </c>
      <c r="B61" s="11" t="inlineStr">
        <is>
          <t>בורך משה</t>
        </is>
      </c>
      <c r="C61" s="11" t="inlineStr">
        <is>
          <t>12/05/2025</t>
        </is>
      </c>
      <c r="D61" s="11" t="inlineStr">
        <is>
          <t>15/05/2025</t>
        </is>
      </c>
      <c r="E61" s="11" t="inlineStr">
        <is>
          <t>רגיל</t>
        </is>
      </c>
      <c r="F61" s="27" t="n">
        <v>3221</v>
      </c>
      <c r="G61" s="27" t="n">
        <v>644</v>
      </c>
      <c r="H61" s="27" t="n">
        <v>0</v>
      </c>
      <c r="I61" s="27" t="n">
        <v>3865</v>
      </c>
      <c r="J61" s="11" t="n">
        <v>802</v>
      </c>
      <c r="K61" s="11" t="inlineStr">
        <is>
          <t>08/08/2025</t>
        </is>
      </c>
      <c r="L61" s="11" t="inlineStr">
        <is>
          <t>PDF_מנה_0802</t>
        </is>
      </c>
    </row>
    <row r="62">
      <c r="A62" s="11" t="n">
        <v>25147505</v>
      </c>
      <c r="B62" s="11" t="inlineStr">
        <is>
          <t>בורך משה</t>
        </is>
      </c>
      <c r="C62" s="11" t="inlineStr">
        <is>
          <t>19/05/2025</t>
        </is>
      </c>
      <c r="D62" s="11" t="inlineStr">
        <is>
          <t>22/05/2025</t>
        </is>
      </c>
      <c r="E62" s="11" t="inlineStr">
        <is>
          <t>רגיל</t>
        </is>
      </c>
      <c r="F62" s="27" t="n">
        <v>3221</v>
      </c>
      <c r="G62" s="27" t="n">
        <v>644</v>
      </c>
      <c r="H62" s="27" t="n">
        <v>0</v>
      </c>
      <c r="I62" s="27" t="n">
        <v>3865</v>
      </c>
      <c r="J62" s="11" t="n">
        <v>802</v>
      </c>
      <c r="K62" s="11" t="inlineStr">
        <is>
          <t>08/08/2025</t>
        </is>
      </c>
      <c r="L62" s="11" t="inlineStr">
        <is>
          <t>PDF_מנה_0802</t>
        </is>
      </c>
    </row>
    <row r="63">
      <c r="A63" s="11" t="n">
        <v>25147505</v>
      </c>
      <c r="B63" s="11" t="inlineStr">
        <is>
          <t>בורך משה</t>
        </is>
      </c>
      <c r="C63" s="11" t="inlineStr">
        <is>
          <t>25/05/2025</t>
        </is>
      </c>
      <c r="D63" s="11" t="inlineStr">
        <is>
          <t>27/05/2025</t>
        </is>
      </c>
      <c r="E63" s="11" t="inlineStr">
        <is>
          <t>רגיל</t>
        </is>
      </c>
      <c r="F63" s="27" t="n">
        <v>2415</v>
      </c>
      <c r="G63" s="27" t="n">
        <v>483</v>
      </c>
      <c r="H63" s="27" t="n">
        <v>0</v>
      </c>
      <c r="I63" s="27" t="n">
        <v>2898</v>
      </c>
      <c r="J63" s="11" t="n">
        <v>802</v>
      </c>
      <c r="K63" s="11" t="inlineStr">
        <is>
          <t>08/08/2025</t>
        </is>
      </c>
      <c r="L63" s="11" t="inlineStr">
        <is>
          <t>PDF_מנה_0802</t>
        </is>
      </c>
    </row>
    <row r="64">
      <c r="A64" s="11" t="n">
        <v>25147505</v>
      </c>
      <c r="B64" s="11" t="inlineStr">
        <is>
          <t>בורך משה</t>
        </is>
      </c>
      <c r="C64" s="11" t="inlineStr">
        <is>
          <t>15/07/2025</t>
        </is>
      </c>
      <c r="D64" s="11" t="inlineStr">
        <is>
          <t>15/07/2025</t>
        </is>
      </c>
      <c r="E64" s="11" t="inlineStr">
        <is>
          <t>רגיל</t>
        </is>
      </c>
      <c r="F64" s="27" t="n">
        <v>775</v>
      </c>
      <c r="G64" s="27" t="n">
        <v>155</v>
      </c>
      <c r="H64" s="27" t="n">
        <v>0</v>
      </c>
      <c r="I64" s="27" t="n">
        <v>930</v>
      </c>
      <c r="J64" s="11" t="n">
        <v>802</v>
      </c>
      <c r="K64" s="11" t="inlineStr">
        <is>
          <t>08/08/2025</t>
        </is>
      </c>
      <c r="L64" s="11" t="inlineStr">
        <is>
          <t>PDF_מנה_0802</t>
        </is>
      </c>
    </row>
    <row r="65">
      <c r="A65" s="11" t="n">
        <v>25155235</v>
      </c>
      <c r="B65" s="11" t="inlineStr">
        <is>
          <t>פרדר נתן</t>
        </is>
      </c>
      <c r="C65" s="11" t="inlineStr">
        <is>
          <t>10/03/2025</t>
        </is>
      </c>
      <c r="D65" s="11" t="inlineStr">
        <is>
          <t>11/03/2025</t>
        </is>
      </c>
      <c r="E65" s="11" t="inlineStr">
        <is>
          <t>רגיל</t>
        </is>
      </c>
      <c r="F65" s="27" t="n">
        <v>4722</v>
      </c>
      <c r="G65" s="27" t="n">
        <v>472</v>
      </c>
      <c r="H65" s="27" t="n">
        <v>0</v>
      </c>
      <c r="I65" s="27" t="n">
        <v>5194</v>
      </c>
      <c r="J65" s="11" t="n">
        <v>802</v>
      </c>
      <c r="K65" s="11" t="inlineStr">
        <is>
          <t>08/08/2025</t>
        </is>
      </c>
      <c r="L65" s="11" t="inlineStr">
        <is>
          <t>PDF_מנה_0802</t>
        </is>
      </c>
    </row>
    <row r="66">
      <c r="A66" s="11" t="n">
        <v>25155235</v>
      </c>
      <c r="B66" s="11" t="inlineStr">
        <is>
          <t>פרדר נתן</t>
        </is>
      </c>
      <c r="C66" s="11" t="inlineStr">
        <is>
          <t>12/03/2025</t>
        </is>
      </c>
      <c r="D66" s="11" t="inlineStr">
        <is>
          <t>13/03/2025</t>
        </is>
      </c>
      <c r="E66" s="11" t="inlineStr">
        <is>
          <t>רגיל</t>
        </is>
      </c>
      <c r="F66" s="27" t="n">
        <v>4722</v>
      </c>
      <c r="G66" s="27" t="n">
        <v>472</v>
      </c>
      <c r="H66" s="27" t="n">
        <v>0</v>
      </c>
      <c r="I66" s="27" t="n">
        <v>5194</v>
      </c>
      <c r="J66" s="11" t="n">
        <v>802</v>
      </c>
      <c r="K66" s="11" t="inlineStr">
        <is>
          <t>08/08/2025</t>
        </is>
      </c>
      <c r="L66" s="11" t="inlineStr">
        <is>
          <t>PDF_מנה_0802</t>
        </is>
      </c>
    </row>
    <row r="67">
      <c r="A67" s="11" t="n">
        <v>25155235</v>
      </c>
      <c r="B67" s="11" t="inlineStr">
        <is>
          <t>פרדר נתן</t>
        </is>
      </c>
      <c r="C67" s="11" t="inlineStr">
        <is>
          <t>17/03/2025</t>
        </is>
      </c>
      <c r="D67" s="11" t="inlineStr">
        <is>
          <t>18/03/2025</t>
        </is>
      </c>
      <c r="E67" s="11" t="inlineStr">
        <is>
          <t>רגיל</t>
        </is>
      </c>
      <c r="F67" s="27" t="n">
        <v>2361</v>
      </c>
      <c r="G67" s="27" t="n">
        <v>472</v>
      </c>
      <c r="H67" s="27" t="n">
        <v>0</v>
      </c>
      <c r="I67" s="27" t="n">
        <v>2833</v>
      </c>
      <c r="J67" s="11" t="n">
        <v>802</v>
      </c>
      <c r="K67" s="11" t="inlineStr">
        <is>
          <t>08/08/2025</t>
        </is>
      </c>
      <c r="L67" s="11" t="inlineStr">
        <is>
          <t>PDF_מנה_0802</t>
        </is>
      </c>
    </row>
    <row r="68">
      <c r="A68" s="11" t="n">
        <v>22201347</v>
      </c>
      <c r="B68" s="11" t="inlineStr">
        <is>
          <t>יורם שלמה</t>
        </is>
      </c>
      <c r="C68" s="11" t="inlineStr">
        <is>
          <t>17/03/2025</t>
        </is>
      </c>
      <c r="D68" s="11" t="inlineStr">
        <is>
          <t>19/03/2025</t>
        </is>
      </c>
      <c r="E68" s="23" t="inlineStr">
        <is>
          <t>תוספת 40%</t>
        </is>
      </c>
      <c r="F68" s="27" t="n">
        <v>0</v>
      </c>
      <c r="G68" s="27" t="n">
        <v>0</v>
      </c>
      <c r="H68" s="27" t="n">
        <v>1999</v>
      </c>
      <c r="I68" s="27" t="n">
        <v>2031</v>
      </c>
      <c r="J68" s="11" t="n">
        <v>610</v>
      </c>
      <c r="K68" s="11" t="inlineStr">
        <is>
          <t>26/06/2025</t>
        </is>
      </c>
      <c r="L68" s="11" t="inlineStr">
        <is>
          <t>92437586800_09_07_25.xlsx</t>
        </is>
      </c>
    </row>
    <row r="69">
      <c r="A69" s="11" t="n">
        <v>25147505</v>
      </c>
      <c r="B69" s="11" t="inlineStr">
        <is>
          <t>משה בורך</t>
        </is>
      </c>
      <c r="C69" s="11" t="inlineStr">
        <is>
          <t>09/01/2025</t>
        </is>
      </c>
      <c r="D69" s="11" t="inlineStr">
        <is>
          <t>09/01/2025</t>
        </is>
      </c>
      <c r="E69" s="23" t="inlineStr">
        <is>
          <t>תוספת 40%</t>
        </is>
      </c>
      <c r="F69" s="27" t="n">
        <v>0</v>
      </c>
      <c r="G69" s="27" t="n">
        <v>0</v>
      </c>
      <c r="H69" s="27" t="n">
        <v>305</v>
      </c>
      <c r="I69" s="27" t="n">
        <v>307</v>
      </c>
      <c r="J69" s="11" t="n">
        <v>410</v>
      </c>
      <c r="K69" s="11" t="inlineStr">
        <is>
          <t>28/04/2025</t>
        </is>
      </c>
      <c r="L69" s="11" t="inlineStr">
        <is>
          <t>92437586800_28_04_2025.xlsx</t>
        </is>
      </c>
    </row>
    <row r="70">
      <c r="A70" s="11" t="n">
        <v>25155235</v>
      </c>
      <c r="B70" s="11" t="inlineStr">
        <is>
          <t>נתן פרדר</t>
        </is>
      </c>
      <c r="C70" s="11" t="inlineStr">
        <is>
          <t>05/01/2025</t>
        </is>
      </c>
      <c r="D70" s="11" t="inlineStr">
        <is>
          <t>11/01/2025</t>
        </is>
      </c>
      <c r="E70" s="23" t="inlineStr">
        <is>
          <t>תוספת 40%</t>
        </is>
      </c>
      <c r="F70" s="27" t="n">
        <v>0</v>
      </c>
      <c r="G70" s="27" t="n">
        <v>0</v>
      </c>
      <c r="H70" s="27" t="n">
        <v>0</v>
      </c>
      <c r="I70" s="27" t="n">
        <v>0</v>
      </c>
      <c r="J70" s="11" t="n">
        <v>410</v>
      </c>
      <c r="K70" s="11" t="inlineStr">
        <is>
          <t>28/04/2025</t>
        </is>
      </c>
      <c r="L70" s="11" t="inlineStr">
        <is>
          <t>92437586800_28_04_2025.xlsx</t>
        </is>
      </c>
    </row>
    <row r="71">
      <c r="A71" s="11" t="n">
        <v>25155235</v>
      </c>
      <c r="B71" s="11" t="inlineStr">
        <is>
          <t>נתן פרדר</t>
        </is>
      </c>
      <c r="C71" s="11" t="inlineStr">
        <is>
          <t>14/01/2025</t>
        </is>
      </c>
      <c r="D71" s="11" t="inlineStr">
        <is>
          <t>17/01/2025</t>
        </is>
      </c>
      <c r="E71" s="23" t="inlineStr">
        <is>
          <t>תוספת 40%</t>
        </is>
      </c>
      <c r="F71" s="27" t="n">
        <v>0</v>
      </c>
      <c r="G71" s="27" t="n">
        <v>0</v>
      </c>
      <c r="H71" s="27" t="n">
        <v>1785</v>
      </c>
      <c r="I71" s="27" t="n">
        <v>1795</v>
      </c>
      <c r="J71" s="11" t="n">
        <v>410</v>
      </c>
      <c r="K71" s="11" t="inlineStr">
        <is>
          <t>28/04/2025</t>
        </is>
      </c>
      <c r="L71" s="11" t="inlineStr">
        <is>
          <t>92437586800_28_04_2025.xlsx</t>
        </is>
      </c>
    </row>
    <row r="72">
      <c r="A72" s="11" t="n">
        <v>28027738</v>
      </c>
      <c r="B72" s="11" t="inlineStr">
        <is>
          <t>אייל מלח</t>
        </is>
      </c>
      <c r="C72" s="11" t="inlineStr">
        <is>
          <t>07/10/2023</t>
        </is>
      </c>
      <c r="D72" s="11" t="inlineStr">
        <is>
          <t>03/01/2025</t>
        </is>
      </c>
      <c r="E72" s="23" t="inlineStr">
        <is>
          <t>תוספת 40%</t>
        </is>
      </c>
      <c r="F72" s="27" t="n">
        <v>0</v>
      </c>
      <c r="G72" s="27" t="n">
        <v>0</v>
      </c>
      <c r="H72" s="27" t="n">
        <v>0</v>
      </c>
      <c r="I72" s="27" t="n">
        <v>0</v>
      </c>
      <c r="J72" s="11" t="n">
        <v>410</v>
      </c>
      <c r="K72" s="11" t="inlineStr">
        <is>
          <t>28/04/2025</t>
        </is>
      </c>
      <c r="L72" s="11" t="inlineStr">
        <is>
          <t>92437586800_28_04_2025.xlsx</t>
        </is>
      </c>
    </row>
    <row r="73">
      <c r="A73" s="11" t="n">
        <v>22201347</v>
      </c>
      <c r="B73" s="11" t="inlineStr">
        <is>
          <t>יורם שלמה</t>
        </is>
      </c>
      <c r="C73" s="11" t="inlineStr">
        <is>
          <t>18/08/2024</t>
        </is>
      </c>
      <c r="D73" s="11" t="inlineStr">
        <is>
          <t>24/08/2024</t>
        </is>
      </c>
      <c r="E73" s="23" t="inlineStr">
        <is>
          <t>תוספת 40%</t>
        </is>
      </c>
      <c r="F73" s="27" t="n">
        <v>0</v>
      </c>
      <c r="G73" s="27" t="n">
        <v>0</v>
      </c>
      <c r="H73" s="27" t="n">
        <v>0</v>
      </c>
      <c r="I73" s="27" t="n">
        <v>0</v>
      </c>
      <c r="J73" s="11" t="n">
        <v>510</v>
      </c>
      <c r="K73" s="11" t="inlineStr">
        <is>
          <t>23/05/2025</t>
        </is>
      </c>
      <c r="L73" s="11" t="inlineStr">
        <is>
          <t>92437586800_NK-0510-250519-509_-1363229539_10591_0_01.xlsx</t>
        </is>
      </c>
    </row>
    <row r="74">
      <c r="A74" s="11" t="n">
        <v>22201347</v>
      </c>
      <c r="B74" s="11" t="inlineStr">
        <is>
          <t>יורם שלמה</t>
        </is>
      </c>
      <c r="C74" s="11" t="inlineStr">
        <is>
          <t>07/10/2024</t>
        </is>
      </c>
      <c r="D74" s="11" t="inlineStr">
        <is>
          <t>08/10/2024</t>
        </is>
      </c>
      <c r="E74" s="23" t="inlineStr">
        <is>
          <t>תוספת 40%</t>
        </is>
      </c>
      <c r="F74" s="27" t="n">
        <v>0</v>
      </c>
      <c r="G74" s="27" t="n">
        <v>0</v>
      </c>
      <c r="H74" s="27" t="n">
        <v>1308</v>
      </c>
      <c r="I74" s="27" t="n">
        <v>1320</v>
      </c>
      <c r="J74" s="11" t="n">
        <v>510</v>
      </c>
      <c r="K74" s="11" t="inlineStr">
        <is>
          <t>23/05/2025</t>
        </is>
      </c>
      <c r="L74" s="11" t="inlineStr">
        <is>
          <t>92437586800_NK-0510-250519-509_-1363229539_10591_0_01.xlsx</t>
        </is>
      </c>
    </row>
    <row r="75">
      <c r="A75" s="11" t="n">
        <v>22201347</v>
      </c>
      <c r="B75" s="11" t="inlineStr">
        <is>
          <t>יורם שלמה</t>
        </is>
      </c>
      <c r="C75" s="11" t="inlineStr">
        <is>
          <t>10/10/2024</t>
        </is>
      </c>
      <c r="D75" s="11" t="inlineStr">
        <is>
          <t>10/10/2024</t>
        </is>
      </c>
      <c r="E75" s="23" t="inlineStr">
        <is>
          <t>תוספת 40%</t>
        </is>
      </c>
      <c r="F75" s="27" t="n">
        <v>0</v>
      </c>
      <c r="G75" s="27" t="n">
        <v>0</v>
      </c>
      <c r="H75" s="27" t="n">
        <v>654</v>
      </c>
      <c r="I75" s="27" t="n">
        <v>660</v>
      </c>
      <c r="J75" s="11" t="n">
        <v>510</v>
      </c>
      <c r="K75" s="11" t="inlineStr">
        <is>
          <t>23/05/2025</t>
        </is>
      </c>
      <c r="L75" s="11" t="inlineStr">
        <is>
          <t>92437586800_NK-0510-250519-509_-1363229539_10591_0_01.xlsx</t>
        </is>
      </c>
    </row>
    <row r="76">
      <c r="A76" s="11" t="n">
        <v>22201347</v>
      </c>
      <c r="B76" s="11" t="inlineStr">
        <is>
          <t>יורם שלמה</t>
        </is>
      </c>
      <c r="C76" s="11" t="inlineStr">
        <is>
          <t>13/10/2024</t>
        </is>
      </c>
      <c r="D76" s="11" t="inlineStr">
        <is>
          <t>31/10/2024</t>
        </is>
      </c>
      <c r="E76" s="23" t="inlineStr">
        <is>
          <t>תוספת 40%</t>
        </is>
      </c>
      <c r="F76" s="27" t="n">
        <v>0</v>
      </c>
      <c r="G76" s="27" t="n">
        <v>0</v>
      </c>
      <c r="H76" s="27" t="n">
        <v>3269</v>
      </c>
      <c r="I76" s="27" t="n">
        <v>3298</v>
      </c>
      <c r="J76" s="11" t="n">
        <v>510</v>
      </c>
      <c r="K76" s="11" t="inlineStr">
        <is>
          <t>23/05/2025</t>
        </is>
      </c>
      <c r="L76" s="11" t="inlineStr">
        <is>
          <t>92437586800_NK-0510-250519-509_-1363229539_10591_0_01.xlsx</t>
        </is>
      </c>
    </row>
    <row r="77">
      <c r="A77" s="11" t="n">
        <v>22201347</v>
      </c>
      <c r="B77" s="11" t="inlineStr">
        <is>
          <t>יורם שלמה</t>
        </is>
      </c>
      <c r="C77" s="11" t="inlineStr">
        <is>
          <t>03/11/2024</t>
        </is>
      </c>
      <c r="D77" s="11" t="inlineStr">
        <is>
          <t>07/11/2024</t>
        </is>
      </c>
      <c r="E77" s="23" t="inlineStr">
        <is>
          <t>תוספת 40%</t>
        </is>
      </c>
      <c r="F77" s="27" t="n">
        <v>0</v>
      </c>
      <c r="G77" s="27" t="n">
        <v>0</v>
      </c>
      <c r="H77" s="27" t="n">
        <v>3269</v>
      </c>
      <c r="I77" s="27" t="n">
        <v>3282</v>
      </c>
      <c r="J77" s="11" t="n">
        <v>510</v>
      </c>
      <c r="K77" s="11" t="inlineStr">
        <is>
          <t>23/05/2025</t>
        </is>
      </c>
      <c r="L77" s="11" t="inlineStr">
        <is>
          <t>92437586800_NK-0510-250519-509_-1363229539_10591_0_01.xlsx</t>
        </is>
      </c>
    </row>
    <row r="78">
      <c r="A78" s="11" t="n">
        <v>22201347</v>
      </c>
      <c r="B78" s="11" t="inlineStr">
        <is>
          <t>יורם שלמה</t>
        </is>
      </c>
      <c r="C78" s="11" t="inlineStr">
        <is>
          <t>10/11/2024</t>
        </is>
      </c>
      <c r="D78" s="11" t="inlineStr">
        <is>
          <t>13/11/2024</t>
        </is>
      </c>
      <c r="E78" s="23" t="inlineStr">
        <is>
          <t>תוספת 40%</t>
        </is>
      </c>
      <c r="F78" s="27" t="n">
        <v>0</v>
      </c>
      <c r="G78" s="27" t="n">
        <v>0</v>
      </c>
      <c r="H78" s="27" t="n">
        <v>2615</v>
      </c>
      <c r="I78" s="27" t="n">
        <v>2626</v>
      </c>
      <c r="J78" s="11" t="n">
        <v>510</v>
      </c>
      <c r="K78" s="11" t="inlineStr">
        <is>
          <t>23/05/2025</t>
        </is>
      </c>
      <c r="L78" s="11" t="inlineStr">
        <is>
          <t>92437586800_NK-0510-250519-509_-1363229539_10591_0_01.xlsx</t>
        </is>
      </c>
    </row>
    <row r="79">
      <c r="A79" s="11" t="n">
        <v>22201347</v>
      </c>
      <c r="B79" s="11" t="inlineStr">
        <is>
          <t>יורם שלמה</t>
        </is>
      </c>
      <c r="C79" s="11" t="inlineStr">
        <is>
          <t>17/11/2024</t>
        </is>
      </c>
      <c r="D79" s="11" t="inlineStr">
        <is>
          <t>21/11/2024</t>
        </is>
      </c>
      <c r="E79" s="23" t="inlineStr">
        <is>
          <t>תוספת 40%</t>
        </is>
      </c>
      <c r="F79" s="27" t="n">
        <v>0</v>
      </c>
      <c r="G79" s="27" t="n">
        <v>0</v>
      </c>
      <c r="H79" s="27" t="n">
        <v>3269</v>
      </c>
      <c r="I79" s="27" t="n">
        <v>3282</v>
      </c>
      <c r="J79" s="11" t="n">
        <v>510</v>
      </c>
      <c r="K79" s="11" t="inlineStr">
        <is>
          <t>23/05/2025</t>
        </is>
      </c>
      <c r="L79" s="11" t="inlineStr">
        <is>
          <t>92437586800_NK-0510-250519-509_-1363229539_10591_0_01.xlsx</t>
        </is>
      </c>
    </row>
    <row r="80">
      <c r="A80" s="11" t="n">
        <v>22201347</v>
      </c>
      <c r="B80" s="11" t="inlineStr">
        <is>
          <t>יורם שלמה</t>
        </is>
      </c>
      <c r="C80" s="11" t="inlineStr">
        <is>
          <t>24/11/2024</t>
        </is>
      </c>
      <c r="D80" s="11" t="inlineStr">
        <is>
          <t>08/12/2024</t>
        </is>
      </c>
      <c r="E80" s="23" t="inlineStr">
        <is>
          <t>תוספת 40%</t>
        </is>
      </c>
      <c r="F80" s="27" t="n">
        <v>0</v>
      </c>
      <c r="G80" s="27" t="n">
        <v>0</v>
      </c>
      <c r="H80" s="27" t="n">
        <v>654</v>
      </c>
      <c r="I80" s="27" t="n">
        <v>659</v>
      </c>
      <c r="J80" s="11" t="n">
        <v>510</v>
      </c>
      <c r="K80" s="11" t="inlineStr">
        <is>
          <t>23/05/2025</t>
        </is>
      </c>
      <c r="L80" s="11" t="inlineStr">
        <is>
          <t>92437586800_NK-0510-250519-509_-1363229539_10591_0_01.xlsx</t>
        </is>
      </c>
    </row>
    <row r="81">
      <c r="A81" s="11" t="n">
        <v>22201347</v>
      </c>
      <c r="B81" s="11" t="inlineStr">
        <is>
          <t>יורם שלמה</t>
        </is>
      </c>
      <c r="C81" s="11" t="inlineStr">
        <is>
          <t>15/12/2024</t>
        </is>
      </c>
      <c r="D81" s="11" t="inlineStr">
        <is>
          <t>19/12/2024</t>
        </is>
      </c>
      <c r="E81" s="23" t="inlineStr">
        <is>
          <t>תוספת 40%</t>
        </is>
      </c>
      <c r="F81" s="27" t="n">
        <v>0</v>
      </c>
      <c r="G81" s="27" t="n">
        <v>0</v>
      </c>
      <c r="H81" s="27" t="n">
        <v>3269</v>
      </c>
      <c r="I81" s="27" t="n">
        <v>3295</v>
      </c>
      <c r="J81" s="11" t="n">
        <v>510</v>
      </c>
      <c r="K81" s="11" t="inlineStr">
        <is>
          <t>23/05/2025</t>
        </is>
      </c>
      <c r="L81" s="11" t="inlineStr">
        <is>
          <t>92437586800_NK-0510-250519-509_-1363229539_10591_0_01.xlsx</t>
        </is>
      </c>
    </row>
  </sheetData>
  <autoFilter ref="A1:L81"/>
  <dataValidations count="2">
    <dataValidation sqref="B2:B1000" showDropDown="0" showInputMessage="0" showErrorMessage="0" allowBlank="1" type="list">
      <formula1>'1️⃣ רשימת עובדים'!$D$3:$D$100</formula1>
    </dataValidation>
    <dataValidation sqref="E2:E1000" showDropDown="0" showInputMessage="0" showErrorMessage="0" allowBlank="1" type="list">
      <formula1>"תשלום ראשוני,הפרש,תוספת 40%,החזר,אחר"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7" customWidth="1" min="10" max="10"/>
    <col width="15" customWidth="1" min="11" max="11"/>
    <col width="35" customWidth="1" min="12" max="12"/>
  </cols>
  <sheetData>
    <row r="1" ht="25" customHeight="1">
      <c r="A1" s="10" t="inlineStr">
        <is>
          <t>שם עובד</t>
        </is>
      </c>
      <c r="B1" s="10" t="inlineStr">
        <is>
          <t>מחלקה</t>
        </is>
      </c>
      <c r="C1" s="10" t="inlineStr">
        <is>
          <t>חודש</t>
        </is>
      </c>
      <c r="D1" s="10" t="inlineStr">
        <is>
          <t>מספר תקופות</t>
        </is>
      </c>
      <c r="E1" s="10" t="inlineStr">
        <is>
          <t>סה"כ ימים</t>
        </is>
      </c>
      <c r="F1" s="10" t="inlineStr">
        <is>
          <t>ימי א-ה</t>
        </is>
      </c>
      <c r="G1" s="10" t="inlineStr">
        <is>
          <t>ימי סופ"ש</t>
        </is>
      </c>
      <c r="H1" s="10" t="inlineStr">
        <is>
          <t>צפוי מב"ל</t>
        </is>
      </c>
      <c r="I1" s="10" t="inlineStr">
        <is>
          <t>התקבל מב"ל</t>
        </is>
      </c>
      <c r="J1" s="10" t="inlineStr">
        <is>
          <t>הפרש</t>
        </is>
      </c>
      <c r="K1" s="10" t="inlineStr">
        <is>
          <t>סטטוס</t>
        </is>
      </c>
      <c r="L1" s="10" t="inlineStr">
        <is>
          <t>מזהי תקופות</t>
        </is>
      </c>
    </row>
    <row r="2">
      <c r="A2" s="11" t="inlineStr">
        <is>
          <t>אוראל שווקי</t>
        </is>
      </c>
      <c r="B2" s="11" t="inlineStr">
        <is>
          <t>רפאל</t>
        </is>
      </c>
      <c r="C2" s="11" t="inlineStr">
        <is>
          <t>03/2025</t>
        </is>
      </c>
      <c r="D2" s="12">
        <f>COUNTIFS('2️⃣ תקופות מילואים'!$B:$B,A2,'2️⃣ תקופות מילואים'!$F:$F,C2)</f>
        <v/>
      </c>
      <c r="E2" s="12">
        <f>SUMIFS('2️⃣ תקופות מילואים'!$G:$G,'2️⃣ תקופות מילואים'!$B:$B,A2,'2️⃣ תקופות מילואים'!$F:$F,C2)</f>
        <v/>
      </c>
      <c r="F2" s="12">
        <f>SUMIFS('2️⃣ תקופות מילואים'!$H:$H,'2️⃣ תקופות מילואים'!$B:$B,A2,'2️⃣ תקופות מילואים'!$F:$F,C2)</f>
        <v/>
      </c>
      <c r="G2" s="11">
        <f>SUMIFS('2️⃣ תקופות מילואים'!$I:$I,'2️⃣ תקופות מילואים'!$B:$B,A2,'2️⃣ תקופות מילואים'!$F:$F,C2)+SUMIFS('2️⃣ תקופות מילואים'!$J:$J,'2️⃣ תקופות מילואים'!$B:$B,A2,'2️⃣ תקופות מילואים'!$F:$F,C2)+SUMIFS('2️⃣ תקופות מילואים'!$K:$K,'2️⃣ תקופות מילואים'!$B:$B,A2,'2️⃣ תקופות מילואים'!$F:$F,C2)</f>
        <v/>
      </c>
      <c r="H2" s="11">
        <f>SUMIFS('2️⃣ תקופות מילואים'!$P:$P,'2️⃣ תקופות מילואים'!$B:$B,A2,'2️⃣ תקופות מילואים'!$F:$F,C2)</f>
        <v/>
      </c>
      <c r="I2" s="11">
        <f>SUMIFS('3️⃣ תשלומי ב"ל'!$I:$I,'3️⃣ תשלומי ב"ל'!$B:$B,A2)</f>
        <v/>
      </c>
      <c r="J2" s="11" t="inlineStr"/>
      <c r="K2" s="13" t="inlineStr">
        <is>
          <t>ממתין לתקבול</t>
        </is>
      </c>
      <c r="L2" s="11" t="inlineStr">
        <is>
          <t>P0001</t>
        </is>
      </c>
    </row>
    <row r="3">
      <c r="A3" s="11" t="inlineStr">
        <is>
          <t>אורי אשתר</t>
        </is>
      </c>
      <c r="B3" s="11" t="inlineStr">
        <is>
          <t>מל"מ</t>
        </is>
      </c>
      <c r="C3" s="11" t="inlineStr">
        <is>
          <t>09/2025</t>
        </is>
      </c>
      <c r="D3" s="12">
        <f>COUNTIFS('2️⃣ תקופות מילואים'!$B:$B,A3,'2️⃣ תקופות מילואים'!$F:$F,C3)</f>
        <v/>
      </c>
      <c r="E3" s="12">
        <f>SUMIFS('2️⃣ תקופות מילואים'!$G:$G,'2️⃣ תקופות מילואים'!$B:$B,A3,'2️⃣ תקופות מילואים'!$F:$F,C3)</f>
        <v/>
      </c>
      <c r="F3" s="12">
        <f>SUMIFS('2️⃣ תקופות מילואים'!$H:$H,'2️⃣ תקופות מילואים'!$B:$B,A3,'2️⃣ תקופות מילואים'!$F:$F,C3)</f>
        <v/>
      </c>
      <c r="G3" s="11">
        <f>SUMIFS('2️⃣ תקופות מילואים'!$I:$I,'2️⃣ תקופות מילואים'!$B:$B,A3,'2️⃣ תקופות מילואים'!$F:$F,C3)+SUMIFS('2️⃣ תקופות מילואים'!$J:$J,'2️⃣ תקופות מילואים'!$B:$B,A3,'2️⃣ תקופות מילואים'!$F:$F,C3)+SUMIFS('2️⃣ תקופות מילואים'!$K:$K,'2️⃣ תקופות מילואים'!$B:$B,A3,'2️⃣ תקופות מילואים'!$F:$F,C3)</f>
        <v/>
      </c>
      <c r="H3" s="11">
        <f>SUMIFS('2️⃣ תקופות מילואים'!$P:$P,'2️⃣ תקופות מילואים'!$B:$B,A3,'2️⃣ תקופות מילואים'!$F:$F,C3)</f>
        <v/>
      </c>
      <c r="I3" s="11">
        <f>SUMIFS('3️⃣ תשלומי ב"ל'!$I:$I,'3️⃣ תשלומי ב"ל'!$B:$B,A3)</f>
        <v/>
      </c>
      <c r="J3" s="11" t="inlineStr"/>
      <c r="K3" s="13" t="inlineStr">
        <is>
          <t>ממתין לתקבול</t>
        </is>
      </c>
      <c r="L3" s="11" t="inlineStr">
        <is>
          <t>P0002</t>
        </is>
      </c>
    </row>
    <row r="4">
      <c r="A4" s="11" t="inlineStr">
        <is>
          <t>אייל מלח</t>
        </is>
      </c>
      <c r="B4" s="11" t="inlineStr">
        <is>
          <t>רפאל</t>
        </is>
      </c>
      <c r="C4" s="11" t="inlineStr">
        <is>
          <t>01/2025</t>
        </is>
      </c>
      <c r="D4" s="12">
        <f>COUNTIFS('2️⃣ תקופות מילואים'!$B:$B,A4,'2️⃣ תקופות מילואים'!$F:$F,C4)</f>
        <v/>
      </c>
      <c r="E4" s="12">
        <f>SUMIFS('2️⃣ תקופות מילואים'!$G:$G,'2️⃣ תקופות מילואים'!$B:$B,A4,'2️⃣ תקופות מילואים'!$F:$F,C4)</f>
        <v/>
      </c>
      <c r="F4" s="12">
        <f>SUMIFS('2️⃣ תקופות מילואים'!$H:$H,'2️⃣ תקופות מילואים'!$B:$B,A4,'2️⃣ תקופות מילואים'!$F:$F,C4)</f>
        <v/>
      </c>
      <c r="G4" s="11">
        <f>SUMIFS('2️⃣ תקופות מילואים'!$I:$I,'2️⃣ תקופות מילואים'!$B:$B,A4,'2️⃣ תקופות מילואים'!$F:$F,C4)+SUMIFS('2️⃣ תקופות מילואים'!$J:$J,'2️⃣ תקופות מילואים'!$B:$B,A4,'2️⃣ תקופות מילואים'!$F:$F,C4)+SUMIFS('2️⃣ תקופות מילואים'!$K:$K,'2️⃣ תקופות מילואים'!$B:$B,A4,'2️⃣ תקופות מילואים'!$F:$F,C4)</f>
        <v/>
      </c>
      <c r="H4" s="11">
        <f>SUMIFS('2️⃣ תקופות מילואים'!$P:$P,'2️⃣ תקופות מילואים'!$B:$B,A4,'2️⃣ תקופות מילואים'!$F:$F,C4)</f>
        <v/>
      </c>
      <c r="I4" s="11">
        <f>SUMIFS('3️⃣ תשלומי ב"ל'!$I:$I,'3️⃣ תשלומי ב"ל'!$B:$B,A4)</f>
        <v/>
      </c>
      <c r="J4" s="11" t="inlineStr"/>
      <c r="K4" s="13" t="inlineStr">
        <is>
          <t>ממתין לתקבול</t>
        </is>
      </c>
      <c r="L4" s="11" t="inlineStr">
        <is>
          <t>P0003</t>
        </is>
      </c>
    </row>
    <row r="5">
      <c r="A5" s="11" t="inlineStr">
        <is>
          <t>אייל מלח</t>
        </is>
      </c>
      <c r="B5" s="11" t="inlineStr">
        <is>
          <t>רפאל</t>
        </is>
      </c>
      <c r="C5" s="11" t="inlineStr">
        <is>
          <t>05/2025</t>
        </is>
      </c>
      <c r="D5" s="12">
        <f>COUNTIFS('2️⃣ תקופות מילואים'!$B:$B,A5,'2️⃣ תקופות מילואים'!$F:$F,C5)</f>
        <v/>
      </c>
      <c r="E5" s="12">
        <f>SUMIFS('2️⃣ תקופות מילואים'!$G:$G,'2️⃣ תקופות מילואים'!$B:$B,A5,'2️⃣ תקופות מילואים'!$F:$F,C5)</f>
        <v/>
      </c>
      <c r="F5" s="12">
        <f>SUMIFS('2️⃣ תקופות מילואים'!$H:$H,'2️⃣ תקופות מילואים'!$B:$B,A5,'2️⃣ תקופות מילואים'!$F:$F,C5)</f>
        <v/>
      </c>
      <c r="G5" s="11">
        <f>SUMIFS('2️⃣ תקופות מילואים'!$I:$I,'2️⃣ תקופות מילואים'!$B:$B,A5,'2️⃣ תקופות מילואים'!$F:$F,C5)+SUMIFS('2️⃣ תקופות מילואים'!$J:$J,'2️⃣ תקופות מילואים'!$B:$B,A5,'2️⃣ תקופות מילואים'!$F:$F,C5)+SUMIFS('2️⃣ תקופות מילואים'!$K:$K,'2️⃣ תקופות מילואים'!$B:$B,A5,'2️⃣ תקופות מילואים'!$F:$F,C5)</f>
        <v/>
      </c>
      <c r="H5" s="11">
        <f>SUMIFS('2️⃣ תקופות מילואים'!$P:$P,'2️⃣ תקופות מילואים'!$B:$B,A5,'2️⃣ תקופות מילואים'!$F:$F,C5)</f>
        <v/>
      </c>
      <c r="I5" s="11">
        <f>SUMIFS('3️⃣ תשלומי ב"ל'!$I:$I,'3️⃣ תשלומי ב"ל'!$B:$B,A5)</f>
        <v/>
      </c>
      <c r="J5" s="11" t="inlineStr"/>
      <c r="K5" s="13" t="inlineStr">
        <is>
          <t>ממתין לתקבול</t>
        </is>
      </c>
      <c r="L5" s="11" t="inlineStr">
        <is>
          <t>P0004</t>
        </is>
      </c>
    </row>
    <row r="6">
      <c r="A6" s="11" t="inlineStr">
        <is>
          <t>אייל מלח</t>
        </is>
      </c>
      <c r="B6" s="11" t="inlineStr">
        <is>
          <t>רפאל</t>
        </is>
      </c>
      <c r="C6" s="11" t="inlineStr">
        <is>
          <t>06/2025</t>
        </is>
      </c>
      <c r="D6" s="12">
        <f>COUNTIFS('2️⃣ תקופות מילואים'!$B:$B,A6,'2️⃣ תקופות מילואים'!$F:$F,C6)</f>
        <v/>
      </c>
      <c r="E6" s="12">
        <f>SUMIFS('2️⃣ תקופות מילואים'!$G:$G,'2️⃣ תקופות מילואים'!$B:$B,A6,'2️⃣ תקופות מילואים'!$F:$F,C6)</f>
        <v/>
      </c>
      <c r="F6" s="12">
        <f>SUMIFS('2️⃣ תקופות מילואים'!$H:$H,'2️⃣ תקופות מילואים'!$B:$B,A6,'2️⃣ תקופות מילואים'!$F:$F,C6)</f>
        <v/>
      </c>
      <c r="G6" s="11">
        <f>SUMIFS('2️⃣ תקופות מילואים'!$I:$I,'2️⃣ תקופות מילואים'!$B:$B,A6,'2️⃣ תקופות מילואים'!$F:$F,C6)+SUMIFS('2️⃣ תקופות מילואים'!$J:$J,'2️⃣ תקופות מילואים'!$B:$B,A6,'2️⃣ תקופות מילואים'!$F:$F,C6)+SUMIFS('2️⃣ תקופות מילואים'!$K:$K,'2️⃣ תקופות מילואים'!$B:$B,A6,'2️⃣ תקופות מילואים'!$F:$F,C6)</f>
        <v/>
      </c>
      <c r="H6" s="11">
        <f>SUMIFS('2️⃣ תקופות מילואים'!$P:$P,'2️⃣ תקופות מילואים'!$B:$B,A6,'2️⃣ תקופות מילואים'!$F:$F,C6)</f>
        <v/>
      </c>
      <c r="I6" s="11">
        <f>SUMIFS('3️⃣ תשלומי ב"ל'!$I:$I,'3️⃣ תשלומי ב"ל'!$B:$B,A6)</f>
        <v/>
      </c>
      <c r="J6" s="11" t="inlineStr"/>
      <c r="K6" s="13" t="inlineStr">
        <is>
          <t>ממתין לתקבול</t>
        </is>
      </c>
      <c r="L6" s="11" t="inlineStr">
        <is>
          <t>P0005</t>
        </is>
      </c>
    </row>
    <row r="7">
      <c r="A7" s="11" t="inlineStr">
        <is>
          <t>אייל מלח</t>
        </is>
      </c>
      <c r="B7" s="11" t="inlineStr">
        <is>
          <t>רפאל</t>
        </is>
      </c>
      <c r="C7" s="11" t="inlineStr">
        <is>
          <t>07/2025</t>
        </is>
      </c>
      <c r="D7" s="12">
        <f>COUNTIFS('2️⃣ תקופות מילואים'!$B:$B,A7,'2️⃣ תקופות מילואים'!$F:$F,C7)</f>
        <v/>
      </c>
      <c r="E7" s="12">
        <f>SUMIFS('2️⃣ תקופות מילואים'!$G:$G,'2️⃣ תקופות מילואים'!$B:$B,A7,'2️⃣ תקופות מילואים'!$F:$F,C7)</f>
        <v/>
      </c>
      <c r="F7" s="12">
        <f>SUMIFS('2️⃣ תקופות מילואים'!$H:$H,'2️⃣ תקופות מילואים'!$B:$B,A7,'2️⃣ תקופות מילואים'!$F:$F,C7)</f>
        <v/>
      </c>
      <c r="G7" s="11">
        <f>SUMIFS('2️⃣ תקופות מילואים'!$I:$I,'2️⃣ תקופות מילואים'!$B:$B,A7,'2️⃣ תקופות מילואים'!$F:$F,C7)+SUMIFS('2️⃣ תקופות מילואים'!$J:$J,'2️⃣ תקופות מילואים'!$B:$B,A7,'2️⃣ תקופות מילואים'!$F:$F,C7)+SUMIFS('2️⃣ תקופות מילואים'!$K:$K,'2️⃣ תקופות מילואים'!$B:$B,A7,'2️⃣ תקופות מילואים'!$F:$F,C7)</f>
        <v/>
      </c>
      <c r="H7" s="11">
        <f>SUMIFS('2️⃣ תקופות מילואים'!$P:$P,'2️⃣ תקופות מילואים'!$B:$B,A7,'2️⃣ תקופות מילואים'!$F:$F,C7)</f>
        <v/>
      </c>
      <c r="I7" s="11">
        <f>SUMIFS('3️⃣ תשלומי ב"ל'!$I:$I,'3️⃣ תשלומי ב"ל'!$B:$B,A7)</f>
        <v/>
      </c>
      <c r="J7" s="11" t="inlineStr"/>
      <c r="K7" s="13" t="inlineStr">
        <is>
          <t>ממתין לתקבול</t>
        </is>
      </c>
      <c r="L7" s="11" t="inlineStr">
        <is>
          <t>P0006</t>
        </is>
      </c>
    </row>
    <row r="8">
      <c r="A8" s="11" t="inlineStr">
        <is>
          <t>אייל מלח</t>
        </is>
      </c>
      <c r="B8" s="11" t="inlineStr">
        <is>
          <t>רפאל</t>
        </is>
      </c>
      <c r="C8" s="11" t="inlineStr">
        <is>
          <t>09/2025</t>
        </is>
      </c>
      <c r="D8" s="12">
        <f>COUNTIFS('2️⃣ תקופות מילואים'!$B:$B,A8,'2️⃣ תקופות מילואים'!$F:$F,C8)</f>
        <v/>
      </c>
      <c r="E8" s="12">
        <f>SUMIFS('2️⃣ תקופות מילואים'!$G:$G,'2️⃣ תקופות מילואים'!$B:$B,A8,'2️⃣ תקופות מילואים'!$F:$F,C8)</f>
        <v/>
      </c>
      <c r="F8" s="12">
        <f>SUMIFS('2️⃣ תקופות מילואים'!$H:$H,'2️⃣ תקופות מילואים'!$B:$B,A8,'2️⃣ תקופות מילואים'!$F:$F,C8)</f>
        <v/>
      </c>
      <c r="G8" s="11">
        <f>SUMIFS('2️⃣ תקופות מילואים'!$I:$I,'2️⃣ תקופות מילואים'!$B:$B,A8,'2️⃣ תקופות מילואים'!$F:$F,C8)+SUMIFS('2️⃣ תקופות מילואים'!$J:$J,'2️⃣ תקופות מילואים'!$B:$B,A8,'2️⃣ תקופות מילואים'!$F:$F,C8)+SUMIFS('2️⃣ תקופות מילואים'!$K:$K,'2️⃣ תקופות מילואים'!$B:$B,A8,'2️⃣ תקופות מילואים'!$F:$F,C8)</f>
        <v/>
      </c>
      <c r="H8" s="11">
        <f>SUMIFS('2️⃣ תקופות מילואים'!$P:$P,'2️⃣ תקופות מילואים'!$B:$B,A8,'2️⃣ תקופות מילואים'!$F:$F,C8)</f>
        <v/>
      </c>
      <c r="I8" s="11">
        <f>SUMIFS('3️⃣ תשלומי ב"ל'!$I:$I,'3️⃣ תשלומי ב"ל'!$B:$B,A8)</f>
        <v/>
      </c>
      <c r="J8" s="11" t="inlineStr"/>
      <c r="K8" s="13" t="inlineStr">
        <is>
          <t>ממתין לתקבול</t>
        </is>
      </c>
      <c r="L8" s="11" t="inlineStr">
        <is>
          <t>P0007</t>
        </is>
      </c>
    </row>
    <row r="9">
      <c r="A9" s="11" t="inlineStr">
        <is>
          <t>אריאל אליה</t>
        </is>
      </c>
      <c r="B9" s="11" t="inlineStr">
        <is>
          <t>מל"מ</t>
        </is>
      </c>
      <c r="C9" s="11" t="inlineStr">
        <is>
          <t>01/2025</t>
        </is>
      </c>
      <c r="D9" s="12">
        <f>COUNTIFS('2️⃣ תקופות מילואים'!$B:$B,A9,'2️⃣ תקופות מילואים'!$F:$F,C9)</f>
        <v/>
      </c>
      <c r="E9" s="12">
        <f>SUMIFS('2️⃣ תקופות מילואים'!$G:$G,'2️⃣ תקופות מילואים'!$B:$B,A9,'2️⃣ תקופות מילואים'!$F:$F,C9)</f>
        <v/>
      </c>
      <c r="F9" s="12">
        <f>SUMIFS('2️⃣ תקופות מילואים'!$H:$H,'2️⃣ תקופות מילואים'!$B:$B,A9,'2️⃣ תקופות מילואים'!$F:$F,C9)</f>
        <v/>
      </c>
      <c r="G9" s="11">
        <f>SUMIFS('2️⃣ תקופות מילואים'!$I:$I,'2️⃣ תקופות מילואים'!$B:$B,A9,'2️⃣ תקופות מילואים'!$F:$F,C9)+SUMIFS('2️⃣ תקופות מילואים'!$J:$J,'2️⃣ תקופות מילואים'!$B:$B,A9,'2️⃣ תקופות מילואים'!$F:$F,C9)+SUMIFS('2️⃣ תקופות מילואים'!$K:$K,'2️⃣ תקופות מילואים'!$B:$B,A9,'2️⃣ תקופות מילואים'!$F:$F,C9)</f>
        <v/>
      </c>
      <c r="H9" s="11">
        <f>SUMIFS('2️⃣ תקופות מילואים'!$P:$P,'2️⃣ תקופות מילואים'!$B:$B,A9,'2️⃣ תקופות מילואים'!$F:$F,C9)</f>
        <v/>
      </c>
      <c r="I9" s="11">
        <f>SUMIFS('3️⃣ תשלומי ב"ל'!$I:$I,'3️⃣ תשלומי ב"ל'!$B:$B,A9)</f>
        <v/>
      </c>
      <c r="J9" s="11" t="inlineStr"/>
      <c r="K9" s="14" t="inlineStr">
        <is>
          <t>התקבל מלא</t>
        </is>
      </c>
      <c r="L9" s="11" t="inlineStr">
        <is>
          <t>P0008</t>
        </is>
      </c>
    </row>
    <row r="10">
      <c r="A10" s="11" t="inlineStr">
        <is>
          <t>אריאל אליה</t>
        </is>
      </c>
      <c r="B10" s="11" t="inlineStr">
        <is>
          <t>מל"מ</t>
        </is>
      </c>
      <c r="C10" s="11" t="inlineStr">
        <is>
          <t>03/2025</t>
        </is>
      </c>
      <c r="D10" s="12">
        <f>COUNTIFS('2️⃣ תקופות מילואים'!$B:$B,A10,'2️⃣ תקופות מילואים'!$F:$F,C10)</f>
        <v/>
      </c>
      <c r="E10" s="12">
        <f>SUMIFS('2️⃣ תקופות מילואים'!$G:$G,'2️⃣ תקופות מילואים'!$B:$B,A10,'2️⃣ תקופות מילואים'!$F:$F,C10)</f>
        <v/>
      </c>
      <c r="F10" s="12">
        <f>SUMIFS('2️⃣ תקופות מילואים'!$H:$H,'2️⃣ תקופות מילואים'!$B:$B,A10,'2️⃣ תקופות מילואים'!$F:$F,C10)</f>
        <v/>
      </c>
      <c r="G10" s="11">
        <f>SUMIFS('2️⃣ תקופות מילואים'!$I:$I,'2️⃣ תקופות מילואים'!$B:$B,A10,'2️⃣ תקופות מילואים'!$F:$F,C10)+SUMIFS('2️⃣ תקופות מילואים'!$J:$J,'2️⃣ תקופות מילואים'!$B:$B,A10,'2️⃣ תקופות מילואים'!$F:$F,C10)+SUMIFS('2️⃣ תקופות מילואים'!$K:$K,'2️⃣ תקופות מילואים'!$B:$B,A10,'2️⃣ תקופות מילואים'!$F:$F,C10)</f>
        <v/>
      </c>
      <c r="H10" s="11">
        <f>SUMIFS('2️⃣ תקופות מילואים'!$P:$P,'2️⃣ תקופות מילואים'!$B:$B,A10,'2️⃣ תקופות מילואים'!$F:$F,C10)</f>
        <v/>
      </c>
      <c r="I10" s="11">
        <f>SUMIFS('3️⃣ תשלומי ב"ל'!$I:$I,'3️⃣ תשלומי ב"ל'!$B:$B,A10)</f>
        <v/>
      </c>
      <c r="J10" s="11" t="inlineStr"/>
      <c r="K10" s="13" t="inlineStr">
        <is>
          <t>ממתין לתקבול</t>
        </is>
      </c>
      <c r="L10" s="11" t="inlineStr">
        <is>
          <t>P0009</t>
        </is>
      </c>
    </row>
    <row r="11">
      <c r="A11" s="11" t="inlineStr">
        <is>
          <t>אריאל אליה</t>
        </is>
      </c>
      <c r="B11" s="11" t="inlineStr">
        <is>
          <t>מל"מ</t>
        </is>
      </c>
      <c r="C11" s="11" t="inlineStr">
        <is>
          <t>04/2025</t>
        </is>
      </c>
      <c r="D11" s="12">
        <f>COUNTIFS('2️⃣ תקופות מילואים'!$B:$B,A11,'2️⃣ תקופות מילואים'!$F:$F,C11)</f>
        <v/>
      </c>
      <c r="E11" s="12">
        <f>SUMIFS('2️⃣ תקופות מילואים'!$G:$G,'2️⃣ תקופות מילואים'!$B:$B,A11,'2️⃣ תקופות מילואים'!$F:$F,C11)</f>
        <v/>
      </c>
      <c r="F11" s="12">
        <f>SUMIFS('2️⃣ תקופות מילואים'!$H:$H,'2️⃣ תקופות מילואים'!$B:$B,A11,'2️⃣ תקופות מילואים'!$F:$F,C11)</f>
        <v/>
      </c>
      <c r="G11" s="11">
        <f>SUMIFS('2️⃣ תקופות מילואים'!$I:$I,'2️⃣ תקופות מילואים'!$B:$B,A11,'2️⃣ תקופות מילואים'!$F:$F,C11)+SUMIFS('2️⃣ תקופות מילואים'!$J:$J,'2️⃣ תקופות מילואים'!$B:$B,A11,'2️⃣ תקופות מילואים'!$F:$F,C11)+SUMIFS('2️⃣ תקופות מילואים'!$K:$K,'2️⃣ תקופות מילואים'!$B:$B,A11,'2️⃣ תקופות מילואים'!$F:$F,C11)</f>
        <v/>
      </c>
      <c r="H11" s="11">
        <f>SUMIFS('2️⃣ תקופות מילואים'!$P:$P,'2️⃣ תקופות מילואים'!$B:$B,A11,'2️⃣ תקופות מילואים'!$F:$F,C11)</f>
        <v/>
      </c>
      <c r="I11" s="11">
        <f>SUMIFS('3️⃣ תשלומי ב"ל'!$I:$I,'3️⃣ תשלומי ב"ל'!$B:$B,A11)</f>
        <v/>
      </c>
      <c r="J11" s="11" t="inlineStr"/>
      <c r="K11" s="13" t="inlineStr">
        <is>
          <t>ממתין לתקבול</t>
        </is>
      </c>
      <c r="L11" s="11" t="inlineStr">
        <is>
          <t>P0010, P0011</t>
        </is>
      </c>
    </row>
    <row r="12">
      <c r="A12" s="11" t="inlineStr">
        <is>
          <t>אריאל אליה</t>
        </is>
      </c>
      <c r="B12" s="11" t="inlineStr">
        <is>
          <t>מל"מ</t>
        </is>
      </c>
      <c r="C12" s="11" t="inlineStr">
        <is>
          <t>05/2025</t>
        </is>
      </c>
      <c r="D12" s="12">
        <f>COUNTIFS('2️⃣ תקופות מילואים'!$B:$B,A12,'2️⃣ תקופות מילואים'!$F:$F,C12)</f>
        <v/>
      </c>
      <c r="E12" s="12">
        <f>SUMIFS('2️⃣ תקופות מילואים'!$G:$G,'2️⃣ תקופות מילואים'!$B:$B,A12,'2️⃣ תקופות מילואים'!$F:$F,C12)</f>
        <v/>
      </c>
      <c r="F12" s="12">
        <f>SUMIFS('2️⃣ תקופות מילואים'!$H:$H,'2️⃣ תקופות מילואים'!$B:$B,A12,'2️⃣ תקופות מילואים'!$F:$F,C12)</f>
        <v/>
      </c>
      <c r="G12" s="11">
        <f>SUMIFS('2️⃣ תקופות מילואים'!$I:$I,'2️⃣ תקופות מילואים'!$B:$B,A12,'2️⃣ תקופות מילואים'!$F:$F,C12)+SUMIFS('2️⃣ תקופות מילואים'!$J:$J,'2️⃣ תקופות מילואים'!$B:$B,A12,'2️⃣ תקופות מילואים'!$F:$F,C12)+SUMIFS('2️⃣ תקופות מילואים'!$K:$K,'2️⃣ תקופות מילואים'!$B:$B,A12,'2️⃣ תקופות מילואים'!$F:$F,C12)</f>
        <v/>
      </c>
      <c r="H12" s="11">
        <f>SUMIFS('2️⃣ תקופות מילואים'!$P:$P,'2️⃣ תקופות מילואים'!$B:$B,A12,'2️⃣ תקופות מילואים'!$F:$F,C12)</f>
        <v/>
      </c>
      <c r="I12" s="11">
        <f>SUMIFS('3️⃣ תשלומי ב"ל'!$I:$I,'3️⃣ תשלומי ב"ל'!$B:$B,A12)</f>
        <v/>
      </c>
      <c r="J12" s="11" t="inlineStr"/>
      <c r="K12" s="13" t="inlineStr">
        <is>
          <t>ממתין לתקבול</t>
        </is>
      </c>
      <c r="L12" s="11" t="inlineStr">
        <is>
          <t>P0012</t>
        </is>
      </c>
    </row>
    <row r="13">
      <c r="A13" s="11" t="inlineStr">
        <is>
          <t>אריאל אליה</t>
        </is>
      </c>
      <c r="B13" s="11" t="inlineStr">
        <is>
          <t>מל"מ</t>
        </is>
      </c>
      <c r="C13" s="11" t="inlineStr">
        <is>
          <t>08/2025</t>
        </is>
      </c>
      <c r="D13" s="12">
        <f>COUNTIFS('2️⃣ תקופות מילואים'!$B:$B,A13,'2️⃣ תקופות מילואים'!$F:$F,C13)</f>
        <v/>
      </c>
      <c r="E13" s="12">
        <f>SUMIFS('2️⃣ תקופות מילואים'!$G:$G,'2️⃣ תקופות מילואים'!$B:$B,A13,'2️⃣ תקופות מילואים'!$F:$F,C13)</f>
        <v/>
      </c>
      <c r="F13" s="12">
        <f>SUMIFS('2️⃣ תקופות מילואים'!$H:$H,'2️⃣ תקופות מילואים'!$B:$B,A13,'2️⃣ תקופות מילואים'!$F:$F,C13)</f>
        <v/>
      </c>
      <c r="G13" s="11">
        <f>SUMIFS('2️⃣ תקופות מילואים'!$I:$I,'2️⃣ תקופות מילואים'!$B:$B,A13,'2️⃣ תקופות מילואים'!$F:$F,C13)+SUMIFS('2️⃣ תקופות מילואים'!$J:$J,'2️⃣ תקופות מילואים'!$B:$B,A13,'2️⃣ תקופות מילואים'!$F:$F,C13)+SUMIFS('2️⃣ תקופות מילואים'!$K:$K,'2️⃣ תקופות מילואים'!$B:$B,A13,'2️⃣ תקופות מילואים'!$F:$F,C13)</f>
        <v/>
      </c>
      <c r="H13" s="11">
        <f>SUMIFS('2️⃣ תקופות מילואים'!$P:$P,'2️⃣ תקופות מילואים'!$B:$B,A13,'2️⃣ תקופות מילואים'!$F:$F,C13)</f>
        <v/>
      </c>
      <c r="I13" s="11">
        <f>SUMIFS('3️⃣ תשלומי ב"ל'!$I:$I,'3️⃣ תשלומי ב"ל'!$B:$B,A13)</f>
        <v/>
      </c>
      <c r="J13" s="11" t="inlineStr"/>
      <c r="K13" s="13" t="inlineStr">
        <is>
          <t>ממתין לתקבול</t>
        </is>
      </c>
      <c r="L13" s="11" t="inlineStr">
        <is>
          <t>P0013</t>
        </is>
      </c>
    </row>
    <row r="14">
      <c r="A14" s="11" t="inlineStr">
        <is>
          <t>דניאל בנדרימר</t>
        </is>
      </c>
      <c r="B14" s="11" t="inlineStr">
        <is>
          <t>מל"מ</t>
        </is>
      </c>
      <c r="C14" s="11" t="inlineStr">
        <is>
          <t>01/2025</t>
        </is>
      </c>
      <c r="D14" s="12">
        <f>COUNTIFS('2️⃣ תקופות מילואים'!$B:$B,A14,'2️⃣ תקופות מילואים'!$F:$F,C14)</f>
        <v/>
      </c>
      <c r="E14" s="12">
        <f>SUMIFS('2️⃣ תקופות מילואים'!$G:$G,'2️⃣ תקופות מילואים'!$B:$B,A14,'2️⃣ תקופות מילואים'!$F:$F,C14)</f>
        <v/>
      </c>
      <c r="F14" s="12">
        <f>SUMIFS('2️⃣ תקופות מילואים'!$H:$H,'2️⃣ תקופות מילואים'!$B:$B,A14,'2️⃣ תקופות מילואים'!$F:$F,C14)</f>
        <v/>
      </c>
      <c r="G14" s="11">
        <f>SUMIFS('2️⃣ תקופות מילואים'!$I:$I,'2️⃣ תקופות מילואים'!$B:$B,A14,'2️⃣ תקופות מילואים'!$F:$F,C14)+SUMIFS('2️⃣ תקופות מילואים'!$J:$J,'2️⃣ תקופות מילואים'!$B:$B,A14,'2️⃣ תקופות מילואים'!$F:$F,C14)+SUMIFS('2️⃣ תקופות מילואים'!$K:$K,'2️⃣ תקופות מילואים'!$B:$B,A14,'2️⃣ תקופות מילואים'!$F:$F,C14)</f>
        <v/>
      </c>
      <c r="H14" s="11">
        <f>SUMIFS('2️⃣ תקופות מילואים'!$P:$P,'2️⃣ תקופות מילואים'!$B:$B,A14,'2️⃣ תקופות מילואים'!$F:$F,C14)</f>
        <v/>
      </c>
      <c r="I14" s="11">
        <f>SUMIFS('3️⃣ תשלומי ב"ל'!$I:$I,'3️⃣ תשלומי ב"ל'!$B:$B,A14)</f>
        <v/>
      </c>
      <c r="J14" s="11" t="inlineStr"/>
      <c r="K14" s="14" t="inlineStr">
        <is>
          <t>התקבל מלא</t>
        </is>
      </c>
      <c r="L14" s="11" t="inlineStr">
        <is>
          <t>P0014</t>
        </is>
      </c>
    </row>
    <row r="15">
      <c r="A15" s="11" t="inlineStr">
        <is>
          <t>דניאל בנדרימר</t>
        </is>
      </c>
      <c r="B15" s="11" t="inlineStr">
        <is>
          <t>מל"מ</t>
        </is>
      </c>
      <c r="C15" s="11" t="inlineStr">
        <is>
          <t>04/2025</t>
        </is>
      </c>
      <c r="D15" s="12">
        <f>COUNTIFS('2️⃣ תקופות מילואים'!$B:$B,A15,'2️⃣ תקופות מילואים'!$F:$F,C15)</f>
        <v/>
      </c>
      <c r="E15" s="12">
        <f>SUMIFS('2️⃣ תקופות מילואים'!$G:$G,'2️⃣ תקופות מילואים'!$B:$B,A15,'2️⃣ תקופות מילואים'!$F:$F,C15)</f>
        <v/>
      </c>
      <c r="F15" s="12">
        <f>SUMIFS('2️⃣ תקופות מילואים'!$H:$H,'2️⃣ תקופות מילואים'!$B:$B,A15,'2️⃣ תקופות מילואים'!$F:$F,C15)</f>
        <v/>
      </c>
      <c r="G15" s="11">
        <f>SUMIFS('2️⃣ תקופות מילואים'!$I:$I,'2️⃣ תקופות מילואים'!$B:$B,A15,'2️⃣ תקופות מילואים'!$F:$F,C15)+SUMIFS('2️⃣ תקופות מילואים'!$J:$J,'2️⃣ תקופות מילואים'!$B:$B,A15,'2️⃣ תקופות מילואים'!$F:$F,C15)+SUMIFS('2️⃣ תקופות מילואים'!$K:$K,'2️⃣ תקופות מילואים'!$B:$B,A15,'2️⃣ תקופות מילואים'!$F:$F,C15)</f>
        <v/>
      </c>
      <c r="H15" s="11">
        <f>SUMIFS('2️⃣ תקופות מילואים'!$P:$P,'2️⃣ תקופות מילואים'!$B:$B,A15,'2️⃣ תקופות מילואים'!$F:$F,C15)</f>
        <v/>
      </c>
      <c r="I15" s="11">
        <f>SUMIFS('3️⃣ תשלומי ב"ל'!$I:$I,'3️⃣ תשלומי ב"ל'!$B:$B,A15)</f>
        <v/>
      </c>
      <c r="J15" s="11" t="inlineStr"/>
      <c r="K15" s="13" t="inlineStr">
        <is>
          <t>ממתין לתקבול</t>
        </is>
      </c>
      <c r="L15" s="11" t="inlineStr">
        <is>
          <t>P0015</t>
        </is>
      </c>
    </row>
    <row r="16">
      <c r="A16" s="11" t="inlineStr">
        <is>
          <t>דניאל בנדרימר</t>
        </is>
      </c>
      <c r="B16" s="11" t="inlineStr">
        <is>
          <t>מל"מ</t>
        </is>
      </c>
      <c r="C16" s="11" t="inlineStr">
        <is>
          <t>06/2025</t>
        </is>
      </c>
      <c r="D16" s="12">
        <f>COUNTIFS('2️⃣ תקופות מילואים'!$B:$B,A16,'2️⃣ תקופות מילואים'!$F:$F,C16)</f>
        <v/>
      </c>
      <c r="E16" s="12">
        <f>SUMIFS('2️⃣ תקופות מילואים'!$G:$G,'2️⃣ תקופות מילואים'!$B:$B,A16,'2️⃣ תקופות מילואים'!$F:$F,C16)</f>
        <v/>
      </c>
      <c r="F16" s="12">
        <f>SUMIFS('2️⃣ תקופות מילואים'!$H:$H,'2️⃣ תקופות מילואים'!$B:$B,A16,'2️⃣ תקופות מילואים'!$F:$F,C16)</f>
        <v/>
      </c>
      <c r="G16" s="11">
        <f>SUMIFS('2️⃣ תקופות מילואים'!$I:$I,'2️⃣ תקופות מילואים'!$B:$B,A16,'2️⃣ תקופות מילואים'!$F:$F,C16)+SUMIFS('2️⃣ תקופות מילואים'!$J:$J,'2️⃣ תקופות מילואים'!$B:$B,A16,'2️⃣ תקופות מילואים'!$F:$F,C16)+SUMIFS('2️⃣ תקופות מילואים'!$K:$K,'2️⃣ תקופות מילואים'!$B:$B,A16,'2️⃣ תקופות מילואים'!$F:$F,C16)</f>
        <v/>
      </c>
      <c r="H16" s="11">
        <f>SUMIFS('2️⃣ תקופות מילואים'!$P:$P,'2️⃣ תקופות מילואים'!$B:$B,A16,'2️⃣ תקופות מילואים'!$F:$F,C16)</f>
        <v/>
      </c>
      <c r="I16" s="11">
        <f>SUMIFS('3️⃣ תשלומי ב"ל'!$I:$I,'3️⃣ תשלומי ב"ל'!$B:$B,A16)</f>
        <v/>
      </c>
      <c r="J16" s="11" t="inlineStr"/>
      <c r="K16" s="13" t="inlineStr">
        <is>
          <t>ממתין לתקבול</t>
        </is>
      </c>
      <c r="L16" s="11" t="inlineStr">
        <is>
          <t>P0016</t>
        </is>
      </c>
    </row>
    <row r="17">
      <c r="A17" s="11" t="inlineStr">
        <is>
          <t>דניאל בנדרימר</t>
        </is>
      </c>
      <c r="B17" s="11" t="inlineStr">
        <is>
          <t>מל"מ</t>
        </is>
      </c>
      <c r="C17" s="11" t="inlineStr">
        <is>
          <t>07/2025</t>
        </is>
      </c>
      <c r="D17" s="12">
        <f>COUNTIFS('2️⃣ תקופות מילואים'!$B:$B,A17,'2️⃣ תקופות מילואים'!$F:$F,C17)</f>
        <v/>
      </c>
      <c r="E17" s="12">
        <f>SUMIFS('2️⃣ תקופות מילואים'!$G:$G,'2️⃣ תקופות מילואים'!$B:$B,A17,'2️⃣ תקופות מילואים'!$F:$F,C17)</f>
        <v/>
      </c>
      <c r="F17" s="12">
        <f>SUMIFS('2️⃣ תקופות מילואים'!$H:$H,'2️⃣ תקופות מילואים'!$B:$B,A17,'2️⃣ תקופות מילואים'!$F:$F,C17)</f>
        <v/>
      </c>
      <c r="G17" s="11">
        <f>SUMIFS('2️⃣ תקופות מילואים'!$I:$I,'2️⃣ תקופות מילואים'!$B:$B,A17,'2️⃣ תקופות מילואים'!$F:$F,C17)+SUMIFS('2️⃣ תקופות מילואים'!$J:$J,'2️⃣ תקופות מילואים'!$B:$B,A17,'2️⃣ תקופות מילואים'!$F:$F,C17)+SUMIFS('2️⃣ תקופות מילואים'!$K:$K,'2️⃣ תקופות מילואים'!$B:$B,A17,'2️⃣ תקופות מילואים'!$F:$F,C17)</f>
        <v/>
      </c>
      <c r="H17" s="11">
        <f>SUMIFS('2️⃣ תקופות מילואים'!$P:$P,'2️⃣ תקופות מילואים'!$B:$B,A17,'2️⃣ תקופות מילואים'!$F:$F,C17)</f>
        <v/>
      </c>
      <c r="I17" s="11">
        <f>SUMIFS('3️⃣ תשלומי ב"ל'!$I:$I,'3️⃣ תשלומי ב"ל'!$B:$B,A17)</f>
        <v/>
      </c>
      <c r="J17" s="11" t="inlineStr"/>
      <c r="K17" s="13" t="inlineStr">
        <is>
          <t>ממתין לתקבול</t>
        </is>
      </c>
      <c r="L17" s="11" t="inlineStr">
        <is>
          <t>P0017, P0018</t>
        </is>
      </c>
    </row>
    <row r="18">
      <c r="A18" s="11" t="inlineStr">
        <is>
          <t>דניאל בנדרימר</t>
        </is>
      </c>
      <c r="B18" s="11" t="inlineStr">
        <is>
          <t>מל"מ</t>
        </is>
      </c>
      <c r="C18" s="11" t="inlineStr">
        <is>
          <t>08/2025</t>
        </is>
      </c>
      <c r="D18" s="12">
        <f>COUNTIFS('2️⃣ תקופות מילואים'!$B:$B,A18,'2️⃣ תקופות מילואים'!$F:$F,C18)</f>
        <v/>
      </c>
      <c r="E18" s="12">
        <f>SUMIFS('2️⃣ תקופות מילואים'!$G:$G,'2️⃣ תקופות מילואים'!$B:$B,A18,'2️⃣ תקופות מילואים'!$F:$F,C18)</f>
        <v/>
      </c>
      <c r="F18" s="12">
        <f>SUMIFS('2️⃣ תקופות מילואים'!$H:$H,'2️⃣ תקופות מילואים'!$B:$B,A18,'2️⃣ תקופות מילואים'!$F:$F,C18)</f>
        <v/>
      </c>
      <c r="G18" s="11">
        <f>SUMIFS('2️⃣ תקופות מילואים'!$I:$I,'2️⃣ תקופות מילואים'!$B:$B,A18,'2️⃣ תקופות מילואים'!$F:$F,C18)+SUMIFS('2️⃣ תקופות מילואים'!$J:$J,'2️⃣ תקופות מילואים'!$B:$B,A18,'2️⃣ תקופות מילואים'!$F:$F,C18)+SUMIFS('2️⃣ תקופות מילואים'!$K:$K,'2️⃣ תקופות מילואים'!$B:$B,A18,'2️⃣ תקופות מילואים'!$F:$F,C18)</f>
        <v/>
      </c>
      <c r="H18" s="11">
        <f>SUMIFS('2️⃣ תקופות מילואים'!$P:$P,'2️⃣ תקופות מילואים'!$B:$B,A18,'2️⃣ תקופות מילואים'!$F:$F,C18)</f>
        <v/>
      </c>
      <c r="I18" s="11">
        <f>SUMIFS('3️⃣ תשלומי ב"ל'!$I:$I,'3️⃣ תשלומי ב"ל'!$B:$B,A18)</f>
        <v/>
      </c>
      <c r="J18" s="11" t="inlineStr"/>
      <c r="K18" s="13" t="inlineStr">
        <is>
          <t>ממתין לתקבול</t>
        </is>
      </c>
      <c r="L18" s="11" t="inlineStr">
        <is>
          <t>P0019</t>
        </is>
      </c>
    </row>
    <row r="19">
      <c r="A19" s="11" t="inlineStr">
        <is>
          <t>דניאל בנדרימר</t>
        </is>
      </c>
      <c r="B19" s="11" t="inlineStr">
        <is>
          <t>מל"מ</t>
        </is>
      </c>
      <c r="C19" s="11" t="inlineStr">
        <is>
          <t>09/2025</t>
        </is>
      </c>
      <c r="D19" s="12">
        <f>COUNTIFS('2️⃣ תקופות מילואים'!$B:$B,A19,'2️⃣ תקופות מילואים'!$F:$F,C19)</f>
        <v/>
      </c>
      <c r="E19" s="12">
        <f>SUMIFS('2️⃣ תקופות מילואים'!$G:$G,'2️⃣ תקופות מילואים'!$B:$B,A19,'2️⃣ תקופות מילואים'!$F:$F,C19)</f>
        <v/>
      </c>
      <c r="F19" s="12">
        <f>SUMIFS('2️⃣ תקופות מילואים'!$H:$H,'2️⃣ תקופות מילואים'!$B:$B,A19,'2️⃣ תקופות מילואים'!$F:$F,C19)</f>
        <v/>
      </c>
      <c r="G19" s="11">
        <f>SUMIFS('2️⃣ תקופות מילואים'!$I:$I,'2️⃣ תקופות מילואים'!$B:$B,A19,'2️⃣ תקופות מילואים'!$F:$F,C19)+SUMIFS('2️⃣ תקופות מילואים'!$J:$J,'2️⃣ תקופות מילואים'!$B:$B,A19,'2️⃣ תקופות מילואים'!$F:$F,C19)+SUMIFS('2️⃣ תקופות מילואים'!$K:$K,'2️⃣ תקופות מילואים'!$B:$B,A19,'2️⃣ תקופות מילואים'!$F:$F,C19)</f>
        <v/>
      </c>
      <c r="H19" s="11">
        <f>SUMIFS('2️⃣ תקופות מילואים'!$P:$P,'2️⃣ תקופות מילואים'!$B:$B,A19,'2️⃣ תקופות מילואים'!$F:$F,C19)</f>
        <v/>
      </c>
      <c r="I19" s="11">
        <f>SUMIFS('3️⃣ תשלומי ב"ל'!$I:$I,'3️⃣ תשלומי ב"ל'!$B:$B,A19)</f>
        <v/>
      </c>
      <c r="J19" s="11" t="inlineStr"/>
      <c r="K19" s="13" t="inlineStr">
        <is>
          <t>ממתין לתקבול</t>
        </is>
      </c>
      <c r="L19" s="11" t="inlineStr">
        <is>
          <t>P0020, P0021</t>
        </is>
      </c>
    </row>
    <row r="20">
      <c r="A20" s="11" t="inlineStr">
        <is>
          <t xml:space="preserve">חיים  ראש </t>
        </is>
      </c>
      <c r="B20" s="11" t="inlineStr">
        <is>
          <t>מל"מ</t>
        </is>
      </c>
      <c r="C20" s="11" t="inlineStr">
        <is>
          <t>06/2025</t>
        </is>
      </c>
      <c r="D20" s="12">
        <f>COUNTIFS('2️⃣ תקופות מילואים'!$B:$B,A20,'2️⃣ תקופות מילואים'!$F:$F,C20)</f>
        <v/>
      </c>
      <c r="E20" s="12">
        <f>SUMIFS('2️⃣ תקופות מילואים'!$G:$G,'2️⃣ תקופות מילואים'!$B:$B,A20,'2️⃣ תקופות מילואים'!$F:$F,C20)</f>
        <v/>
      </c>
      <c r="F20" s="12">
        <f>SUMIFS('2️⃣ תקופות מילואים'!$H:$H,'2️⃣ תקופות מילואים'!$B:$B,A20,'2️⃣ תקופות מילואים'!$F:$F,C20)</f>
        <v/>
      </c>
      <c r="G20" s="11">
        <f>SUMIFS('2️⃣ תקופות מילואים'!$I:$I,'2️⃣ תקופות מילואים'!$B:$B,A20,'2️⃣ תקופות מילואים'!$F:$F,C20)+SUMIFS('2️⃣ תקופות מילואים'!$J:$J,'2️⃣ תקופות מילואים'!$B:$B,A20,'2️⃣ תקופות מילואים'!$F:$F,C20)+SUMIFS('2️⃣ תקופות מילואים'!$K:$K,'2️⃣ תקופות מילואים'!$B:$B,A20,'2️⃣ תקופות מילואים'!$F:$F,C20)</f>
        <v/>
      </c>
      <c r="H20" s="11">
        <f>SUMIFS('2️⃣ תקופות מילואים'!$P:$P,'2️⃣ תקופות מילואים'!$B:$B,A20,'2️⃣ תקופות מילואים'!$F:$F,C20)</f>
        <v/>
      </c>
      <c r="I20" s="11">
        <f>SUMIFS('3️⃣ תשלומי ב"ל'!$I:$I,'3️⃣ תשלומי ב"ל'!$B:$B,A20)</f>
        <v/>
      </c>
      <c r="J20" s="11" t="inlineStr"/>
      <c r="K20" s="13" t="inlineStr">
        <is>
          <t>ממתין לתקבול</t>
        </is>
      </c>
      <c r="L20" s="11" t="inlineStr">
        <is>
          <t>P0022</t>
        </is>
      </c>
    </row>
    <row r="21">
      <c r="A21" s="11" t="inlineStr">
        <is>
          <t>יום טוב מוסארי</t>
        </is>
      </c>
      <c r="B21" s="11" t="inlineStr">
        <is>
          <t>רוה"מ</t>
        </is>
      </c>
      <c r="C21" s="11" t="inlineStr">
        <is>
          <t>02/2025</t>
        </is>
      </c>
      <c r="D21" s="12">
        <f>COUNTIFS('2️⃣ תקופות מילואים'!$B:$B,A21,'2️⃣ תקופות מילואים'!$F:$F,C21)</f>
        <v/>
      </c>
      <c r="E21" s="12">
        <f>SUMIFS('2️⃣ תקופות מילואים'!$G:$G,'2️⃣ תקופות מילואים'!$B:$B,A21,'2️⃣ תקופות מילואים'!$F:$F,C21)</f>
        <v/>
      </c>
      <c r="F21" s="12">
        <f>SUMIFS('2️⃣ תקופות מילואים'!$H:$H,'2️⃣ תקופות מילואים'!$B:$B,A21,'2️⃣ תקופות מילואים'!$F:$F,C21)</f>
        <v/>
      </c>
      <c r="G21" s="11">
        <f>SUMIFS('2️⃣ תקופות מילואים'!$I:$I,'2️⃣ תקופות מילואים'!$B:$B,A21,'2️⃣ תקופות מילואים'!$F:$F,C21)+SUMIFS('2️⃣ תקופות מילואים'!$J:$J,'2️⃣ תקופות מילואים'!$B:$B,A21,'2️⃣ תקופות מילואים'!$F:$F,C21)+SUMIFS('2️⃣ תקופות מילואים'!$K:$K,'2️⃣ תקופות מילואים'!$B:$B,A21,'2️⃣ תקופות מילואים'!$F:$F,C21)</f>
        <v/>
      </c>
      <c r="H21" s="11">
        <f>SUMIFS('2️⃣ תקופות מילואים'!$P:$P,'2️⃣ תקופות מילואים'!$B:$B,A21,'2️⃣ תקופות מילואים'!$F:$F,C21)</f>
        <v/>
      </c>
      <c r="I21" s="11">
        <f>SUMIFS('3️⃣ תשלומי ב"ל'!$I:$I,'3️⃣ תשלומי ב"ל'!$B:$B,A21)</f>
        <v/>
      </c>
      <c r="J21" s="11" t="inlineStr"/>
      <c r="K21" s="13" t="inlineStr">
        <is>
          <t>ממתין לתקבול</t>
        </is>
      </c>
      <c r="L21" s="11" t="inlineStr">
        <is>
          <t>P0023, P0024</t>
        </is>
      </c>
    </row>
    <row r="22">
      <c r="A22" s="11" t="inlineStr">
        <is>
          <t>יום טוב מוסארי</t>
        </is>
      </c>
      <c r="B22" s="11" t="inlineStr">
        <is>
          <t>רוה"מ</t>
        </is>
      </c>
      <c r="C22" s="11" t="inlineStr">
        <is>
          <t>06/2025</t>
        </is>
      </c>
      <c r="D22" s="12">
        <f>COUNTIFS('2️⃣ תקופות מילואים'!$B:$B,A22,'2️⃣ תקופות מילואים'!$F:$F,C22)</f>
        <v/>
      </c>
      <c r="E22" s="12">
        <f>SUMIFS('2️⃣ תקופות מילואים'!$G:$G,'2️⃣ תקופות מילואים'!$B:$B,A22,'2️⃣ תקופות מילואים'!$F:$F,C22)</f>
        <v/>
      </c>
      <c r="F22" s="12">
        <f>SUMIFS('2️⃣ תקופות מילואים'!$H:$H,'2️⃣ תקופות מילואים'!$B:$B,A22,'2️⃣ תקופות מילואים'!$F:$F,C22)</f>
        <v/>
      </c>
      <c r="G22" s="11">
        <f>SUMIFS('2️⃣ תקופות מילואים'!$I:$I,'2️⃣ תקופות מילואים'!$B:$B,A22,'2️⃣ תקופות מילואים'!$F:$F,C22)+SUMIFS('2️⃣ תקופות מילואים'!$J:$J,'2️⃣ תקופות מילואים'!$B:$B,A22,'2️⃣ תקופות מילואים'!$F:$F,C22)+SUMIFS('2️⃣ תקופות מילואים'!$K:$K,'2️⃣ תקופות מילואים'!$B:$B,A22,'2️⃣ תקופות מילואים'!$F:$F,C22)</f>
        <v/>
      </c>
      <c r="H22" s="11">
        <f>SUMIFS('2️⃣ תקופות מילואים'!$P:$P,'2️⃣ תקופות מילואים'!$B:$B,A22,'2️⃣ תקופות מילואים'!$F:$F,C22)</f>
        <v/>
      </c>
      <c r="I22" s="11">
        <f>SUMIFS('3️⃣ תשלומי ב"ל'!$I:$I,'3️⃣ תשלומי ב"ל'!$B:$B,A22)</f>
        <v/>
      </c>
      <c r="J22" s="11" t="inlineStr"/>
      <c r="K22" s="13" t="inlineStr">
        <is>
          <t>ממתין לתקבול</t>
        </is>
      </c>
      <c r="L22" s="11" t="inlineStr">
        <is>
          <t>P0025</t>
        </is>
      </c>
    </row>
    <row r="23">
      <c r="A23" s="11" t="inlineStr">
        <is>
          <t>יורם  שלמה</t>
        </is>
      </c>
      <c r="B23" s="11" t="inlineStr">
        <is>
          <t>רוה"מ</t>
        </is>
      </c>
      <c r="C23" s="11" t="inlineStr">
        <is>
          <t>01/2025</t>
        </is>
      </c>
      <c r="D23" s="12">
        <f>COUNTIFS('2️⃣ תקופות מילואים'!$B:$B,A23,'2️⃣ תקופות מילואים'!$F:$F,C23)</f>
        <v/>
      </c>
      <c r="E23" s="12">
        <f>SUMIFS('2️⃣ תקופות מילואים'!$G:$G,'2️⃣ תקופות מילואים'!$B:$B,A23,'2️⃣ תקופות מילואים'!$F:$F,C23)</f>
        <v/>
      </c>
      <c r="F23" s="12">
        <f>SUMIFS('2️⃣ תקופות מילואים'!$H:$H,'2️⃣ תקופות מילואים'!$B:$B,A23,'2️⃣ תקופות מילואים'!$F:$F,C23)</f>
        <v/>
      </c>
      <c r="G23" s="11">
        <f>SUMIFS('2️⃣ תקופות מילואים'!$I:$I,'2️⃣ תקופות מילואים'!$B:$B,A23,'2️⃣ תקופות מילואים'!$F:$F,C23)+SUMIFS('2️⃣ תקופות מילואים'!$J:$J,'2️⃣ תקופות מילואים'!$B:$B,A23,'2️⃣ תקופות מילואים'!$F:$F,C23)+SUMIFS('2️⃣ תקופות מילואים'!$K:$K,'2️⃣ תקופות מילואים'!$B:$B,A23,'2️⃣ תקופות מילואים'!$F:$F,C23)</f>
        <v/>
      </c>
      <c r="H23" s="11">
        <f>SUMIFS('2️⃣ תקופות מילואים'!$P:$P,'2️⃣ תקופות מילואים'!$B:$B,A23,'2️⃣ תקופות מילואים'!$F:$F,C23)</f>
        <v/>
      </c>
      <c r="I23" s="11">
        <f>SUMIFS('3️⃣ תשלומי ב"ל'!$I:$I,'3️⃣ תשלומי ב"ל'!$B:$B,A23)</f>
        <v/>
      </c>
      <c r="J23" s="11" t="inlineStr"/>
      <c r="K23" s="13" t="inlineStr">
        <is>
          <t>ממתין לתקבול</t>
        </is>
      </c>
      <c r="L23" s="11" t="inlineStr">
        <is>
          <t>P0026, P0027</t>
        </is>
      </c>
    </row>
    <row r="24">
      <c r="A24" s="11" t="inlineStr">
        <is>
          <t>יורם  שלמה</t>
        </is>
      </c>
      <c r="B24" s="11" t="inlineStr">
        <is>
          <t>רוה"מ</t>
        </is>
      </c>
      <c r="C24" s="11" t="inlineStr">
        <is>
          <t>02/2025</t>
        </is>
      </c>
      <c r="D24" s="12">
        <f>COUNTIFS('2️⃣ תקופות מילואים'!$B:$B,A24,'2️⃣ תקופות מילואים'!$F:$F,C24)</f>
        <v/>
      </c>
      <c r="E24" s="12">
        <f>SUMIFS('2️⃣ תקופות מילואים'!$G:$G,'2️⃣ תקופות מילואים'!$B:$B,A24,'2️⃣ תקופות מילואים'!$F:$F,C24)</f>
        <v/>
      </c>
      <c r="F24" s="12">
        <f>SUMIFS('2️⃣ תקופות מילואים'!$H:$H,'2️⃣ תקופות מילואים'!$B:$B,A24,'2️⃣ תקופות מילואים'!$F:$F,C24)</f>
        <v/>
      </c>
      <c r="G24" s="11">
        <f>SUMIFS('2️⃣ תקופות מילואים'!$I:$I,'2️⃣ תקופות מילואים'!$B:$B,A24,'2️⃣ תקופות מילואים'!$F:$F,C24)+SUMIFS('2️⃣ תקופות מילואים'!$J:$J,'2️⃣ תקופות מילואים'!$B:$B,A24,'2️⃣ תקופות מילואים'!$F:$F,C24)+SUMIFS('2️⃣ תקופות מילואים'!$K:$K,'2️⃣ תקופות מילואים'!$B:$B,A24,'2️⃣ תקופות מילואים'!$F:$F,C24)</f>
        <v/>
      </c>
      <c r="H24" s="11">
        <f>SUMIFS('2️⃣ תקופות מילואים'!$P:$P,'2️⃣ תקופות מילואים'!$B:$B,A24,'2️⃣ תקופות מילואים'!$F:$F,C24)</f>
        <v/>
      </c>
      <c r="I24" s="11">
        <f>SUMIFS('3️⃣ תשלומי ב"ל'!$I:$I,'3️⃣ תשלומי ב"ל'!$B:$B,A24)</f>
        <v/>
      </c>
      <c r="J24" s="11" t="inlineStr"/>
      <c r="K24" s="13" t="inlineStr">
        <is>
          <t>ממתין לתקבול</t>
        </is>
      </c>
      <c r="L24" s="11" t="inlineStr">
        <is>
          <t>P0028, P0029, P0030</t>
        </is>
      </c>
    </row>
    <row r="25">
      <c r="A25" s="11" t="inlineStr">
        <is>
          <t>יורם  שלמה</t>
        </is>
      </c>
      <c r="B25" s="11" t="inlineStr">
        <is>
          <t>רוה"מ</t>
        </is>
      </c>
      <c r="C25" s="11" t="inlineStr">
        <is>
          <t>03/2025</t>
        </is>
      </c>
      <c r="D25" s="12">
        <f>COUNTIFS('2️⃣ תקופות מילואים'!$B:$B,A25,'2️⃣ תקופות מילואים'!$F:$F,C25)</f>
        <v/>
      </c>
      <c r="E25" s="12">
        <f>SUMIFS('2️⃣ תקופות מילואים'!$G:$G,'2️⃣ תקופות מילואים'!$B:$B,A25,'2️⃣ תקופות מילואים'!$F:$F,C25)</f>
        <v/>
      </c>
      <c r="F25" s="12">
        <f>SUMIFS('2️⃣ תקופות מילואים'!$H:$H,'2️⃣ תקופות מילואים'!$B:$B,A25,'2️⃣ תקופות מילואים'!$F:$F,C25)</f>
        <v/>
      </c>
      <c r="G25" s="11">
        <f>SUMIFS('2️⃣ תקופות מילואים'!$I:$I,'2️⃣ תקופות מילואים'!$B:$B,A25,'2️⃣ תקופות מילואים'!$F:$F,C25)+SUMIFS('2️⃣ תקופות מילואים'!$J:$J,'2️⃣ תקופות מילואים'!$B:$B,A25,'2️⃣ תקופות מילואים'!$F:$F,C25)+SUMIFS('2️⃣ תקופות מילואים'!$K:$K,'2️⃣ תקופות מילואים'!$B:$B,A25,'2️⃣ תקופות מילואים'!$F:$F,C25)</f>
        <v/>
      </c>
      <c r="H25" s="11">
        <f>SUMIFS('2️⃣ תקופות מילואים'!$P:$P,'2️⃣ תקופות מילואים'!$B:$B,A25,'2️⃣ תקופות מילואים'!$F:$F,C25)</f>
        <v/>
      </c>
      <c r="I25" s="11">
        <f>SUMIFS('3️⃣ תשלומי ב"ל'!$I:$I,'3️⃣ תשלומי ב"ל'!$B:$B,A25)</f>
        <v/>
      </c>
      <c r="J25" s="11" t="inlineStr"/>
      <c r="K25" s="13" t="inlineStr">
        <is>
          <t>ממתין לתקבול</t>
        </is>
      </c>
      <c r="L25" s="11" t="inlineStr">
        <is>
          <t>P0031, P0032, P0033</t>
        </is>
      </c>
    </row>
    <row r="26">
      <c r="A26" s="11" t="inlineStr">
        <is>
          <t>יורם  שלמה</t>
        </is>
      </c>
      <c r="B26" s="11" t="inlineStr">
        <is>
          <t>רוה"מ</t>
        </is>
      </c>
      <c r="C26" s="11" t="inlineStr">
        <is>
          <t>04/2025</t>
        </is>
      </c>
      <c r="D26" s="12">
        <f>COUNTIFS('2️⃣ תקופות מילואים'!$B:$B,A26,'2️⃣ תקופות מילואים'!$F:$F,C26)</f>
        <v/>
      </c>
      <c r="E26" s="12">
        <f>SUMIFS('2️⃣ תקופות מילואים'!$G:$G,'2️⃣ תקופות מילואים'!$B:$B,A26,'2️⃣ תקופות מילואים'!$F:$F,C26)</f>
        <v/>
      </c>
      <c r="F26" s="12">
        <f>SUMIFS('2️⃣ תקופות מילואים'!$H:$H,'2️⃣ תקופות מילואים'!$B:$B,A26,'2️⃣ תקופות מילואים'!$F:$F,C26)</f>
        <v/>
      </c>
      <c r="G26" s="11">
        <f>SUMIFS('2️⃣ תקופות מילואים'!$I:$I,'2️⃣ תקופות מילואים'!$B:$B,A26,'2️⃣ תקופות מילואים'!$F:$F,C26)+SUMIFS('2️⃣ תקופות מילואים'!$J:$J,'2️⃣ תקופות מילואים'!$B:$B,A26,'2️⃣ תקופות מילואים'!$F:$F,C26)+SUMIFS('2️⃣ תקופות מילואים'!$K:$K,'2️⃣ תקופות מילואים'!$B:$B,A26,'2️⃣ תקופות מילואים'!$F:$F,C26)</f>
        <v/>
      </c>
      <c r="H26" s="11">
        <f>SUMIFS('2️⃣ תקופות מילואים'!$P:$P,'2️⃣ תקופות מילואים'!$B:$B,A26,'2️⃣ תקופות מילואים'!$F:$F,C26)</f>
        <v/>
      </c>
      <c r="I26" s="11">
        <f>SUMIFS('3️⃣ תשלומי ב"ל'!$I:$I,'3️⃣ תשלומי ב"ל'!$B:$B,A26)</f>
        <v/>
      </c>
      <c r="J26" s="11" t="inlineStr"/>
      <c r="K26" s="13" t="inlineStr">
        <is>
          <t>ממתין לתקבול</t>
        </is>
      </c>
      <c r="L26" s="11" t="inlineStr">
        <is>
          <t>P0034</t>
        </is>
      </c>
    </row>
    <row r="27">
      <c r="A27" s="11" t="inlineStr">
        <is>
          <t>יורם  שלמה</t>
        </is>
      </c>
      <c r="B27" s="11" t="inlineStr">
        <is>
          <t>רוה"מ</t>
        </is>
      </c>
      <c r="C27" s="11" t="inlineStr">
        <is>
          <t>05/2025</t>
        </is>
      </c>
      <c r="D27" s="12">
        <f>COUNTIFS('2️⃣ תקופות מילואים'!$B:$B,A27,'2️⃣ תקופות מילואים'!$F:$F,C27)</f>
        <v/>
      </c>
      <c r="E27" s="12">
        <f>SUMIFS('2️⃣ תקופות מילואים'!$G:$G,'2️⃣ תקופות מילואים'!$B:$B,A27,'2️⃣ תקופות מילואים'!$F:$F,C27)</f>
        <v/>
      </c>
      <c r="F27" s="12">
        <f>SUMIFS('2️⃣ תקופות מילואים'!$H:$H,'2️⃣ תקופות מילואים'!$B:$B,A27,'2️⃣ תקופות מילואים'!$F:$F,C27)</f>
        <v/>
      </c>
      <c r="G27" s="11">
        <f>SUMIFS('2️⃣ תקופות מילואים'!$I:$I,'2️⃣ תקופות מילואים'!$B:$B,A27,'2️⃣ תקופות מילואים'!$F:$F,C27)+SUMIFS('2️⃣ תקופות מילואים'!$J:$J,'2️⃣ תקופות מילואים'!$B:$B,A27,'2️⃣ תקופות מילואים'!$F:$F,C27)+SUMIFS('2️⃣ תקופות מילואים'!$K:$K,'2️⃣ תקופות מילואים'!$B:$B,A27,'2️⃣ תקופות מילואים'!$F:$F,C27)</f>
        <v/>
      </c>
      <c r="H27" s="11">
        <f>SUMIFS('2️⃣ תקופות מילואים'!$P:$P,'2️⃣ תקופות מילואים'!$B:$B,A27,'2️⃣ תקופות מילואים'!$F:$F,C27)</f>
        <v/>
      </c>
      <c r="I27" s="11">
        <f>SUMIFS('3️⃣ תשלומי ב"ל'!$I:$I,'3️⃣ תשלומי ב"ל'!$B:$B,A27)</f>
        <v/>
      </c>
      <c r="J27" s="11" t="inlineStr"/>
      <c r="K27" s="13" t="inlineStr">
        <is>
          <t>ממתין לתקבול</t>
        </is>
      </c>
      <c r="L27" s="11" t="inlineStr">
        <is>
          <t>P0035, P0036, P0037</t>
        </is>
      </c>
    </row>
    <row r="28">
      <c r="A28" s="11" t="inlineStr">
        <is>
          <t>יורם  שלמה</t>
        </is>
      </c>
      <c r="B28" s="11" t="inlineStr">
        <is>
          <t>רוה"מ</t>
        </is>
      </c>
      <c r="C28" s="11" t="inlineStr">
        <is>
          <t>06/2025</t>
        </is>
      </c>
      <c r="D28" s="12">
        <f>COUNTIFS('2️⃣ תקופות מילואים'!$B:$B,A28,'2️⃣ תקופות מילואים'!$F:$F,C28)</f>
        <v/>
      </c>
      <c r="E28" s="12">
        <f>SUMIFS('2️⃣ תקופות מילואים'!$G:$G,'2️⃣ תקופות מילואים'!$B:$B,A28,'2️⃣ תקופות מילואים'!$F:$F,C28)</f>
        <v/>
      </c>
      <c r="F28" s="12">
        <f>SUMIFS('2️⃣ תקופות מילואים'!$H:$H,'2️⃣ תקופות מילואים'!$B:$B,A28,'2️⃣ תקופות מילואים'!$F:$F,C28)</f>
        <v/>
      </c>
      <c r="G28" s="11">
        <f>SUMIFS('2️⃣ תקופות מילואים'!$I:$I,'2️⃣ תקופות מילואים'!$B:$B,A28,'2️⃣ תקופות מילואים'!$F:$F,C28)+SUMIFS('2️⃣ תקופות מילואים'!$J:$J,'2️⃣ תקופות מילואים'!$B:$B,A28,'2️⃣ תקופות מילואים'!$F:$F,C28)+SUMIFS('2️⃣ תקופות מילואים'!$K:$K,'2️⃣ תקופות מילואים'!$B:$B,A28,'2️⃣ תקופות מילואים'!$F:$F,C28)</f>
        <v/>
      </c>
      <c r="H28" s="11">
        <f>SUMIFS('2️⃣ תקופות מילואים'!$P:$P,'2️⃣ תקופות מילואים'!$B:$B,A28,'2️⃣ תקופות מילואים'!$F:$F,C28)</f>
        <v/>
      </c>
      <c r="I28" s="11">
        <f>SUMIFS('3️⃣ תשלומי ב"ל'!$I:$I,'3️⃣ תשלומי ב"ל'!$B:$B,A28)</f>
        <v/>
      </c>
      <c r="J28" s="11" t="inlineStr"/>
      <c r="K28" s="13" t="inlineStr">
        <is>
          <t>ממתין לתקבול</t>
        </is>
      </c>
      <c r="L28" s="11" t="inlineStr">
        <is>
          <t>P0038, P0039</t>
        </is>
      </c>
    </row>
    <row r="29">
      <c r="A29" s="11" t="inlineStr">
        <is>
          <t>יורם  שלמה</t>
        </is>
      </c>
      <c r="B29" s="11" t="inlineStr">
        <is>
          <t>רוה"מ</t>
        </is>
      </c>
      <c r="C29" s="11" t="inlineStr">
        <is>
          <t>07/2025</t>
        </is>
      </c>
      <c r="D29" s="12">
        <f>COUNTIFS('2️⃣ תקופות מילואים'!$B:$B,A29,'2️⃣ תקופות מילואים'!$F:$F,C29)</f>
        <v/>
      </c>
      <c r="E29" s="12">
        <f>SUMIFS('2️⃣ תקופות מילואים'!$G:$G,'2️⃣ תקופות מילואים'!$B:$B,A29,'2️⃣ תקופות מילואים'!$F:$F,C29)</f>
        <v/>
      </c>
      <c r="F29" s="12">
        <f>SUMIFS('2️⃣ תקופות מילואים'!$H:$H,'2️⃣ תקופות מילואים'!$B:$B,A29,'2️⃣ תקופות מילואים'!$F:$F,C29)</f>
        <v/>
      </c>
      <c r="G29" s="11">
        <f>SUMIFS('2️⃣ תקופות מילואים'!$I:$I,'2️⃣ תקופות מילואים'!$B:$B,A29,'2️⃣ תקופות מילואים'!$F:$F,C29)+SUMIFS('2️⃣ תקופות מילואים'!$J:$J,'2️⃣ תקופות מילואים'!$B:$B,A29,'2️⃣ תקופות מילואים'!$F:$F,C29)+SUMIFS('2️⃣ תקופות מילואים'!$K:$K,'2️⃣ תקופות מילואים'!$B:$B,A29,'2️⃣ תקופות מילואים'!$F:$F,C29)</f>
        <v/>
      </c>
      <c r="H29" s="11">
        <f>SUMIFS('2️⃣ תקופות מילואים'!$P:$P,'2️⃣ תקופות מילואים'!$B:$B,A29,'2️⃣ תקופות מילואים'!$F:$F,C29)</f>
        <v/>
      </c>
      <c r="I29" s="11">
        <f>SUMIFS('3️⃣ תשלומי ב"ל'!$I:$I,'3️⃣ תשלומי ב"ל'!$B:$B,A29)</f>
        <v/>
      </c>
      <c r="J29" s="11" t="inlineStr"/>
      <c r="K29" s="13" t="inlineStr">
        <is>
          <t>ממתין לתקבול</t>
        </is>
      </c>
      <c r="L29" s="11" t="inlineStr">
        <is>
          <t>P0040</t>
        </is>
      </c>
    </row>
    <row r="30">
      <c r="A30" s="11" t="inlineStr">
        <is>
          <t>יורם  שלמה</t>
        </is>
      </c>
      <c r="B30" s="11" t="inlineStr">
        <is>
          <t>רוה"מ</t>
        </is>
      </c>
      <c r="C30" s="11" t="inlineStr">
        <is>
          <t>09/2025</t>
        </is>
      </c>
      <c r="D30" s="12">
        <f>COUNTIFS('2️⃣ תקופות מילואים'!$B:$B,A30,'2️⃣ תקופות מילואים'!$F:$F,C30)</f>
        <v/>
      </c>
      <c r="E30" s="12">
        <f>SUMIFS('2️⃣ תקופות מילואים'!$G:$G,'2️⃣ תקופות מילואים'!$B:$B,A30,'2️⃣ תקופות מילואים'!$F:$F,C30)</f>
        <v/>
      </c>
      <c r="F30" s="12">
        <f>SUMIFS('2️⃣ תקופות מילואים'!$H:$H,'2️⃣ תקופות מילואים'!$B:$B,A30,'2️⃣ תקופות מילואים'!$F:$F,C30)</f>
        <v/>
      </c>
      <c r="G30" s="11">
        <f>SUMIFS('2️⃣ תקופות מילואים'!$I:$I,'2️⃣ תקופות מילואים'!$B:$B,A30,'2️⃣ תקופות מילואים'!$F:$F,C30)+SUMIFS('2️⃣ תקופות מילואים'!$J:$J,'2️⃣ תקופות מילואים'!$B:$B,A30,'2️⃣ תקופות מילואים'!$F:$F,C30)+SUMIFS('2️⃣ תקופות מילואים'!$K:$K,'2️⃣ תקופות מילואים'!$B:$B,A30,'2️⃣ תקופות מילואים'!$F:$F,C30)</f>
        <v/>
      </c>
      <c r="H30" s="11">
        <f>SUMIFS('2️⃣ תקופות מילואים'!$P:$P,'2️⃣ תקופות מילואים'!$B:$B,A30,'2️⃣ תקופות מילואים'!$F:$F,C30)</f>
        <v/>
      </c>
      <c r="I30" s="11">
        <f>SUMIFS('3️⃣ תשלומי ב"ל'!$I:$I,'3️⃣ תשלומי ב"ל'!$B:$B,A30)</f>
        <v/>
      </c>
      <c r="J30" s="11" t="inlineStr"/>
      <c r="K30" s="13" t="inlineStr">
        <is>
          <t>ממתין לתקבול</t>
        </is>
      </c>
      <c r="L30" s="11" t="inlineStr">
        <is>
          <t>P0041</t>
        </is>
      </c>
    </row>
    <row r="31">
      <c r="A31" s="11" t="inlineStr">
        <is>
          <t>יענקל מונטבולינסקי</t>
        </is>
      </c>
      <c r="B31" s="11" t="inlineStr">
        <is>
          <t>רפאל</t>
        </is>
      </c>
      <c r="C31" s="11" t="inlineStr">
        <is>
          <t>07/2025</t>
        </is>
      </c>
      <c r="D31" s="12">
        <f>COUNTIFS('2️⃣ תקופות מילואים'!$B:$B,A31,'2️⃣ תקופות מילואים'!$F:$F,C31)</f>
        <v/>
      </c>
      <c r="E31" s="12">
        <f>SUMIFS('2️⃣ תקופות מילואים'!$G:$G,'2️⃣ תקופות מילואים'!$B:$B,A31,'2️⃣ תקופות מילואים'!$F:$F,C31)</f>
        <v/>
      </c>
      <c r="F31" s="12">
        <f>SUMIFS('2️⃣ תקופות מילואים'!$H:$H,'2️⃣ תקופות מילואים'!$B:$B,A31,'2️⃣ תקופות מילואים'!$F:$F,C31)</f>
        <v/>
      </c>
      <c r="G31" s="11">
        <f>SUMIFS('2️⃣ תקופות מילואים'!$I:$I,'2️⃣ תקופות מילואים'!$B:$B,A31,'2️⃣ תקופות מילואים'!$F:$F,C31)+SUMIFS('2️⃣ תקופות מילואים'!$J:$J,'2️⃣ תקופות מילואים'!$B:$B,A31,'2️⃣ תקופות מילואים'!$F:$F,C31)+SUMIFS('2️⃣ תקופות מילואים'!$K:$K,'2️⃣ תקופות מילואים'!$B:$B,A31,'2️⃣ תקופות מילואים'!$F:$F,C31)</f>
        <v/>
      </c>
      <c r="H31" s="11">
        <f>SUMIFS('2️⃣ תקופות מילואים'!$P:$P,'2️⃣ תקופות מילואים'!$B:$B,A31,'2️⃣ תקופות מילואים'!$F:$F,C31)</f>
        <v/>
      </c>
      <c r="I31" s="11">
        <f>SUMIFS('3️⃣ תשלומי ב"ל'!$I:$I,'3️⃣ תשלומי ב"ל'!$B:$B,A31)</f>
        <v/>
      </c>
      <c r="J31" s="11" t="inlineStr"/>
      <c r="K31" s="13" t="inlineStr">
        <is>
          <t>ממתין לתקבול</t>
        </is>
      </c>
      <c r="L31" s="11" t="inlineStr">
        <is>
          <t>P0042, P0043, P0044</t>
        </is>
      </c>
    </row>
    <row r="32">
      <c r="A32" s="11" t="inlineStr">
        <is>
          <t>יענקל מונטבולינסקי</t>
        </is>
      </c>
      <c r="B32" s="11" t="inlineStr">
        <is>
          <t>רפאל</t>
        </is>
      </c>
      <c r="C32" s="11" t="inlineStr">
        <is>
          <t>08/2025</t>
        </is>
      </c>
      <c r="D32" s="12">
        <f>COUNTIFS('2️⃣ תקופות מילואים'!$B:$B,A32,'2️⃣ תקופות מילואים'!$F:$F,C32)</f>
        <v/>
      </c>
      <c r="E32" s="12">
        <f>SUMIFS('2️⃣ תקופות מילואים'!$G:$G,'2️⃣ תקופות מילואים'!$B:$B,A32,'2️⃣ תקופות מילואים'!$F:$F,C32)</f>
        <v/>
      </c>
      <c r="F32" s="12">
        <f>SUMIFS('2️⃣ תקופות מילואים'!$H:$H,'2️⃣ תקופות מילואים'!$B:$B,A32,'2️⃣ תקופות מילואים'!$F:$F,C32)</f>
        <v/>
      </c>
      <c r="G32" s="11">
        <f>SUMIFS('2️⃣ תקופות מילואים'!$I:$I,'2️⃣ תקופות מילואים'!$B:$B,A32,'2️⃣ תקופות מילואים'!$F:$F,C32)+SUMIFS('2️⃣ תקופות מילואים'!$J:$J,'2️⃣ תקופות מילואים'!$B:$B,A32,'2️⃣ תקופות מילואים'!$F:$F,C32)+SUMIFS('2️⃣ תקופות מילואים'!$K:$K,'2️⃣ תקופות מילואים'!$B:$B,A32,'2️⃣ תקופות מילואים'!$F:$F,C32)</f>
        <v/>
      </c>
      <c r="H32" s="11">
        <f>SUMIFS('2️⃣ תקופות מילואים'!$P:$P,'2️⃣ תקופות מילואים'!$B:$B,A32,'2️⃣ תקופות מילואים'!$F:$F,C32)</f>
        <v/>
      </c>
      <c r="I32" s="11">
        <f>SUMIFS('3️⃣ תשלומי ב"ל'!$I:$I,'3️⃣ תשלומי ב"ל'!$B:$B,A32)</f>
        <v/>
      </c>
      <c r="J32" s="11" t="inlineStr"/>
      <c r="K32" s="13" t="inlineStr">
        <is>
          <t>ממתין לתקבול</t>
        </is>
      </c>
      <c r="L32" s="11" t="inlineStr">
        <is>
          <t>P0045, P0046, P0047</t>
        </is>
      </c>
    </row>
    <row r="33">
      <c r="A33" s="11" t="inlineStr">
        <is>
          <t>יענקל מונטבולינסקי</t>
        </is>
      </c>
      <c r="B33" s="11" t="inlineStr">
        <is>
          <t>רפאל</t>
        </is>
      </c>
      <c r="C33" s="11" t="inlineStr">
        <is>
          <t>09/2025</t>
        </is>
      </c>
      <c r="D33" s="12">
        <f>COUNTIFS('2️⃣ תקופות מילואים'!$B:$B,A33,'2️⃣ תקופות מילואים'!$F:$F,C33)</f>
        <v/>
      </c>
      <c r="E33" s="12">
        <f>SUMIFS('2️⃣ תקופות מילואים'!$G:$G,'2️⃣ תקופות מילואים'!$B:$B,A33,'2️⃣ תקופות מילואים'!$F:$F,C33)</f>
        <v/>
      </c>
      <c r="F33" s="12">
        <f>SUMIFS('2️⃣ תקופות מילואים'!$H:$H,'2️⃣ תקופות מילואים'!$B:$B,A33,'2️⃣ תקופות מילואים'!$F:$F,C33)</f>
        <v/>
      </c>
      <c r="G33" s="11">
        <f>SUMIFS('2️⃣ תקופות מילואים'!$I:$I,'2️⃣ תקופות מילואים'!$B:$B,A33,'2️⃣ תקופות מילואים'!$F:$F,C33)+SUMIFS('2️⃣ תקופות מילואים'!$J:$J,'2️⃣ תקופות מילואים'!$B:$B,A33,'2️⃣ תקופות מילואים'!$F:$F,C33)+SUMIFS('2️⃣ תקופות מילואים'!$K:$K,'2️⃣ תקופות מילואים'!$B:$B,A33,'2️⃣ תקופות מילואים'!$F:$F,C33)</f>
        <v/>
      </c>
      <c r="H33" s="11">
        <f>SUMIFS('2️⃣ תקופות מילואים'!$P:$P,'2️⃣ תקופות מילואים'!$B:$B,A33,'2️⃣ תקופות מילואים'!$F:$F,C33)</f>
        <v/>
      </c>
      <c r="I33" s="11">
        <f>SUMIFS('3️⃣ תשלומי ב"ל'!$I:$I,'3️⃣ תשלומי ב"ל'!$B:$B,A33)</f>
        <v/>
      </c>
      <c r="J33" s="11" t="inlineStr"/>
      <c r="K33" s="13" t="inlineStr">
        <is>
          <t>ממתין לתקבול</t>
        </is>
      </c>
      <c r="L33" s="11" t="inlineStr">
        <is>
          <t>P0048, P0049</t>
        </is>
      </c>
    </row>
    <row r="34">
      <c r="A34" s="11" t="inlineStr">
        <is>
          <t>לאון שמייב</t>
        </is>
      </c>
      <c r="B34" s="11" t="inlineStr">
        <is>
          <t>רוה"מ</t>
        </is>
      </c>
      <c r="C34" s="11" t="inlineStr">
        <is>
          <t>03/2025</t>
        </is>
      </c>
      <c r="D34" s="12">
        <f>COUNTIFS('2️⃣ תקופות מילואים'!$B:$B,A34,'2️⃣ תקופות מילואים'!$F:$F,C34)</f>
        <v/>
      </c>
      <c r="E34" s="12">
        <f>SUMIFS('2️⃣ תקופות מילואים'!$G:$G,'2️⃣ תקופות מילואים'!$B:$B,A34,'2️⃣ תקופות מילואים'!$F:$F,C34)</f>
        <v/>
      </c>
      <c r="F34" s="12">
        <f>SUMIFS('2️⃣ תקופות מילואים'!$H:$H,'2️⃣ תקופות מילואים'!$B:$B,A34,'2️⃣ תקופות מילואים'!$F:$F,C34)</f>
        <v/>
      </c>
      <c r="G34" s="11">
        <f>SUMIFS('2️⃣ תקופות מילואים'!$I:$I,'2️⃣ תקופות מילואים'!$B:$B,A34,'2️⃣ תקופות מילואים'!$F:$F,C34)+SUMIFS('2️⃣ תקופות מילואים'!$J:$J,'2️⃣ תקופות מילואים'!$B:$B,A34,'2️⃣ תקופות מילואים'!$F:$F,C34)+SUMIFS('2️⃣ תקופות מילואים'!$K:$K,'2️⃣ תקופות מילואים'!$B:$B,A34,'2️⃣ תקופות מילואים'!$F:$F,C34)</f>
        <v/>
      </c>
      <c r="H34" s="11">
        <f>SUMIFS('2️⃣ תקופות מילואים'!$P:$P,'2️⃣ תקופות מילואים'!$B:$B,A34,'2️⃣ תקופות מילואים'!$F:$F,C34)</f>
        <v/>
      </c>
      <c r="I34" s="11">
        <f>SUMIFS('3️⃣ תשלומי ב"ל'!$I:$I,'3️⃣ תשלומי ב"ל'!$B:$B,A34)</f>
        <v/>
      </c>
      <c r="J34" s="11" t="inlineStr"/>
      <c r="K34" s="13" t="inlineStr">
        <is>
          <t>ממתין לתקבול</t>
        </is>
      </c>
      <c r="L34" s="11" t="inlineStr">
        <is>
          <t>P0050</t>
        </is>
      </c>
    </row>
    <row r="35">
      <c r="A35" s="11" t="inlineStr">
        <is>
          <t>לאון שמייב</t>
        </is>
      </c>
      <c r="B35" s="11" t="inlineStr">
        <is>
          <t>רוה"מ</t>
        </is>
      </c>
      <c r="C35" s="11" t="inlineStr">
        <is>
          <t>05/2025</t>
        </is>
      </c>
      <c r="D35" s="12">
        <f>COUNTIFS('2️⃣ תקופות מילואים'!$B:$B,A35,'2️⃣ תקופות מילואים'!$F:$F,C35)</f>
        <v/>
      </c>
      <c r="E35" s="12">
        <f>SUMIFS('2️⃣ תקופות מילואים'!$G:$G,'2️⃣ תקופות מילואים'!$B:$B,A35,'2️⃣ תקופות מילואים'!$F:$F,C35)</f>
        <v/>
      </c>
      <c r="F35" s="12">
        <f>SUMIFS('2️⃣ תקופות מילואים'!$H:$H,'2️⃣ תקופות מילואים'!$B:$B,A35,'2️⃣ תקופות מילואים'!$F:$F,C35)</f>
        <v/>
      </c>
      <c r="G35" s="11">
        <f>SUMIFS('2️⃣ תקופות מילואים'!$I:$I,'2️⃣ תקופות מילואים'!$B:$B,A35,'2️⃣ תקופות מילואים'!$F:$F,C35)+SUMIFS('2️⃣ תקופות מילואים'!$J:$J,'2️⃣ תקופות מילואים'!$B:$B,A35,'2️⃣ תקופות מילואים'!$F:$F,C35)+SUMIFS('2️⃣ תקופות מילואים'!$K:$K,'2️⃣ תקופות מילואים'!$B:$B,A35,'2️⃣ תקופות מילואים'!$F:$F,C35)</f>
        <v/>
      </c>
      <c r="H35" s="11">
        <f>SUMIFS('2️⃣ תקופות מילואים'!$P:$P,'2️⃣ תקופות מילואים'!$B:$B,A35,'2️⃣ תקופות מילואים'!$F:$F,C35)</f>
        <v/>
      </c>
      <c r="I35" s="11">
        <f>SUMIFS('3️⃣ תשלומי ב"ל'!$I:$I,'3️⃣ תשלומי ב"ל'!$B:$B,A35)</f>
        <v/>
      </c>
      <c r="J35" s="11" t="inlineStr"/>
      <c r="K35" s="13" t="inlineStr">
        <is>
          <t>ממתין לתקבול</t>
        </is>
      </c>
      <c r="L35" s="11" t="inlineStr">
        <is>
          <t>P0051</t>
        </is>
      </c>
    </row>
    <row r="36">
      <c r="A36" s="11" t="inlineStr">
        <is>
          <t>לאון שמייב</t>
        </is>
      </c>
      <c r="B36" s="11" t="inlineStr">
        <is>
          <t>רוה"מ</t>
        </is>
      </c>
      <c r="C36" s="11" t="inlineStr">
        <is>
          <t>06/2025</t>
        </is>
      </c>
      <c r="D36" s="12">
        <f>COUNTIFS('2️⃣ תקופות מילואים'!$B:$B,A36,'2️⃣ תקופות מילואים'!$F:$F,C36)</f>
        <v/>
      </c>
      <c r="E36" s="12">
        <f>SUMIFS('2️⃣ תקופות מילואים'!$G:$G,'2️⃣ תקופות מילואים'!$B:$B,A36,'2️⃣ תקופות מילואים'!$F:$F,C36)</f>
        <v/>
      </c>
      <c r="F36" s="12">
        <f>SUMIFS('2️⃣ תקופות מילואים'!$H:$H,'2️⃣ תקופות מילואים'!$B:$B,A36,'2️⃣ תקופות מילואים'!$F:$F,C36)</f>
        <v/>
      </c>
      <c r="G36" s="11">
        <f>SUMIFS('2️⃣ תקופות מילואים'!$I:$I,'2️⃣ תקופות מילואים'!$B:$B,A36,'2️⃣ תקופות מילואים'!$F:$F,C36)+SUMIFS('2️⃣ תקופות מילואים'!$J:$J,'2️⃣ תקופות מילואים'!$B:$B,A36,'2️⃣ תקופות מילואים'!$F:$F,C36)+SUMIFS('2️⃣ תקופות מילואים'!$K:$K,'2️⃣ תקופות מילואים'!$B:$B,A36,'2️⃣ תקופות מילואים'!$F:$F,C36)</f>
        <v/>
      </c>
      <c r="H36" s="11">
        <f>SUMIFS('2️⃣ תקופות מילואים'!$P:$P,'2️⃣ תקופות מילואים'!$B:$B,A36,'2️⃣ תקופות מילואים'!$F:$F,C36)</f>
        <v/>
      </c>
      <c r="I36" s="11">
        <f>SUMIFS('3️⃣ תשלומי ב"ל'!$I:$I,'3️⃣ תשלומי ב"ל'!$B:$B,A36)</f>
        <v/>
      </c>
      <c r="J36" s="11" t="inlineStr"/>
      <c r="K36" s="13" t="inlineStr">
        <is>
          <t>ממתין לתקבול</t>
        </is>
      </c>
      <c r="L36" s="11" t="inlineStr">
        <is>
          <t>P0052</t>
        </is>
      </c>
    </row>
    <row r="37">
      <c r="A37" s="11" t="inlineStr">
        <is>
          <t>לאון שמייב</t>
        </is>
      </c>
      <c r="B37" s="11" t="inlineStr">
        <is>
          <t>רוה"מ</t>
        </is>
      </c>
      <c r="C37" s="11" t="inlineStr">
        <is>
          <t>07/2025</t>
        </is>
      </c>
      <c r="D37" s="12">
        <f>COUNTIFS('2️⃣ תקופות מילואים'!$B:$B,A37,'2️⃣ תקופות מילואים'!$F:$F,C37)</f>
        <v/>
      </c>
      <c r="E37" s="12">
        <f>SUMIFS('2️⃣ תקופות מילואים'!$G:$G,'2️⃣ תקופות מילואים'!$B:$B,A37,'2️⃣ תקופות מילואים'!$F:$F,C37)</f>
        <v/>
      </c>
      <c r="F37" s="12">
        <f>SUMIFS('2️⃣ תקופות מילואים'!$H:$H,'2️⃣ תקופות מילואים'!$B:$B,A37,'2️⃣ תקופות מילואים'!$F:$F,C37)</f>
        <v/>
      </c>
      <c r="G37" s="11">
        <f>SUMIFS('2️⃣ תקופות מילואים'!$I:$I,'2️⃣ תקופות מילואים'!$B:$B,A37,'2️⃣ תקופות מילואים'!$F:$F,C37)+SUMIFS('2️⃣ תקופות מילואים'!$J:$J,'2️⃣ תקופות מילואים'!$B:$B,A37,'2️⃣ תקופות מילואים'!$F:$F,C37)+SUMIFS('2️⃣ תקופות מילואים'!$K:$K,'2️⃣ תקופות מילואים'!$B:$B,A37,'2️⃣ תקופות מילואים'!$F:$F,C37)</f>
        <v/>
      </c>
      <c r="H37" s="11">
        <f>SUMIFS('2️⃣ תקופות מילואים'!$P:$P,'2️⃣ תקופות מילואים'!$B:$B,A37,'2️⃣ תקופות מילואים'!$F:$F,C37)</f>
        <v/>
      </c>
      <c r="I37" s="11">
        <f>SUMIFS('3️⃣ תשלומי ב"ל'!$I:$I,'3️⃣ תשלומי ב"ל'!$B:$B,A37)</f>
        <v/>
      </c>
      <c r="J37" s="11" t="inlineStr"/>
      <c r="K37" s="13" t="inlineStr">
        <is>
          <t>ממתין לתקבול</t>
        </is>
      </c>
      <c r="L37" s="11" t="inlineStr">
        <is>
          <t>P0053</t>
        </is>
      </c>
    </row>
    <row r="38">
      <c r="A38" s="11" t="inlineStr">
        <is>
          <t>לאון שמייב</t>
        </is>
      </c>
      <c r="B38" s="11" t="inlineStr">
        <is>
          <t>רוה"מ</t>
        </is>
      </c>
      <c r="C38" s="11" t="inlineStr">
        <is>
          <t>08/2025</t>
        </is>
      </c>
      <c r="D38" s="12">
        <f>COUNTIFS('2️⃣ תקופות מילואים'!$B:$B,A38,'2️⃣ תקופות מילואים'!$F:$F,C38)</f>
        <v/>
      </c>
      <c r="E38" s="12">
        <f>SUMIFS('2️⃣ תקופות מילואים'!$G:$G,'2️⃣ תקופות מילואים'!$B:$B,A38,'2️⃣ תקופות מילואים'!$F:$F,C38)</f>
        <v/>
      </c>
      <c r="F38" s="12">
        <f>SUMIFS('2️⃣ תקופות מילואים'!$H:$H,'2️⃣ תקופות מילואים'!$B:$B,A38,'2️⃣ תקופות מילואים'!$F:$F,C38)</f>
        <v/>
      </c>
      <c r="G38" s="11">
        <f>SUMIFS('2️⃣ תקופות מילואים'!$I:$I,'2️⃣ תקופות מילואים'!$B:$B,A38,'2️⃣ תקופות מילואים'!$F:$F,C38)+SUMIFS('2️⃣ תקופות מילואים'!$J:$J,'2️⃣ תקופות מילואים'!$B:$B,A38,'2️⃣ תקופות מילואים'!$F:$F,C38)+SUMIFS('2️⃣ תקופות מילואים'!$K:$K,'2️⃣ תקופות מילואים'!$B:$B,A38,'2️⃣ תקופות מילואים'!$F:$F,C38)</f>
        <v/>
      </c>
      <c r="H38" s="11">
        <f>SUMIFS('2️⃣ תקופות מילואים'!$P:$P,'2️⃣ תקופות מילואים'!$B:$B,A38,'2️⃣ תקופות מילואים'!$F:$F,C38)</f>
        <v/>
      </c>
      <c r="I38" s="11">
        <f>SUMIFS('3️⃣ תשלומי ב"ל'!$I:$I,'3️⃣ תשלומי ב"ל'!$B:$B,A38)</f>
        <v/>
      </c>
      <c r="J38" s="11" t="inlineStr"/>
      <c r="K38" s="13" t="inlineStr">
        <is>
          <t>ממתין לתקבול</t>
        </is>
      </c>
      <c r="L38" s="11" t="inlineStr">
        <is>
          <t>P0054</t>
        </is>
      </c>
    </row>
    <row r="39">
      <c r="A39" s="11" t="inlineStr">
        <is>
          <t>לוי דור</t>
        </is>
      </c>
      <c r="B39" s="11" t="inlineStr">
        <is>
          <t>רפאל</t>
        </is>
      </c>
      <c r="C39" s="11" t="inlineStr">
        <is>
          <t>01/2025</t>
        </is>
      </c>
      <c r="D39" s="12">
        <f>COUNTIFS('2️⃣ תקופות מילואים'!$B:$B,A39,'2️⃣ תקופות מילואים'!$F:$F,C39)</f>
        <v/>
      </c>
      <c r="E39" s="12">
        <f>SUMIFS('2️⃣ תקופות מילואים'!$G:$G,'2️⃣ תקופות מילואים'!$B:$B,A39,'2️⃣ תקופות מילואים'!$F:$F,C39)</f>
        <v/>
      </c>
      <c r="F39" s="12">
        <f>SUMIFS('2️⃣ תקופות מילואים'!$H:$H,'2️⃣ תקופות מילואים'!$B:$B,A39,'2️⃣ תקופות מילואים'!$F:$F,C39)</f>
        <v/>
      </c>
      <c r="G39" s="11">
        <f>SUMIFS('2️⃣ תקופות מילואים'!$I:$I,'2️⃣ תקופות מילואים'!$B:$B,A39,'2️⃣ תקופות מילואים'!$F:$F,C39)+SUMIFS('2️⃣ תקופות מילואים'!$J:$J,'2️⃣ תקופות מילואים'!$B:$B,A39,'2️⃣ תקופות מילואים'!$F:$F,C39)+SUMIFS('2️⃣ תקופות מילואים'!$K:$K,'2️⃣ תקופות מילואים'!$B:$B,A39,'2️⃣ תקופות מילואים'!$F:$F,C39)</f>
        <v/>
      </c>
      <c r="H39" s="11">
        <f>SUMIFS('2️⃣ תקופות מילואים'!$P:$P,'2️⃣ תקופות מילואים'!$B:$B,A39,'2️⃣ תקופות מילואים'!$F:$F,C39)</f>
        <v/>
      </c>
      <c r="I39" s="11">
        <f>SUMIFS('3️⃣ תשלומי ב"ל'!$I:$I,'3️⃣ תשלומי ב"ל'!$B:$B,A39)</f>
        <v/>
      </c>
      <c r="J39" s="11" t="inlineStr"/>
      <c r="K39" s="14" t="inlineStr">
        <is>
          <t>התקבל מלא</t>
        </is>
      </c>
      <c r="L39" s="11" t="inlineStr">
        <is>
          <t>P0055</t>
        </is>
      </c>
    </row>
    <row r="40">
      <c r="A40" s="11" t="inlineStr">
        <is>
          <t>לוי דור</t>
        </is>
      </c>
      <c r="B40" s="11" t="inlineStr">
        <is>
          <t>רפאל</t>
        </is>
      </c>
      <c r="C40" s="11" t="inlineStr">
        <is>
          <t>04/2025</t>
        </is>
      </c>
      <c r="D40" s="12">
        <f>COUNTIFS('2️⃣ תקופות מילואים'!$B:$B,A40,'2️⃣ תקופות מילואים'!$F:$F,C40)</f>
        <v/>
      </c>
      <c r="E40" s="12">
        <f>SUMIFS('2️⃣ תקופות מילואים'!$G:$G,'2️⃣ תקופות מילואים'!$B:$B,A40,'2️⃣ תקופות מילואים'!$F:$F,C40)</f>
        <v/>
      </c>
      <c r="F40" s="12">
        <f>SUMIFS('2️⃣ תקופות מילואים'!$H:$H,'2️⃣ תקופות מילואים'!$B:$B,A40,'2️⃣ תקופות מילואים'!$F:$F,C40)</f>
        <v/>
      </c>
      <c r="G40" s="11">
        <f>SUMIFS('2️⃣ תקופות מילואים'!$I:$I,'2️⃣ תקופות מילואים'!$B:$B,A40,'2️⃣ תקופות מילואים'!$F:$F,C40)+SUMIFS('2️⃣ תקופות מילואים'!$J:$J,'2️⃣ תקופות מילואים'!$B:$B,A40,'2️⃣ תקופות מילואים'!$F:$F,C40)+SUMIFS('2️⃣ תקופות מילואים'!$K:$K,'2️⃣ תקופות מילואים'!$B:$B,A40,'2️⃣ תקופות מילואים'!$F:$F,C40)</f>
        <v/>
      </c>
      <c r="H40" s="11">
        <f>SUMIFS('2️⃣ תקופות מילואים'!$P:$P,'2️⃣ תקופות מילואים'!$B:$B,A40,'2️⃣ תקופות מילואים'!$F:$F,C40)</f>
        <v/>
      </c>
      <c r="I40" s="11">
        <f>SUMIFS('3️⃣ תשלומי ב"ל'!$I:$I,'3️⃣ תשלומי ב"ל'!$B:$B,A40)</f>
        <v/>
      </c>
      <c r="J40" s="11" t="inlineStr"/>
      <c r="K40" s="13" t="inlineStr">
        <is>
          <t>ממתין לתקבול</t>
        </is>
      </c>
      <c r="L40" s="11" t="inlineStr">
        <is>
          <t>P0056</t>
        </is>
      </c>
    </row>
    <row r="41">
      <c r="A41" s="11" t="inlineStr">
        <is>
          <t>לוי דור</t>
        </is>
      </c>
      <c r="B41" s="11" t="inlineStr">
        <is>
          <t>רפאל</t>
        </is>
      </c>
      <c r="C41" s="11" t="inlineStr">
        <is>
          <t>05/2025</t>
        </is>
      </c>
      <c r="D41" s="12">
        <f>COUNTIFS('2️⃣ תקופות מילואים'!$B:$B,A41,'2️⃣ תקופות מילואים'!$F:$F,C41)</f>
        <v/>
      </c>
      <c r="E41" s="12">
        <f>SUMIFS('2️⃣ תקופות מילואים'!$G:$G,'2️⃣ תקופות מילואים'!$B:$B,A41,'2️⃣ תקופות מילואים'!$F:$F,C41)</f>
        <v/>
      </c>
      <c r="F41" s="12">
        <f>SUMIFS('2️⃣ תקופות מילואים'!$H:$H,'2️⃣ תקופות מילואים'!$B:$B,A41,'2️⃣ תקופות מילואים'!$F:$F,C41)</f>
        <v/>
      </c>
      <c r="G41" s="11">
        <f>SUMIFS('2️⃣ תקופות מילואים'!$I:$I,'2️⃣ תקופות מילואים'!$B:$B,A41,'2️⃣ תקופות מילואים'!$F:$F,C41)+SUMIFS('2️⃣ תקופות מילואים'!$J:$J,'2️⃣ תקופות מילואים'!$B:$B,A41,'2️⃣ תקופות מילואים'!$F:$F,C41)+SUMIFS('2️⃣ תקופות מילואים'!$K:$K,'2️⃣ תקופות מילואים'!$B:$B,A41,'2️⃣ תקופות מילואים'!$F:$F,C41)</f>
        <v/>
      </c>
      <c r="H41" s="11">
        <f>SUMIFS('2️⃣ תקופות מילואים'!$P:$P,'2️⃣ תקופות מילואים'!$B:$B,A41,'2️⃣ תקופות מילואים'!$F:$F,C41)</f>
        <v/>
      </c>
      <c r="I41" s="11">
        <f>SUMIFS('3️⃣ תשלומי ב"ל'!$I:$I,'3️⃣ תשלומי ב"ל'!$B:$B,A41)</f>
        <v/>
      </c>
      <c r="J41" s="11" t="inlineStr"/>
      <c r="K41" s="13" t="inlineStr">
        <is>
          <t>ממתין לתקבול</t>
        </is>
      </c>
      <c r="L41" s="11" t="inlineStr">
        <is>
          <t>P0057, P0058</t>
        </is>
      </c>
    </row>
    <row r="42">
      <c r="A42" s="11" t="inlineStr">
        <is>
          <t>לוי דור</t>
        </is>
      </c>
      <c r="B42" s="11" t="inlineStr">
        <is>
          <t>רפאל</t>
        </is>
      </c>
      <c r="C42" s="11" t="inlineStr">
        <is>
          <t>06/2025</t>
        </is>
      </c>
      <c r="D42" s="12">
        <f>COUNTIFS('2️⃣ תקופות מילואים'!$B:$B,A42,'2️⃣ תקופות מילואים'!$F:$F,C42)</f>
        <v/>
      </c>
      <c r="E42" s="12">
        <f>SUMIFS('2️⃣ תקופות מילואים'!$G:$G,'2️⃣ תקופות מילואים'!$B:$B,A42,'2️⃣ תקופות מילואים'!$F:$F,C42)</f>
        <v/>
      </c>
      <c r="F42" s="12">
        <f>SUMIFS('2️⃣ תקופות מילואים'!$H:$H,'2️⃣ תקופות מילואים'!$B:$B,A42,'2️⃣ תקופות מילואים'!$F:$F,C42)</f>
        <v/>
      </c>
      <c r="G42" s="11">
        <f>SUMIFS('2️⃣ תקופות מילואים'!$I:$I,'2️⃣ תקופות מילואים'!$B:$B,A42,'2️⃣ תקופות מילואים'!$F:$F,C42)+SUMIFS('2️⃣ תקופות מילואים'!$J:$J,'2️⃣ תקופות מילואים'!$B:$B,A42,'2️⃣ תקופות מילואים'!$F:$F,C42)+SUMIFS('2️⃣ תקופות מילואים'!$K:$K,'2️⃣ תקופות מילואים'!$B:$B,A42,'2️⃣ תקופות מילואים'!$F:$F,C42)</f>
        <v/>
      </c>
      <c r="H42" s="11">
        <f>SUMIFS('2️⃣ תקופות מילואים'!$P:$P,'2️⃣ תקופות מילואים'!$B:$B,A42,'2️⃣ תקופות מילואים'!$F:$F,C42)</f>
        <v/>
      </c>
      <c r="I42" s="11">
        <f>SUMIFS('3️⃣ תשלומי ב"ל'!$I:$I,'3️⃣ תשלומי ב"ל'!$B:$B,A42)</f>
        <v/>
      </c>
      <c r="J42" s="11" t="inlineStr"/>
      <c r="K42" s="13" t="inlineStr">
        <is>
          <t>ממתין לתקבול</t>
        </is>
      </c>
      <c r="L42" s="11" t="inlineStr">
        <is>
          <t>P0059</t>
        </is>
      </c>
    </row>
    <row r="43">
      <c r="A43" s="11" t="inlineStr">
        <is>
          <t>לוי דור</t>
        </is>
      </c>
      <c r="B43" s="11" t="inlineStr">
        <is>
          <t>רפאל</t>
        </is>
      </c>
      <c r="C43" s="11" t="inlineStr">
        <is>
          <t>07/2025</t>
        </is>
      </c>
      <c r="D43" s="12">
        <f>COUNTIFS('2️⃣ תקופות מילואים'!$B:$B,A43,'2️⃣ תקופות מילואים'!$F:$F,C43)</f>
        <v/>
      </c>
      <c r="E43" s="12">
        <f>SUMIFS('2️⃣ תקופות מילואים'!$G:$G,'2️⃣ תקופות מילואים'!$B:$B,A43,'2️⃣ תקופות מילואים'!$F:$F,C43)</f>
        <v/>
      </c>
      <c r="F43" s="12">
        <f>SUMIFS('2️⃣ תקופות מילואים'!$H:$H,'2️⃣ תקופות מילואים'!$B:$B,A43,'2️⃣ תקופות מילואים'!$F:$F,C43)</f>
        <v/>
      </c>
      <c r="G43" s="11">
        <f>SUMIFS('2️⃣ תקופות מילואים'!$I:$I,'2️⃣ תקופות מילואים'!$B:$B,A43,'2️⃣ תקופות מילואים'!$F:$F,C43)+SUMIFS('2️⃣ תקופות מילואים'!$J:$J,'2️⃣ תקופות מילואים'!$B:$B,A43,'2️⃣ תקופות מילואים'!$F:$F,C43)+SUMIFS('2️⃣ תקופות מילואים'!$K:$K,'2️⃣ תקופות מילואים'!$B:$B,A43,'2️⃣ תקופות מילואים'!$F:$F,C43)</f>
        <v/>
      </c>
      <c r="H43" s="11">
        <f>SUMIFS('2️⃣ תקופות מילואים'!$P:$P,'2️⃣ תקופות מילואים'!$B:$B,A43,'2️⃣ תקופות מילואים'!$F:$F,C43)</f>
        <v/>
      </c>
      <c r="I43" s="11">
        <f>SUMIFS('3️⃣ תשלומי ב"ל'!$I:$I,'3️⃣ תשלומי ב"ל'!$B:$B,A43)</f>
        <v/>
      </c>
      <c r="J43" s="11" t="inlineStr"/>
      <c r="K43" s="13" t="inlineStr">
        <is>
          <t>ממתין לתקבול</t>
        </is>
      </c>
      <c r="L43" s="11" t="inlineStr">
        <is>
          <t>P0060</t>
        </is>
      </c>
    </row>
    <row r="44">
      <c r="A44" s="11" t="inlineStr">
        <is>
          <t>לוי דור</t>
        </is>
      </c>
      <c r="B44" s="11" t="inlineStr">
        <is>
          <t>רפאל</t>
        </is>
      </c>
      <c r="C44" s="11" t="inlineStr">
        <is>
          <t>08/2025</t>
        </is>
      </c>
      <c r="D44" s="12">
        <f>COUNTIFS('2️⃣ תקופות מילואים'!$B:$B,A44,'2️⃣ תקופות מילואים'!$F:$F,C44)</f>
        <v/>
      </c>
      <c r="E44" s="12">
        <f>SUMIFS('2️⃣ תקופות מילואים'!$G:$G,'2️⃣ תקופות מילואים'!$B:$B,A44,'2️⃣ תקופות מילואים'!$F:$F,C44)</f>
        <v/>
      </c>
      <c r="F44" s="12">
        <f>SUMIFS('2️⃣ תקופות מילואים'!$H:$H,'2️⃣ תקופות מילואים'!$B:$B,A44,'2️⃣ תקופות מילואים'!$F:$F,C44)</f>
        <v/>
      </c>
      <c r="G44" s="11">
        <f>SUMIFS('2️⃣ תקופות מילואים'!$I:$I,'2️⃣ תקופות מילואים'!$B:$B,A44,'2️⃣ תקופות מילואים'!$F:$F,C44)+SUMIFS('2️⃣ תקופות מילואים'!$J:$J,'2️⃣ תקופות מילואים'!$B:$B,A44,'2️⃣ תקופות מילואים'!$F:$F,C44)+SUMIFS('2️⃣ תקופות מילואים'!$K:$K,'2️⃣ תקופות מילואים'!$B:$B,A44,'2️⃣ תקופות מילואים'!$F:$F,C44)</f>
        <v/>
      </c>
      <c r="H44" s="11">
        <f>SUMIFS('2️⃣ תקופות מילואים'!$P:$P,'2️⃣ תקופות מילואים'!$B:$B,A44,'2️⃣ תקופות מילואים'!$F:$F,C44)</f>
        <v/>
      </c>
      <c r="I44" s="11">
        <f>SUMIFS('3️⃣ תשלומי ב"ל'!$I:$I,'3️⃣ תשלומי ב"ל'!$B:$B,A44)</f>
        <v/>
      </c>
      <c r="J44" s="11" t="inlineStr"/>
      <c r="K44" s="13" t="inlineStr">
        <is>
          <t>ממתין לתקבול</t>
        </is>
      </c>
      <c r="L44" s="11" t="inlineStr">
        <is>
          <t>P0061, P0062</t>
        </is>
      </c>
    </row>
    <row r="45">
      <c r="A45" s="11" t="inlineStr">
        <is>
          <t>מנפרד מרקוביץ'</t>
        </is>
      </c>
      <c r="B45" s="11" t="inlineStr">
        <is>
          <t>רפאל</t>
        </is>
      </c>
      <c r="C45" s="11" t="inlineStr">
        <is>
          <t>01/2025</t>
        </is>
      </c>
      <c r="D45" s="12">
        <f>COUNTIFS('2️⃣ תקופות מילואים'!$B:$B,A45,'2️⃣ תקופות מילואים'!$F:$F,C45)</f>
        <v/>
      </c>
      <c r="E45" s="12">
        <f>SUMIFS('2️⃣ תקופות מילואים'!$G:$G,'2️⃣ תקופות מילואים'!$B:$B,A45,'2️⃣ תקופות מילואים'!$F:$F,C45)</f>
        <v/>
      </c>
      <c r="F45" s="12">
        <f>SUMIFS('2️⃣ תקופות מילואים'!$H:$H,'2️⃣ תקופות מילואים'!$B:$B,A45,'2️⃣ תקופות מילואים'!$F:$F,C45)</f>
        <v/>
      </c>
      <c r="G45" s="11">
        <f>SUMIFS('2️⃣ תקופות מילואים'!$I:$I,'2️⃣ תקופות מילואים'!$B:$B,A45,'2️⃣ תקופות מילואים'!$F:$F,C45)+SUMIFS('2️⃣ תקופות מילואים'!$J:$J,'2️⃣ תקופות מילואים'!$B:$B,A45,'2️⃣ תקופות מילואים'!$F:$F,C45)+SUMIFS('2️⃣ תקופות מילואים'!$K:$K,'2️⃣ תקופות מילואים'!$B:$B,A45,'2️⃣ תקופות מילואים'!$F:$F,C45)</f>
        <v/>
      </c>
      <c r="H45" s="11">
        <f>SUMIFS('2️⃣ תקופות מילואים'!$P:$P,'2️⃣ תקופות מילואים'!$B:$B,A45,'2️⃣ תקופות מילואים'!$F:$F,C45)</f>
        <v/>
      </c>
      <c r="I45" s="11">
        <f>SUMIFS('3️⃣ תשלומי ב"ל'!$I:$I,'3️⃣ תשלומי ב"ל'!$B:$B,A45)</f>
        <v/>
      </c>
      <c r="J45" s="11" t="inlineStr"/>
      <c r="K45" s="13" t="inlineStr">
        <is>
          <t>ממתין לתקבול</t>
        </is>
      </c>
      <c r="L45" s="11" t="inlineStr">
        <is>
          <t>P0063, P0064</t>
        </is>
      </c>
    </row>
    <row r="46">
      <c r="A46" s="11" t="inlineStr">
        <is>
          <t>מנפרד מרקוביץ'</t>
        </is>
      </c>
      <c r="B46" s="11" t="inlineStr">
        <is>
          <t>רפאל</t>
        </is>
      </c>
      <c r="C46" s="11" t="inlineStr">
        <is>
          <t>02/2025</t>
        </is>
      </c>
      <c r="D46" s="12">
        <f>COUNTIFS('2️⃣ תקופות מילואים'!$B:$B,A46,'2️⃣ תקופות מילואים'!$F:$F,C46)</f>
        <v/>
      </c>
      <c r="E46" s="12">
        <f>SUMIFS('2️⃣ תקופות מילואים'!$G:$G,'2️⃣ תקופות מילואים'!$B:$B,A46,'2️⃣ תקופות מילואים'!$F:$F,C46)</f>
        <v/>
      </c>
      <c r="F46" s="12">
        <f>SUMIFS('2️⃣ תקופות מילואים'!$H:$H,'2️⃣ תקופות מילואים'!$B:$B,A46,'2️⃣ תקופות מילואים'!$F:$F,C46)</f>
        <v/>
      </c>
      <c r="G46" s="11">
        <f>SUMIFS('2️⃣ תקופות מילואים'!$I:$I,'2️⃣ תקופות מילואים'!$B:$B,A46,'2️⃣ תקופות מילואים'!$F:$F,C46)+SUMIFS('2️⃣ תקופות מילואים'!$J:$J,'2️⃣ תקופות מילואים'!$B:$B,A46,'2️⃣ תקופות מילואים'!$F:$F,C46)+SUMIFS('2️⃣ תקופות מילואים'!$K:$K,'2️⃣ תקופות מילואים'!$B:$B,A46,'2️⃣ תקופות מילואים'!$F:$F,C46)</f>
        <v/>
      </c>
      <c r="H46" s="11">
        <f>SUMIFS('2️⃣ תקופות מילואים'!$P:$P,'2️⃣ תקופות מילואים'!$B:$B,A46,'2️⃣ תקופות מילואים'!$F:$F,C46)</f>
        <v/>
      </c>
      <c r="I46" s="11">
        <f>SUMIFS('3️⃣ תשלומי ב"ל'!$I:$I,'3️⃣ תשלומי ב"ל'!$B:$B,A46)</f>
        <v/>
      </c>
      <c r="J46" s="11" t="inlineStr"/>
      <c r="K46" s="13" t="inlineStr">
        <is>
          <t>ממתין לתקבול</t>
        </is>
      </c>
      <c r="L46" s="11" t="inlineStr">
        <is>
          <t>P0065</t>
        </is>
      </c>
    </row>
    <row r="47">
      <c r="A47" s="11" t="inlineStr">
        <is>
          <t>מנפרד מרקוביץ'</t>
        </is>
      </c>
      <c r="B47" s="11" t="inlineStr">
        <is>
          <t>רפאל</t>
        </is>
      </c>
      <c r="C47" s="11" t="inlineStr">
        <is>
          <t>03/2025</t>
        </is>
      </c>
      <c r="D47" s="12">
        <f>COUNTIFS('2️⃣ תקופות מילואים'!$B:$B,A47,'2️⃣ תקופות מילואים'!$F:$F,C47)</f>
        <v/>
      </c>
      <c r="E47" s="12">
        <f>SUMIFS('2️⃣ תקופות מילואים'!$G:$G,'2️⃣ תקופות מילואים'!$B:$B,A47,'2️⃣ תקופות מילואים'!$F:$F,C47)</f>
        <v/>
      </c>
      <c r="F47" s="12">
        <f>SUMIFS('2️⃣ תקופות מילואים'!$H:$H,'2️⃣ תקופות מילואים'!$B:$B,A47,'2️⃣ תקופות מילואים'!$F:$F,C47)</f>
        <v/>
      </c>
      <c r="G47" s="11">
        <f>SUMIFS('2️⃣ תקופות מילואים'!$I:$I,'2️⃣ תקופות מילואים'!$B:$B,A47,'2️⃣ תקופות מילואים'!$F:$F,C47)+SUMIFS('2️⃣ תקופות מילואים'!$J:$J,'2️⃣ תקופות מילואים'!$B:$B,A47,'2️⃣ תקופות מילואים'!$F:$F,C47)+SUMIFS('2️⃣ תקופות מילואים'!$K:$K,'2️⃣ תקופות מילואים'!$B:$B,A47,'2️⃣ תקופות מילואים'!$F:$F,C47)</f>
        <v/>
      </c>
      <c r="H47" s="11">
        <f>SUMIFS('2️⃣ תקופות מילואים'!$P:$P,'2️⃣ תקופות מילואים'!$B:$B,A47,'2️⃣ תקופות מילואים'!$F:$F,C47)</f>
        <v/>
      </c>
      <c r="I47" s="11">
        <f>SUMIFS('3️⃣ תשלומי ב"ל'!$I:$I,'3️⃣ תשלומי ב"ל'!$B:$B,A47)</f>
        <v/>
      </c>
      <c r="J47" s="11" t="inlineStr"/>
      <c r="K47" s="13" t="inlineStr">
        <is>
          <t>ממתין לתקבול</t>
        </is>
      </c>
      <c r="L47" s="11" t="inlineStr">
        <is>
          <t>P0066, P0067</t>
        </is>
      </c>
    </row>
    <row r="48">
      <c r="A48" s="11" t="inlineStr">
        <is>
          <t>מנפרד מרקוביץ'</t>
        </is>
      </c>
      <c r="B48" s="11" t="inlineStr">
        <is>
          <t>רפאל</t>
        </is>
      </c>
      <c r="C48" s="11" t="inlineStr">
        <is>
          <t>04/2025</t>
        </is>
      </c>
      <c r="D48" s="12">
        <f>COUNTIFS('2️⃣ תקופות מילואים'!$B:$B,A48,'2️⃣ תקופות מילואים'!$F:$F,C48)</f>
        <v/>
      </c>
      <c r="E48" s="12">
        <f>SUMIFS('2️⃣ תקופות מילואים'!$G:$G,'2️⃣ תקופות מילואים'!$B:$B,A48,'2️⃣ תקופות מילואים'!$F:$F,C48)</f>
        <v/>
      </c>
      <c r="F48" s="12">
        <f>SUMIFS('2️⃣ תקופות מילואים'!$H:$H,'2️⃣ תקופות מילואים'!$B:$B,A48,'2️⃣ תקופות מילואים'!$F:$F,C48)</f>
        <v/>
      </c>
      <c r="G48" s="11">
        <f>SUMIFS('2️⃣ תקופות מילואים'!$I:$I,'2️⃣ תקופות מילואים'!$B:$B,A48,'2️⃣ תקופות מילואים'!$F:$F,C48)+SUMIFS('2️⃣ תקופות מילואים'!$J:$J,'2️⃣ תקופות מילואים'!$B:$B,A48,'2️⃣ תקופות מילואים'!$F:$F,C48)+SUMIFS('2️⃣ תקופות מילואים'!$K:$K,'2️⃣ תקופות מילואים'!$B:$B,A48,'2️⃣ תקופות מילואים'!$F:$F,C48)</f>
        <v/>
      </c>
      <c r="H48" s="11">
        <f>SUMIFS('2️⃣ תקופות מילואים'!$P:$P,'2️⃣ תקופות מילואים'!$B:$B,A48,'2️⃣ תקופות מילואים'!$F:$F,C48)</f>
        <v/>
      </c>
      <c r="I48" s="11">
        <f>SUMIFS('3️⃣ תשלומי ב"ל'!$I:$I,'3️⃣ תשלומי ב"ל'!$B:$B,A48)</f>
        <v/>
      </c>
      <c r="J48" s="11" t="inlineStr"/>
      <c r="K48" s="13" t="inlineStr">
        <is>
          <t>ממתין לתקבול</t>
        </is>
      </c>
      <c r="L48" s="11" t="inlineStr">
        <is>
          <t>P0068, P0069</t>
        </is>
      </c>
    </row>
    <row r="49">
      <c r="A49" s="11" t="inlineStr">
        <is>
          <t>מנפרד מרקוביץ'</t>
        </is>
      </c>
      <c r="B49" s="11" t="inlineStr">
        <is>
          <t>רפאל</t>
        </is>
      </c>
      <c r="C49" s="11" t="inlineStr">
        <is>
          <t>05/2025</t>
        </is>
      </c>
      <c r="D49" s="12">
        <f>COUNTIFS('2️⃣ תקופות מילואים'!$B:$B,A49,'2️⃣ תקופות מילואים'!$F:$F,C49)</f>
        <v/>
      </c>
      <c r="E49" s="12">
        <f>SUMIFS('2️⃣ תקופות מילואים'!$G:$G,'2️⃣ תקופות מילואים'!$B:$B,A49,'2️⃣ תקופות מילואים'!$F:$F,C49)</f>
        <v/>
      </c>
      <c r="F49" s="12">
        <f>SUMIFS('2️⃣ תקופות מילואים'!$H:$H,'2️⃣ תקופות מילואים'!$B:$B,A49,'2️⃣ תקופות מילואים'!$F:$F,C49)</f>
        <v/>
      </c>
      <c r="G49" s="11">
        <f>SUMIFS('2️⃣ תקופות מילואים'!$I:$I,'2️⃣ תקופות מילואים'!$B:$B,A49,'2️⃣ תקופות מילואים'!$F:$F,C49)+SUMIFS('2️⃣ תקופות מילואים'!$J:$J,'2️⃣ תקופות מילואים'!$B:$B,A49,'2️⃣ תקופות מילואים'!$F:$F,C49)+SUMIFS('2️⃣ תקופות מילואים'!$K:$K,'2️⃣ תקופות מילואים'!$B:$B,A49,'2️⃣ תקופות מילואים'!$F:$F,C49)</f>
        <v/>
      </c>
      <c r="H49" s="11">
        <f>SUMIFS('2️⃣ תקופות מילואים'!$P:$P,'2️⃣ תקופות מילואים'!$B:$B,A49,'2️⃣ תקופות מילואים'!$F:$F,C49)</f>
        <v/>
      </c>
      <c r="I49" s="11">
        <f>SUMIFS('3️⃣ תשלומי ב"ל'!$I:$I,'3️⃣ תשלומי ב"ל'!$B:$B,A49)</f>
        <v/>
      </c>
      <c r="J49" s="11" t="inlineStr"/>
      <c r="K49" s="13" t="inlineStr">
        <is>
          <t>ממתין לתקבול</t>
        </is>
      </c>
      <c r="L49" s="11" t="inlineStr">
        <is>
          <t>P0070, P0071, P0072, P0073</t>
        </is>
      </c>
    </row>
    <row r="50">
      <c r="A50" s="11" t="inlineStr">
        <is>
          <t>משה בורך</t>
        </is>
      </c>
      <c r="B50" s="11" t="inlineStr">
        <is>
          <t>רפאל</t>
        </is>
      </c>
      <c r="C50" s="11" t="inlineStr">
        <is>
          <t>01/2025</t>
        </is>
      </c>
      <c r="D50" s="12">
        <f>COUNTIFS('2️⃣ תקופות מילואים'!$B:$B,A50,'2️⃣ תקופות מילואים'!$F:$F,C50)</f>
        <v/>
      </c>
      <c r="E50" s="12">
        <f>SUMIFS('2️⃣ תקופות מילואים'!$G:$G,'2️⃣ תקופות מילואים'!$B:$B,A50,'2️⃣ תקופות מילואים'!$F:$F,C50)</f>
        <v/>
      </c>
      <c r="F50" s="12">
        <f>SUMIFS('2️⃣ תקופות מילואים'!$H:$H,'2️⃣ תקופות מילואים'!$B:$B,A50,'2️⃣ תקופות מילואים'!$F:$F,C50)</f>
        <v/>
      </c>
      <c r="G50" s="11">
        <f>SUMIFS('2️⃣ תקופות מילואים'!$I:$I,'2️⃣ תקופות מילואים'!$B:$B,A50,'2️⃣ תקופות מילואים'!$F:$F,C50)+SUMIFS('2️⃣ תקופות מילואים'!$J:$J,'2️⃣ תקופות מילואים'!$B:$B,A50,'2️⃣ תקופות מילואים'!$F:$F,C50)+SUMIFS('2️⃣ תקופות מילואים'!$K:$K,'2️⃣ תקופות מילואים'!$B:$B,A50,'2️⃣ תקופות מילואים'!$F:$F,C50)</f>
        <v/>
      </c>
      <c r="H50" s="11">
        <f>SUMIFS('2️⃣ תקופות מילואים'!$P:$P,'2️⃣ תקופות מילואים'!$B:$B,A50,'2️⃣ תקופות מילואים'!$F:$F,C50)</f>
        <v/>
      </c>
      <c r="I50" s="11">
        <f>SUMIFS('3️⃣ תשלומי ב"ל'!$I:$I,'3️⃣ תשלומי ב"ל'!$B:$B,A50)</f>
        <v/>
      </c>
      <c r="J50" s="11" t="inlineStr"/>
      <c r="K50" s="14" t="inlineStr">
        <is>
          <t>התקבל מלא</t>
        </is>
      </c>
      <c r="L50" s="11" t="inlineStr">
        <is>
          <t>P0074, P0075</t>
        </is>
      </c>
    </row>
    <row r="51">
      <c r="A51" s="11" t="inlineStr">
        <is>
          <t>משה בורך</t>
        </is>
      </c>
      <c r="B51" s="11" t="inlineStr">
        <is>
          <t>רפאל</t>
        </is>
      </c>
      <c r="C51" s="11" t="inlineStr">
        <is>
          <t>02/2025</t>
        </is>
      </c>
      <c r="D51" s="12">
        <f>COUNTIFS('2️⃣ תקופות מילואים'!$B:$B,A51,'2️⃣ תקופות מילואים'!$F:$F,C51)</f>
        <v/>
      </c>
      <c r="E51" s="12">
        <f>SUMIFS('2️⃣ תקופות מילואים'!$G:$G,'2️⃣ תקופות מילואים'!$B:$B,A51,'2️⃣ תקופות מילואים'!$F:$F,C51)</f>
        <v/>
      </c>
      <c r="F51" s="12">
        <f>SUMIFS('2️⃣ תקופות מילואים'!$H:$H,'2️⃣ תקופות מילואים'!$B:$B,A51,'2️⃣ תקופות מילואים'!$F:$F,C51)</f>
        <v/>
      </c>
      <c r="G51" s="11">
        <f>SUMIFS('2️⃣ תקופות מילואים'!$I:$I,'2️⃣ תקופות מילואים'!$B:$B,A51,'2️⃣ תקופות מילואים'!$F:$F,C51)+SUMIFS('2️⃣ תקופות מילואים'!$J:$J,'2️⃣ תקופות מילואים'!$B:$B,A51,'2️⃣ תקופות מילואים'!$F:$F,C51)+SUMIFS('2️⃣ תקופות מילואים'!$K:$K,'2️⃣ תקופות מילואים'!$B:$B,A51,'2️⃣ תקופות מילואים'!$F:$F,C51)</f>
        <v/>
      </c>
      <c r="H51" s="11">
        <f>SUMIFS('2️⃣ תקופות מילואים'!$P:$P,'2️⃣ תקופות מילואים'!$B:$B,A51,'2️⃣ תקופות מילואים'!$F:$F,C51)</f>
        <v/>
      </c>
      <c r="I51" s="11">
        <f>SUMIFS('3️⃣ תשלומי ב"ל'!$I:$I,'3️⃣ תשלומי ב"ל'!$B:$B,A51)</f>
        <v/>
      </c>
      <c r="J51" s="11" t="inlineStr"/>
      <c r="K51" s="13" t="inlineStr">
        <is>
          <t>ממתין לתקבול</t>
        </is>
      </c>
      <c r="L51" s="11" t="inlineStr">
        <is>
          <t>P0076, P0077</t>
        </is>
      </c>
    </row>
    <row r="52">
      <c r="A52" s="11" t="inlineStr">
        <is>
          <t>משה בורך</t>
        </is>
      </c>
      <c r="B52" s="11" t="inlineStr">
        <is>
          <t>רפאל</t>
        </is>
      </c>
      <c r="C52" s="11" t="inlineStr">
        <is>
          <t>03/2025</t>
        </is>
      </c>
      <c r="D52" s="12">
        <f>COUNTIFS('2️⃣ תקופות מילואים'!$B:$B,A52,'2️⃣ תקופות מילואים'!$F:$F,C52)</f>
        <v/>
      </c>
      <c r="E52" s="12">
        <f>SUMIFS('2️⃣ תקופות מילואים'!$G:$G,'2️⃣ תקופות מילואים'!$B:$B,A52,'2️⃣ תקופות מילואים'!$F:$F,C52)</f>
        <v/>
      </c>
      <c r="F52" s="12">
        <f>SUMIFS('2️⃣ תקופות מילואים'!$H:$H,'2️⃣ תקופות מילואים'!$B:$B,A52,'2️⃣ תקופות מילואים'!$F:$F,C52)</f>
        <v/>
      </c>
      <c r="G52" s="11">
        <f>SUMIFS('2️⃣ תקופות מילואים'!$I:$I,'2️⃣ תקופות מילואים'!$B:$B,A52,'2️⃣ תקופות מילואים'!$F:$F,C52)+SUMIFS('2️⃣ תקופות מילואים'!$J:$J,'2️⃣ תקופות מילואים'!$B:$B,A52,'2️⃣ תקופות מילואים'!$F:$F,C52)+SUMIFS('2️⃣ תקופות מילואים'!$K:$K,'2️⃣ תקופות מילואים'!$B:$B,A52,'2️⃣ תקופות מילואים'!$F:$F,C52)</f>
        <v/>
      </c>
      <c r="H52" s="11">
        <f>SUMIFS('2️⃣ תקופות מילואים'!$P:$P,'2️⃣ תקופות מילואים'!$B:$B,A52,'2️⃣ תקופות מילואים'!$F:$F,C52)</f>
        <v/>
      </c>
      <c r="I52" s="11">
        <f>SUMIFS('3️⃣ תשלומי ב"ל'!$I:$I,'3️⃣ תשלומי ב"ל'!$B:$B,A52)</f>
        <v/>
      </c>
      <c r="J52" s="11" t="inlineStr"/>
      <c r="K52" s="13" t="inlineStr">
        <is>
          <t>ממתין לתקבול</t>
        </is>
      </c>
      <c r="L52" s="11" t="inlineStr">
        <is>
          <t>P0078, P0079, P0080</t>
        </is>
      </c>
    </row>
    <row r="53">
      <c r="A53" s="11" t="inlineStr">
        <is>
          <t>משה בורך</t>
        </is>
      </c>
      <c r="B53" s="11" t="inlineStr">
        <is>
          <t>רפאל</t>
        </is>
      </c>
      <c r="C53" s="11" t="inlineStr">
        <is>
          <t>04/2025</t>
        </is>
      </c>
      <c r="D53" s="12">
        <f>COUNTIFS('2️⃣ תקופות מילואים'!$B:$B,A53,'2️⃣ תקופות מילואים'!$F:$F,C53)</f>
        <v/>
      </c>
      <c r="E53" s="12">
        <f>SUMIFS('2️⃣ תקופות מילואים'!$G:$G,'2️⃣ תקופות מילואים'!$B:$B,A53,'2️⃣ תקופות מילואים'!$F:$F,C53)</f>
        <v/>
      </c>
      <c r="F53" s="12">
        <f>SUMIFS('2️⃣ תקופות מילואים'!$H:$H,'2️⃣ תקופות מילואים'!$B:$B,A53,'2️⃣ תקופות מילואים'!$F:$F,C53)</f>
        <v/>
      </c>
      <c r="G53" s="11">
        <f>SUMIFS('2️⃣ תקופות מילואים'!$I:$I,'2️⃣ תקופות מילואים'!$B:$B,A53,'2️⃣ תקופות מילואים'!$F:$F,C53)+SUMIFS('2️⃣ תקופות מילואים'!$J:$J,'2️⃣ תקופות מילואים'!$B:$B,A53,'2️⃣ תקופות מילואים'!$F:$F,C53)+SUMIFS('2️⃣ תקופות מילואים'!$K:$K,'2️⃣ תקופות מילואים'!$B:$B,A53,'2️⃣ תקופות מילואים'!$F:$F,C53)</f>
        <v/>
      </c>
      <c r="H53" s="11">
        <f>SUMIFS('2️⃣ תקופות מילואים'!$P:$P,'2️⃣ תקופות מילואים'!$B:$B,A53,'2️⃣ תקופות מילואים'!$F:$F,C53)</f>
        <v/>
      </c>
      <c r="I53" s="11">
        <f>SUMIFS('3️⃣ תשלומי ב"ל'!$I:$I,'3️⃣ תשלומי ב"ל'!$B:$B,A53)</f>
        <v/>
      </c>
      <c r="J53" s="11" t="inlineStr"/>
      <c r="K53" s="13" t="inlineStr">
        <is>
          <t>ממתין לתקבול</t>
        </is>
      </c>
      <c r="L53" s="11" t="inlineStr">
        <is>
          <t>P0081, P0082</t>
        </is>
      </c>
    </row>
    <row r="54">
      <c r="A54" s="11" t="inlineStr">
        <is>
          <t>משה בורך</t>
        </is>
      </c>
      <c r="B54" s="11" t="inlineStr">
        <is>
          <t>רפאל</t>
        </is>
      </c>
      <c r="C54" s="11" t="inlineStr">
        <is>
          <t>05/2025</t>
        </is>
      </c>
      <c r="D54" s="12">
        <f>COUNTIFS('2️⃣ תקופות מילואים'!$B:$B,A54,'2️⃣ תקופות מילואים'!$F:$F,C54)</f>
        <v/>
      </c>
      <c r="E54" s="12">
        <f>SUMIFS('2️⃣ תקופות מילואים'!$G:$G,'2️⃣ תקופות מילואים'!$B:$B,A54,'2️⃣ תקופות מילואים'!$F:$F,C54)</f>
        <v/>
      </c>
      <c r="F54" s="12">
        <f>SUMIFS('2️⃣ תקופות מילואים'!$H:$H,'2️⃣ תקופות מילואים'!$B:$B,A54,'2️⃣ תקופות מילואים'!$F:$F,C54)</f>
        <v/>
      </c>
      <c r="G54" s="11">
        <f>SUMIFS('2️⃣ תקופות מילואים'!$I:$I,'2️⃣ תקופות מילואים'!$B:$B,A54,'2️⃣ תקופות מילואים'!$F:$F,C54)+SUMIFS('2️⃣ תקופות מילואים'!$J:$J,'2️⃣ תקופות מילואים'!$B:$B,A54,'2️⃣ תקופות מילואים'!$F:$F,C54)+SUMIFS('2️⃣ תקופות מילואים'!$K:$K,'2️⃣ תקופות מילואים'!$B:$B,A54,'2️⃣ תקופות מילואים'!$F:$F,C54)</f>
        <v/>
      </c>
      <c r="H54" s="11">
        <f>SUMIFS('2️⃣ תקופות מילואים'!$P:$P,'2️⃣ תקופות מילואים'!$B:$B,A54,'2️⃣ תקופות מילואים'!$F:$F,C54)</f>
        <v/>
      </c>
      <c r="I54" s="11">
        <f>SUMIFS('3️⃣ תשלומי ב"ל'!$I:$I,'3️⃣ תשלומי ב"ל'!$B:$B,A54)</f>
        <v/>
      </c>
      <c r="J54" s="11" t="inlineStr"/>
      <c r="K54" s="13" t="inlineStr">
        <is>
          <t>ממתין לתקבול</t>
        </is>
      </c>
      <c r="L54" s="11" t="inlineStr">
        <is>
          <t>P0083, P0084, P0085, P0086</t>
        </is>
      </c>
    </row>
    <row r="55">
      <c r="A55" s="11" t="inlineStr">
        <is>
          <t>משה בורך</t>
        </is>
      </c>
      <c r="B55" s="11" t="inlineStr">
        <is>
          <t>רפאל</t>
        </is>
      </c>
      <c r="C55" s="11" t="inlineStr">
        <is>
          <t>07/2025</t>
        </is>
      </c>
      <c r="D55" s="12">
        <f>COUNTIFS('2️⃣ תקופות מילואים'!$B:$B,A55,'2️⃣ תקופות מילואים'!$F:$F,C55)</f>
        <v/>
      </c>
      <c r="E55" s="12">
        <f>SUMIFS('2️⃣ תקופות מילואים'!$G:$G,'2️⃣ תקופות מילואים'!$B:$B,A55,'2️⃣ תקופות מילואים'!$F:$F,C55)</f>
        <v/>
      </c>
      <c r="F55" s="12">
        <f>SUMIFS('2️⃣ תקופות מילואים'!$H:$H,'2️⃣ תקופות מילואים'!$B:$B,A55,'2️⃣ תקופות מילואים'!$F:$F,C55)</f>
        <v/>
      </c>
      <c r="G55" s="11">
        <f>SUMIFS('2️⃣ תקופות מילואים'!$I:$I,'2️⃣ תקופות מילואים'!$B:$B,A55,'2️⃣ תקופות מילואים'!$F:$F,C55)+SUMIFS('2️⃣ תקופות מילואים'!$J:$J,'2️⃣ תקופות מילואים'!$B:$B,A55,'2️⃣ תקופות מילואים'!$F:$F,C55)+SUMIFS('2️⃣ תקופות מילואים'!$K:$K,'2️⃣ תקופות מילואים'!$B:$B,A55,'2️⃣ תקופות מילואים'!$F:$F,C55)</f>
        <v/>
      </c>
      <c r="H55" s="11">
        <f>SUMIFS('2️⃣ תקופות מילואים'!$P:$P,'2️⃣ תקופות מילואים'!$B:$B,A55,'2️⃣ תקופות מילואים'!$F:$F,C55)</f>
        <v/>
      </c>
      <c r="I55" s="11">
        <f>SUMIFS('3️⃣ תשלומי ב"ל'!$I:$I,'3️⃣ תשלומי ב"ל'!$B:$B,A55)</f>
        <v/>
      </c>
      <c r="J55" s="11" t="inlineStr"/>
      <c r="K55" s="13" t="inlineStr">
        <is>
          <t>ממתין לתקבול</t>
        </is>
      </c>
      <c r="L55" s="11" t="inlineStr">
        <is>
          <t>P0087</t>
        </is>
      </c>
    </row>
    <row r="56">
      <c r="A56" s="11" t="inlineStr">
        <is>
          <t>משה בורך</t>
        </is>
      </c>
      <c r="B56" s="11" t="inlineStr">
        <is>
          <t>רפאל</t>
        </is>
      </c>
      <c r="C56" s="11" t="inlineStr">
        <is>
          <t>08/2025</t>
        </is>
      </c>
      <c r="D56" s="12">
        <f>COUNTIFS('2️⃣ תקופות מילואים'!$B:$B,A56,'2️⃣ תקופות מילואים'!$F:$F,C56)</f>
        <v/>
      </c>
      <c r="E56" s="12">
        <f>SUMIFS('2️⃣ תקופות מילואים'!$G:$G,'2️⃣ תקופות מילואים'!$B:$B,A56,'2️⃣ תקופות מילואים'!$F:$F,C56)</f>
        <v/>
      </c>
      <c r="F56" s="12">
        <f>SUMIFS('2️⃣ תקופות מילואים'!$H:$H,'2️⃣ תקופות מילואים'!$B:$B,A56,'2️⃣ תקופות מילואים'!$F:$F,C56)</f>
        <v/>
      </c>
      <c r="G56" s="11">
        <f>SUMIFS('2️⃣ תקופות מילואים'!$I:$I,'2️⃣ תקופות מילואים'!$B:$B,A56,'2️⃣ תקופות מילואים'!$F:$F,C56)+SUMIFS('2️⃣ תקופות מילואים'!$J:$J,'2️⃣ תקופות מילואים'!$B:$B,A56,'2️⃣ תקופות מילואים'!$F:$F,C56)+SUMIFS('2️⃣ תקופות מילואים'!$K:$K,'2️⃣ תקופות מילואים'!$B:$B,A56,'2️⃣ תקופות מילואים'!$F:$F,C56)</f>
        <v/>
      </c>
      <c r="H56" s="11">
        <f>SUMIFS('2️⃣ תקופות מילואים'!$P:$P,'2️⃣ תקופות מילואים'!$B:$B,A56,'2️⃣ תקופות מילואים'!$F:$F,C56)</f>
        <v/>
      </c>
      <c r="I56" s="11">
        <f>SUMIFS('3️⃣ תשלומי ב"ל'!$I:$I,'3️⃣ תשלומי ב"ל'!$B:$B,A56)</f>
        <v/>
      </c>
      <c r="J56" s="11" t="inlineStr"/>
      <c r="K56" s="13" t="inlineStr">
        <is>
          <t>ממתין לתקבול</t>
        </is>
      </c>
      <c r="L56" s="11" t="inlineStr">
        <is>
          <t>P0088, P0089, P0090</t>
        </is>
      </c>
    </row>
    <row r="57">
      <c r="A57" s="11" t="inlineStr">
        <is>
          <t>משה בורך</t>
        </is>
      </c>
      <c r="B57" s="11" t="inlineStr">
        <is>
          <t>רפאל</t>
        </is>
      </c>
      <c r="C57" s="11" t="inlineStr">
        <is>
          <t>09/2025</t>
        </is>
      </c>
      <c r="D57" s="12">
        <f>COUNTIFS('2️⃣ תקופות מילואים'!$B:$B,A57,'2️⃣ תקופות מילואים'!$F:$F,C57)</f>
        <v/>
      </c>
      <c r="E57" s="12">
        <f>SUMIFS('2️⃣ תקופות מילואים'!$G:$G,'2️⃣ תקופות מילואים'!$B:$B,A57,'2️⃣ תקופות מילואים'!$F:$F,C57)</f>
        <v/>
      </c>
      <c r="F57" s="12">
        <f>SUMIFS('2️⃣ תקופות מילואים'!$H:$H,'2️⃣ תקופות מילואים'!$B:$B,A57,'2️⃣ תקופות מילואים'!$F:$F,C57)</f>
        <v/>
      </c>
      <c r="G57" s="11">
        <f>SUMIFS('2️⃣ תקופות מילואים'!$I:$I,'2️⃣ תקופות מילואים'!$B:$B,A57,'2️⃣ תקופות מילואים'!$F:$F,C57)+SUMIFS('2️⃣ תקופות מילואים'!$J:$J,'2️⃣ תקופות מילואים'!$B:$B,A57,'2️⃣ תקופות מילואים'!$F:$F,C57)+SUMIFS('2️⃣ תקופות מילואים'!$K:$K,'2️⃣ תקופות מילואים'!$B:$B,A57,'2️⃣ תקופות מילואים'!$F:$F,C57)</f>
        <v/>
      </c>
      <c r="H57" s="11">
        <f>SUMIFS('2️⃣ תקופות מילואים'!$P:$P,'2️⃣ תקופות מילואים'!$B:$B,A57,'2️⃣ תקופות מילואים'!$F:$F,C57)</f>
        <v/>
      </c>
      <c r="I57" s="11">
        <f>SUMIFS('3️⃣ תשלומי ב"ל'!$I:$I,'3️⃣ תשלומי ב"ל'!$B:$B,A57)</f>
        <v/>
      </c>
      <c r="J57" s="11" t="inlineStr"/>
      <c r="K57" s="13" t="inlineStr">
        <is>
          <t>ממתין לתקבול</t>
        </is>
      </c>
      <c r="L57" s="11" t="inlineStr">
        <is>
          <t>P0091, P0092</t>
        </is>
      </c>
    </row>
    <row r="58">
      <c r="A58" s="11" t="inlineStr">
        <is>
          <t>משה פינץ</t>
        </is>
      </c>
      <c r="B58" s="11" t="inlineStr">
        <is>
          <t>רוה"מ</t>
        </is>
      </c>
      <c r="C58" s="11" t="inlineStr">
        <is>
          <t>03/2025</t>
        </is>
      </c>
      <c r="D58" s="12">
        <f>COUNTIFS('2️⃣ תקופות מילואים'!$B:$B,A58,'2️⃣ תקופות מילואים'!$F:$F,C58)</f>
        <v/>
      </c>
      <c r="E58" s="12">
        <f>SUMIFS('2️⃣ תקופות מילואים'!$G:$G,'2️⃣ תקופות מילואים'!$B:$B,A58,'2️⃣ תקופות מילואים'!$F:$F,C58)</f>
        <v/>
      </c>
      <c r="F58" s="12">
        <f>SUMIFS('2️⃣ תקופות מילואים'!$H:$H,'2️⃣ תקופות מילואים'!$B:$B,A58,'2️⃣ תקופות מילואים'!$F:$F,C58)</f>
        <v/>
      </c>
      <c r="G58" s="11">
        <f>SUMIFS('2️⃣ תקופות מילואים'!$I:$I,'2️⃣ תקופות מילואים'!$B:$B,A58,'2️⃣ תקופות מילואים'!$F:$F,C58)+SUMIFS('2️⃣ תקופות מילואים'!$J:$J,'2️⃣ תקופות מילואים'!$B:$B,A58,'2️⃣ תקופות מילואים'!$F:$F,C58)+SUMIFS('2️⃣ תקופות מילואים'!$K:$K,'2️⃣ תקופות מילואים'!$B:$B,A58,'2️⃣ תקופות מילואים'!$F:$F,C58)</f>
        <v/>
      </c>
      <c r="H58" s="11">
        <f>SUMIFS('2️⃣ תקופות מילואים'!$P:$P,'2️⃣ תקופות מילואים'!$B:$B,A58,'2️⃣ תקופות מילואים'!$F:$F,C58)</f>
        <v/>
      </c>
      <c r="I58" s="11">
        <f>SUMIFS('3️⃣ תשלומי ב"ל'!$I:$I,'3️⃣ תשלומי ב"ל'!$B:$B,A58)</f>
        <v/>
      </c>
      <c r="J58" s="11" t="inlineStr"/>
      <c r="K58" s="13" t="inlineStr">
        <is>
          <t>ממתין לתקבול</t>
        </is>
      </c>
      <c r="L58" s="11" t="inlineStr">
        <is>
          <t>P0093</t>
        </is>
      </c>
    </row>
    <row r="59">
      <c r="A59" s="11" t="inlineStr">
        <is>
          <t>משה פינץ</t>
        </is>
      </c>
      <c r="B59" s="11" t="inlineStr">
        <is>
          <t>רוה"מ</t>
        </is>
      </c>
      <c r="C59" s="11" t="inlineStr">
        <is>
          <t>06/2025</t>
        </is>
      </c>
      <c r="D59" s="12">
        <f>COUNTIFS('2️⃣ תקופות מילואים'!$B:$B,A59,'2️⃣ תקופות מילואים'!$F:$F,C59)</f>
        <v/>
      </c>
      <c r="E59" s="12">
        <f>SUMIFS('2️⃣ תקופות מילואים'!$G:$G,'2️⃣ תקופות מילואים'!$B:$B,A59,'2️⃣ תקופות מילואים'!$F:$F,C59)</f>
        <v/>
      </c>
      <c r="F59" s="12">
        <f>SUMIFS('2️⃣ תקופות מילואים'!$H:$H,'2️⃣ תקופות מילואים'!$B:$B,A59,'2️⃣ תקופות מילואים'!$F:$F,C59)</f>
        <v/>
      </c>
      <c r="G59" s="11">
        <f>SUMIFS('2️⃣ תקופות מילואים'!$I:$I,'2️⃣ תקופות מילואים'!$B:$B,A59,'2️⃣ תקופות מילואים'!$F:$F,C59)+SUMIFS('2️⃣ תקופות מילואים'!$J:$J,'2️⃣ תקופות מילואים'!$B:$B,A59,'2️⃣ תקופות מילואים'!$F:$F,C59)+SUMIFS('2️⃣ תקופות מילואים'!$K:$K,'2️⃣ תקופות מילואים'!$B:$B,A59,'2️⃣ תקופות מילואים'!$F:$F,C59)</f>
        <v/>
      </c>
      <c r="H59" s="11">
        <f>SUMIFS('2️⃣ תקופות מילואים'!$P:$P,'2️⃣ תקופות מילואים'!$B:$B,A59,'2️⃣ תקופות מילואים'!$F:$F,C59)</f>
        <v/>
      </c>
      <c r="I59" s="11">
        <f>SUMIFS('3️⃣ תשלומי ב"ל'!$I:$I,'3️⃣ תשלומי ב"ל'!$B:$B,A59)</f>
        <v/>
      </c>
      <c r="J59" s="11" t="inlineStr"/>
      <c r="K59" s="13" t="inlineStr">
        <is>
          <t>ממתין לתקבול</t>
        </is>
      </c>
      <c r="L59" s="11" t="inlineStr">
        <is>
          <t>P0094</t>
        </is>
      </c>
    </row>
    <row r="60">
      <c r="A60" s="11" t="inlineStr">
        <is>
          <t>נתן פרדר</t>
        </is>
      </c>
      <c r="B60" s="11" t="inlineStr">
        <is>
          <t>רוה"מ</t>
        </is>
      </c>
      <c r="C60" s="11" t="inlineStr">
        <is>
          <t>01/2025</t>
        </is>
      </c>
      <c r="D60" s="12">
        <f>COUNTIFS('2️⃣ תקופות מילואים'!$B:$B,A60,'2️⃣ תקופות מילואים'!$F:$F,C60)</f>
        <v/>
      </c>
      <c r="E60" s="12">
        <f>SUMIFS('2️⃣ תקופות מילואים'!$G:$G,'2️⃣ תקופות מילואים'!$B:$B,A60,'2️⃣ תקופות מילואים'!$F:$F,C60)</f>
        <v/>
      </c>
      <c r="F60" s="12">
        <f>SUMIFS('2️⃣ תקופות מילואים'!$H:$H,'2️⃣ תקופות מילואים'!$B:$B,A60,'2️⃣ תקופות מילואים'!$F:$F,C60)</f>
        <v/>
      </c>
      <c r="G60" s="11">
        <f>SUMIFS('2️⃣ תקופות מילואים'!$I:$I,'2️⃣ תקופות מילואים'!$B:$B,A60,'2️⃣ תקופות מילואים'!$F:$F,C60)+SUMIFS('2️⃣ תקופות מילואים'!$J:$J,'2️⃣ תקופות מילואים'!$B:$B,A60,'2️⃣ תקופות מילואים'!$F:$F,C60)+SUMIFS('2️⃣ תקופות מילואים'!$K:$K,'2️⃣ תקופות מילואים'!$B:$B,A60,'2️⃣ תקופות מילואים'!$F:$F,C60)</f>
        <v/>
      </c>
      <c r="H60" s="11">
        <f>SUMIFS('2️⃣ תקופות מילואים'!$P:$P,'2️⃣ תקופות מילואים'!$B:$B,A60,'2️⃣ תקופות מילואים'!$F:$F,C60)</f>
        <v/>
      </c>
      <c r="I60" s="11">
        <f>SUMIFS('3️⃣ תשלומי ב"ל'!$I:$I,'3️⃣ תשלומי ב"ל'!$B:$B,A60)</f>
        <v/>
      </c>
      <c r="J60" s="11" t="inlineStr"/>
      <c r="K60" s="13" t="inlineStr">
        <is>
          <t>ממתין לתקבול</t>
        </is>
      </c>
      <c r="L60" s="11" t="inlineStr">
        <is>
          <t>P0095, P0096, P0097, P0098, P0099</t>
        </is>
      </c>
    </row>
    <row r="61">
      <c r="A61" s="11" t="inlineStr">
        <is>
          <t>נתן פרדר</t>
        </is>
      </c>
      <c r="B61" s="11" t="inlineStr">
        <is>
          <t>רוה"מ</t>
        </is>
      </c>
      <c r="C61" s="11" t="inlineStr">
        <is>
          <t>02/2025</t>
        </is>
      </c>
      <c r="D61" s="12">
        <f>COUNTIFS('2️⃣ תקופות מילואים'!$B:$B,A61,'2️⃣ תקופות מילואים'!$F:$F,C61)</f>
        <v/>
      </c>
      <c r="E61" s="12">
        <f>SUMIFS('2️⃣ תקופות מילואים'!$G:$G,'2️⃣ תקופות מילואים'!$B:$B,A61,'2️⃣ תקופות מילואים'!$F:$F,C61)</f>
        <v/>
      </c>
      <c r="F61" s="12">
        <f>SUMIFS('2️⃣ תקופות מילואים'!$H:$H,'2️⃣ תקופות מילואים'!$B:$B,A61,'2️⃣ תקופות מילואים'!$F:$F,C61)</f>
        <v/>
      </c>
      <c r="G61" s="11">
        <f>SUMIFS('2️⃣ תקופות מילואים'!$I:$I,'2️⃣ תקופות מילואים'!$B:$B,A61,'2️⃣ תקופות מילואים'!$F:$F,C61)+SUMIFS('2️⃣ תקופות מילואים'!$J:$J,'2️⃣ תקופות מילואים'!$B:$B,A61,'2️⃣ תקופות מילואים'!$F:$F,C61)+SUMIFS('2️⃣ תקופות מילואים'!$K:$K,'2️⃣ תקופות מילואים'!$B:$B,A61,'2️⃣ תקופות מילואים'!$F:$F,C61)</f>
        <v/>
      </c>
      <c r="H61" s="11">
        <f>SUMIFS('2️⃣ תקופות מילואים'!$P:$P,'2️⃣ תקופות מילואים'!$B:$B,A61,'2️⃣ תקופות מילואים'!$F:$F,C61)</f>
        <v/>
      </c>
      <c r="I61" s="11">
        <f>SUMIFS('3️⃣ תשלומי ב"ל'!$I:$I,'3️⃣ תשלומי ב"ל'!$B:$B,A61)</f>
        <v/>
      </c>
      <c r="J61" s="11" t="inlineStr"/>
      <c r="K61" s="13" t="inlineStr">
        <is>
          <t>ממתין לתקבול</t>
        </is>
      </c>
      <c r="L61" s="11" t="inlineStr">
        <is>
          <t>P0100, P0101, P0102, P0103</t>
        </is>
      </c>
    </row>
    <row r="62">
      <c r="A62" s="11" t="inlineStr">
        <is>
          <t>נתן פרדר</t>
        </is>
      </c>
      <c r="B62" s="11" t="inlineStr">
        <is>
          <t>רוה"מ</t>
        </is>
      </c>
      <c r="C62" s="11" t="inlineStr">
        <is>
          <t>03/2025</t>
        </is>
      </c>
      <c r="D62" s="12">
        <f>COUNTIFS('2️⃣ תקופות מילואים'!$B:$B,A62,'2️⃣ תקופות מילואים'!$F:$F,C62)</f>
        <v/>
      </c>
      <c r="E62" s="12">
        <f>SUMIFS('2️⃣ תקופות מילואים'!$G:$G,'2️⃣ תקופות מילואים'!$B:$B,A62,'2️⃣ תקופות מילואים'!$F:$F,C62)</f>
        <v/>
      </c>
      <c r="F62" s="12">
        <f>SUMIFS('2️⃣ תקופות מילואים'!$H:$H,'2️⃣ תקופות מילואים'!$B:$B,A62,'2️⃣ תקופות מילואים'!$F:$F,C62)</f>
        <v/>
      </c>
      <c r="G62" s="11">
        <f>SUMIFS('2️⃣ תקופות מילואים'!$I:$I,'2️⃣ תקופות מילואים'!$B:$B,A62,'2️⃣ תקופות מילואים'!$F:$F,C62)+SUMIFS('2️⃣ תקופות מילואים'!$J:$J,'2️⃣ תקופות מילואים'!$B:$B,A62,'2️⃣ תקופות מילואים'!$F:$F,C62)+SUMIFS('2️⃣ תקופות מילואים'!$K:$K,'2️⃣ תקופות מילואים'!$B:$B,A62,'2️⃣ תקופות מילואים'!$F:$F,C62)</f>
        <v/>
      </c>
      <c r="H62" s="11">
        <f>SUMIFS('2️⃣ תקופות מילואים'!$P:$P,'2️⃣ תקופות מילואים'!$B:$B,A62,'2️⃣ תקופות מילואים'!$F:$F,C62)</f>
        <v/>
      </c>
      <c r="I62" s="11">
        <f>SUMIFS('3️⃣ תשלומי ב"ל'!$I:$I,'3️⃣ תשלומי ב"ל'!$B:$B,A62)</f>
        <v/>
      </c>
      <c r="J62" s="11" t="inlineStr"/>
      <c r="K62" s="13" t="inlineStr">
        <is>
          <t>ממתין לתקבול</t>
        </is>
      </c>
      <c r="L62" s="11" t="inlineStr">
        <is>
          <t>P0104, P0105, P0106, P0107, P0108</t>
        </is>
      </c>
    </row>
    <row r="63">
      <c r="A63" s="11" t="inlineStr">
        <is>
          <t>נתן פרדר</t>
        </is>
      </c>
      <c r="B63" s="11" t="inlineStr">
        <is>
          <t>רוה"מ</t>
        </is>
      </c>
      <c r="C63" s="11" t="inlineStr">
        <is>
          <t>04/2025</t>
        </is>
      </c>
      <c r="D63" s="12">
        <f>COUNTIFS('2️⃣ תקופות מילואים'!$B:$B,A63,'2️⃣ תקופות מילואים'!$F:$F,C63)</f>
        <v/>
      </c>
      <c r="E63" s="12">
        <f>SUMIFS('2️⃣ תקופות מילואים'!$G:$G,'2️⃣ תקופות מילואים'!$B:$B,A63,'2️⃣ תקופות מילואים'!$F:$F,C63)</f>
        <v/>
      </c>
      <c r="F63" s="12">
        <f>SUMIFS('2️⃣ תקופות מילואים'!$H:$H,'2️⃣ תקופות מילואים'!$B:$B,A63,'2️⃣ תקופות מילואים'!$F:$F,C63)</f>
        <v/>
      </c>
      <c r="G63" s="11">
        <f>SUMIFS('2️⃣ תקופות מילואים'!$I:$I,'2️⃣ תקופות מילואים'!$B:$B,A63,'2️⃣ תקופות מילואים'!$F:$F,C63)+SUMIFS('2️⃣ תקופות מילואים'!$J:$J,'2️⃣ תקופות מילואים'!$B:$B,A63,'2️⃣ תקופות מילואים'!$F:$F,C63)+SUMIFS('2️⃣ תקופות מילואים'!$K:$K,'2️⃣ תקופות מילואים'!$B:$B,A63,'2️⃣ תקופות מילואים'!$F:$F,C63)</f>
        <v/>
      </c>
      <c r="H63" s="11">
        <f>SUMIFS('2️⃣ תקופות מילואים'!$P:$P,'2️⃣ תקופות מילואים'!$B:$B,A63,'2️⃣ תקופות מילואים'!$F:$F,C63)</f>
        <v/>
      </c>
      <c r="I63" s="11">
        <f>SUMIFS('3️⃣ תשלומי ב"ל'!$I:$I,'3️⃣ תשלומי ב"ל'!$B:$B,A63)</f>
        <v/>
      </c>
      <c r="J63" s="11" t="inlineStr"/>
      <c r="K63" s="13" t="inlineStr">
        <is>
          <t>ממתין לתקבול</t>
        </is>
      </c>
      <c r="L63" s="11" t="inlineStr">
        <is>
          <t>P0109, P0110, P0111, P0112</t>
        </is>
      </c>
    </row>
    <row r="64">
      <c r="A64" s="11" t="inlineStr">
        <is>
          <t>נתן פרדר</t>
        </is>
      </c>
      <c r="B64" s="11" t="inlineStr">
        <is>
          <t>רוה"מ</t>
        </is>
      </c>
      <c r="C64" s="11" t="inlineStr">
        <is>
          <t>05/2025</t>
        </is>
      </c>
      <c r="D64" s="12">
        <f>COUNTIFS('2️⃣ תקופות מילואים'!$B:$B,A64,'2️⃣ תקופות מילואים'!$F:$F,C64)</f>
        <v/>
      </c>
      <c r="E64" s="12">
        <f>SUMIFS('2️⃣ תקופות מילואים'!$G:$G,'2️⃣ תקופות מילואים'!$B:$B,A64,'2️⃣ תקופות מילואים'!$F:$F,C64)</f>
        <v/>
      </c>
      <c r="F64" s="12">
        <f>SUMIFS('2️⃣ תקופות מילואים'!$H:$H,'2️⃣ תקופות מילואים'!$B:$B,A64,'2️⃣ תקופות מילואים'!$F:$F,C64)</f>
        <v/>
      </c>
      <c r="G64" s="11">
        <f>SUMIFS('2️⃣ תקופות מילואים'!$I:$I,'2️⃣ תקופות מילואים'!$B:$B,A64,'2️⃣ תקופות מילואים'!$F:$F,C64)+SUMIFS('2️⃣ תקופות מילואים'!$J:$J,'2️⃣ תקופות מילואים'!$B:$B,A64,'2️⃣ תקופות מילואים'!$F:$F,C64)+SUMIFS('2️⃣ תקופות מילואים'!$K:$K,'2️⃣ תקופות מילואים'!$B:$B,A64,'2️⃣ תקופות מילואים'!$F:$F,C64)</f>
        <v/>
      </c>
      <c r="H64" s="11">
        <f>SUMIFS('2️⃣ תקופות מילואים'!$P:$P,'2️⃣ תקופות מילואים'!$B:$B,A64,'2️⃣ תקופות מילואים'!$F:$F,C64)</f>
        <v/>
      </c>
      <c r="I64" s="11">
        <f>SUMIFS('3️⃣ תשלומי ב"ל'!$I:$I,'3️⃣ תשלומי ב"ל'!$B:$B,A64)</f>
        <v/>
      </c>
      <c r="J64" s="11" t="inlineStr"/>
      <c r="K64" s="13" t="inlineStr">
        <is>
          <t>ממתין לתקבול</t>
        </is>
      </c>
      <c r="L64" s="11" t="inlineStr">
        <is>
          <t>P0113, P0114, P0115, P0116, P0117</t>
        </is>
      </c>
    </row>
    <row r="65">
      <c r="A65" s="11" t="inlineStr">
        <is>
          <t>נתן פרדר</t>
        </is>
      </c>
      <c r="B65" s="11" t="inlineStr">
        <is>
          <t>רוה"מ</t>
        </is>
      </c>
      <c r="C65" s="11" t="inlineStr">
        <is>
          <t>06/2025</t>
        </is>
      </c>
      <c r="D65" s="12">
        <f>COUNTIFS('2️⃣ תקופות מילואים'!$B:$B,A65,'2️⃣ תקופות מילואים'!$F:$F,C65)</f>
        <v/>
      </c>
      <c r="E65" s="12">
        <f>SUMIFS('2️⃣ תקופות מילואים'!$G:$G,'2️⃣ תקופות מילואים'!$B:$B,A65,'2️⃣ תקופות מילואים'!$F:$F,C65)</f>
        <v/>
      </c>
      <c r="F65" s="12">
        <f>SUMIFS('2️⃣ תקופות מילואים'!$H:$H,'2️⃣ תקופות מילואים'!$B:$B,A65,'2️⃣ תקופות מילואים'!$F:$F,C65)</f>
        <v/>
      </c>
      <c r="G65" s="11">
        <f>SUMIFS('2️⃣ תקופות מילואים'!$I:$I,'2️⃣ תקופות מילואים'!$B:$B,A65,'2️⃣ תקופות מילואים'!$F:$F,C65)+SUMIFS('2️⃣ תקופות מילואים'!$J:$J,'2️⃣ תקופות מילואים'!$B:$B,A65,'2️⃣ תקופות מילואים'!$F:$F,C65)+SUMIFS('2️⃣ תקופות מילואים'!$K:$K,'2️⃣ תקופות מילואים'!$B:$B,A65,'2️⃣ תקופות מילואים'!$F:$F,C65)</f>
        <v/>
      </c>
      <c r="H65" s="11">
        <f>SUMIFS('2️⃣ תקופות מילואים'!$P:$P,'2️⃣ תקופות מילואים'!$B:$B,A65,'2️⃣ תקופות מילואים'!$F:$F,C65)</f>
        <v/>
      </c>
      <c r="I65" s="11">
        <f>SUMIFS('3️⃣ תשלומי ב"ל'!$I:$I,'3️⃣ תשלומי ב"ל'!$B:$B,A65)</f>
        <v/>
      </c>
      <c r="J65" s="11" t="inlineStr"/>
      <c r="K65" s="13" t="inlineStr">
        <is>
          <t>ממתין לתקבול</t>
        </is>
      </c>
      <c r="L65" s="11" t="inlineStr">
        <is>
          <t>P0118, P0119, P0120</t>
        </is>
      </c>
    </row>
    <row r="66">
      <c r="A66" s="11" t="inlineStr">
        <is>
          <t>נתן פרדר</t>
        </is>
      </c>
      <c r="B66" s="11" t="inlineStr">
        <is>
          <t>רוה"מ</t>
        </is>
      </c>
      <c r="C66" s="11" t="inlineStr">
        <is>
          <t>07/2025</t>
        </is>
      </c>
      <c r="D66" s="12">
        <f>COUNTIFS('2️⃣ תקופות מילואים'!$B:$B,A66,'2️⃣ תקופות מילואים'!$F:$F,C66)</f>
        <v/>
      </c>
      <c r="E66" s="12">
        <f>SUMIFS('2️⃣ תקופות מילואים'!$G:$G,'2️⃣ תקופות מילואים'!$B:$B,A66,'2️⃣ תקופות מילואים'!$F:$F,C66)</f>
        <v/>
      </c>
      <c r="F66" s="12">
        <f>SUMIFS('2️⃣ תקופות מילואים'!$H:$H,'2️⃣ תקופות מילואים'!$B:$B,A66,'2️⃣ תקופות מילואים'!$F:$F,C66)</f>
        <v/>
      </c>
      <c r="G66" s="11">
        <f>SUMIFS('2️⃣ תקופות מילואים'!$I:$I,'2️⃣ תקופות מילואים'!$B:$B,A66,'2️⃣ תקופות מילואים'!$F:$F,C66)+SUMIFS('2️⃣ תקופות מילואים'!$J:$J,'2️⃣ תקופות מילואים'!$B:$B,A66,'2️⃣ תקופות מילואים'!$F:$F,C66)+SUMIFS('2️⃣ תקופות מילואים'!$K:$K,'2️⃣ תקופות מילואים'!$B:$B,A66,'2️⃣ תקופות מילואים'!$F:$F,C66)</f>
        <v/>
      </c>
      <c r="H66" s="11">
        <f>SUMIFS('2️⃣ תקופות מילואים'!$P:$P,'2️⃣ תקופות מילואים'!$B:$B,A66,'2️⃣ תקופות מילואים'!$F:$F,C66)</f>
        <v/>
      </c>
      <c r="I66" s="11">
        <f>SUMIFS('3️⃣ תשלומי ב"ל'!$I:$I,'3️⃣ תשלומי ב"ל'!$B:$B,A66)</f>
        <v/>
      </c>
      <c r="J66" s="11" t="inlineStr"/>
      <c r="K66" s="13" t="inlineStr">
        <is>
          <t>ממתין לתקבול</t>
        </is>
      </c>
      <c r="L66" s="11" t="inlineStr">
        <is>
          <t>P0121, P0122, P0123</t>
        </is>
      </c>
    </row>
    <row r="67">
      <c r="A67" s="11" t="inlineStr">
        <is>
          <t>נתן פרדר</t>
        </is>
      </c>
      <c r="B67" s="11" t="inlineStr">
        <is>
          <t>רוה"מ</t>
        </is>
      </c>
      <c r="C67" s="11" t="inlineStr">
        <is>
          <t>08/2025</t>
        </is>
      </c>
      <c r="D67" s="12">
        <f>COUNTIFS('2️⃣ תקופות מילואים'!$B:$B,A67,'2️⃣ תקופות מילואים'!$F:$F,C67)</f>
        <v/>
      </c>
      <c r="E67" s="12">
        <f>SUMIFS('2️⃣ תקופות מילואים'!$G:$G,'2️⃣ תקופות מילואים'!$B:$B,A67,'2️⃣ תקופות מילואים'!$F:$F,C67)</f>
        <v/>
      </c>
      <c r="F67" s="12">
        <f>SUMIFS('2️⃣ תקופות מילואים'!$H:$H,'2️⃣ תקופות מילואים'!$B:$B,A67,'2️⃣ תקופות מילואים'!$F:$F,C67)</f>
        <v/>
      </c>
      <c r="G67" s="11">
        <f>SUMIFS('2️⃣ תקופות מילואים'!$I:$I,'2️⃣ תקופות מילואים'!$B:$B,A67,'2️⃣ תקופות מילואים'!$F:$F,C67)+SUMIFS('2️⃣ תקופות מילואים'!$J:$J,'2️⃣ תקופות מילואים'!$B:$B,A67,'2️⃣ תקופות מילואים'!$F:$F,C67)+SUMIFS('2️⃣ תקופות מילואים'!$K:$K,'2️⃣ תקופות מילואים'!$B:$B,A67,'2️⃣ תקופות מילואים'!$F:$F,C67)</f>
        <v/>
      </c>
      <c r="H67" s="11">
        <f>SUMIFS('2️⃣ תקופות מילואים'!$P:$P,'2️⃣ תקופות מילואים'!$B:$B,A67,'2️⃣ תקופות מילואים'!$F:$F,C67)</f>
        <v/>
      </c>
      <c r="I67" s="11">
        <f>SUMIFS('3️⃣ תשלומי ב"ל'!$I:$I,'3️⃣ תשלומי ב"ל'!$B:$B,A67)</f>
        <v/>
      </c>
      <c r="J67" s="11" t="inlineStr"/>
      <c r="K67" s="13" t="inlineStr">
        <is>
          <t>ממתין לתקבול</t>
        </is>
      </c>
      <c r="L67" s="11" t="inlineStr">
        <is>
          <t>P0124, P0125</t>
        </is>
      </c>
    </row>
    <row r="68">
      <c r="A68" s="11" t="inlineStr">
        <is>
          <t>נתן פרדר</t>
        </is>
      </c>
      <c r="B68" s="11" t="inlineStr">
        <is>
          <t>רוה"מ</t>
        </is>
      </c>
      <c r="C68" s="11" t="inlineStr">
        <is>
          <t>09/2025</t>
        </is>
      </c>
      <c r="D68" s="12">
        <f>COUNTIFS('2️⃣ תקופות מילואים'!$B:$B,A68,'2️⃣ תקופות מילואים'!$F:$F,C68)</f>
        <v/>
      </c>
      <c r="E68" s="12">
        <f>SUMIFS('2️⃣ תקופות מילואים'!$G:$G,'2️⃣ תקופות מילואים'!$B:$B,A68,'2️⃣ תקופות מילואים'!$F:$F,C68)</f>
        <v/>
      </c>
      <c r="F68" s="12">
        <f>SUMIFS('2️⃣ תקופות מילואים'!$H:$H,'2️⃣ תקופות מילואים'!$B:$B,A68,'2️⃣ תקופות מילואים'!$F:$F,C68)</f>
        <v/>
      </c>
      <c r="G68" s="11">
        <f>SUMIFS('2️⃣ תקופות מילואים'!$I:$I,'2️⃣ תקופות מילואים'!$B:$B,A68,'2️⃣ תקופות מילואים'!$F:$F,C68)+SUMIFS('2️⃣ תקופות מילואים'!$J:$J,'2️⃣ תקופות מילואים'!$B:$B,A68,'2️⃣ תקופות מילואים'!$F:$F,C68)+SUMIFS('2️⃣ תקופות מילואים'!$K:$K,'2️⃣ תקופות מילואים'!$B:$B,A68,'2️⃣ תקופות מילואים'!$F:$F,C68)</f>
        <v/>
      </c>
      <c r="H68" s="11">
        <f>SUMIFS('2️⃣ תקופות מילואים'!$P:$P,'2️⃣ תקופות מילואים'!$B:$B,A68,'2️⃣ תקופות מילואים'!$F:$F,C68)</f>
        <v/>
      </c>
      <c r="I68" s="11">
        <f>SUMIFS('3️⃣ תשלומי ב"ל'!$I:$I,'3️⃣ תשלומי ב"ל'!$B:$B,A68)</f>
        <v/>
      </c>
      <c r="J68" s="11" t="inlineStr"/>
      <c r="K68" s="13" t="inlineStr">
        <is>
          <t>ממתין לתקבול</t>
        </is>
      </c>
      <c r="L68" s="11" t="inlineStr">
        <is>
          <t>P0126, P0127</t>
        </is>
      </c>
    </row>
    <row r="69">
      <c r="A69" s="11" t="inlineStr">
        <is>
          <t>צחי חנגל</t>
        </is>
      </c>
      <c r="B69" s="11" t="inlineStr">
        <is>
          <t>רפאל</t>
        </is>
      </c>
      <c r="C69" s="11" t="inlineStr">
        <is>
          <t>03/2025</t>
        </is>
      </c>
      <c r="D69" s="12">
        <f>COUNTIFS('2️⃣ תקופות מילואים'!$B:$B,A69,'2️⃣ תקופות מילואים'!$F:$F,C69)</f>
        <v/>
      </c>
      <c r="E69" s="12">
        <f>SUMIFS('2️⃣ תקופות מילואים'!$G:$G,'2️⃣ תקופות מילואים'!$B:$B,A69,'2️⃣ תקופות מילואים'!$F:$F,C69)</f>
        <v/>
      </c>
      <c r="F69" s="12">
        <f>SUMIFS('2️⃣ תקופות מילואים'!$H:$H,'2️⃣ תקופות מילואים'!$B:$B,A69,'2️⃣ תקופות מילואים'!$F:$F,C69)</f>
        <v/>
      </c>
      <c r="G69" s="11">
        <f>SUMIFS('2️⃣ תקופות מילואים'!$I:$I,'2️⃣ תקופות מילואים'!$B:$B,A69,'2️⃣ תקופות מילואים'!$F:$F,C69)+SUMIFS('2️⃣ תקופות מילואים'!$J:$J,'2️⃣ תקופות מילואים'!$B:$B,A69,'2️⃣ תקופות מילואים'!$F:$F,C69)+SUMIFS('2️⃣ תקופות מילואים'!$K:$K,'2️⃣ תקופות מילואים'!$B:$B,A69,'2️⃣ תקופות מילואים'!$F:$F,C69)</f>
        <v/>
      </c>
      <c r="H69" s="11">
        <f>SUMIFS('2️⃣ תקופות מילואים'!$P:$P,'2️⃣ תקופות מילואים'!$B:$B,A69,'2️⃣ תקופות מילואים'!$F:$F,C69)</f>
        <v/>
      </c>
      <c r="I69" s="11">
        <f>SUMIFS('3️⃣ תשלומי ב"ל'!$I:$I,'3️⃣ תשלומי ב"ל'!$B:$B,A69)</f>
        <v/>
      </c>
      <c r="J69" s="11" t="inlineStr"/>
      <c r="K69" s="13" t="inlineStr">
        <is>
          <t>ממתין לתקבול</t>
        </is>
      </c>
      <c r="L69" s="11" t="inlineStr">
        <is>
          <t>P0128</t>
        </is>
      </c>
    </row>
    <row r="70">
      <c r="A70" s="11" t="inlineStr">
        <is>
          <t>צחי חנגל</t>
        </is>
      </c>
      <c r="B70" s="11" t="inlineStr">
        <is>
          <t>רפאל</t>
        </is>
      </c>
      <c r="C70" s="11" t="inlineStr">
        <is>
          <t>05/2025</t>
        </is>
      </c>
      <c r="D70" s="12">
        <f>COUNTIFS('2️⃣ תקופות מילואים'!$B:$B,A70,'2️⃣ תקופות מילואים'!$F:$F,C70)</f>
        <v/>
      </c>
      <c r="E70" s="12">
        <f>SUMIFS('2️⃣ תקופות מילואים'!$G:$G,'2️⃣ תקופות מילואים'!$B:$B,A70,'2️⃣ תקופות מילואים'!$F:$F,C70)</f>
        <v/>
      </c>
      <c r="F70" s="12">
        <f>SUMIFS('2️⃣ תקופות מילואים'!$H:$H,'2️⃣ תקופות מילואים'!$B:$B,A70,'2️⃣ תקופות מילואים'!$F:$F,C70)</f>
        <v/>
      </c>
      <c r="G70" s="11">
        <f>SUMIFS('2️⃣ תקופות מילואים'!$I:$I,'2️⃣ תקופות מילואים'!$B:$B,A70,'2️⃣ תקופות מילואים'!$F:$F,C70)+SUMIFS('2️⃣ תקופות מילואים'!$J:$J,'2️⃣ תקופות מילואים'!$B:$B,A70,'2️⃣ תקופות מילואים'!$F:$F,C70)+SUMIFS('2️⃣ תקופות מילואים'!$K:$K,'2️⃣ תקופות מילואים'!$B:$B,A70,'2️⃣ תקופות מילואים'!$F:$F,C70)</f>
        <v/>
      </c>
      <c r="H70" s="11">
        <f>SUMIFS('2️⃣ תקופות מילואים'!$P:$P,'2️⃣ תקופות מילואים'!$B:$B,A70,'2️⃣ תקופות מילואים'!$F:$F,C70)</f>
        <v/>
      </c>
      <c r="I70" s="11">
        <f>SUMIFS('3️⃣ תשלומי ב"ל'!$I:$I,'3️⃣ תשלומי ב"ל'!$B:$B,A70)</f>
        <v/>
      </c>
      <c r="J70" s="11" t="inlineStr"/>
      <c r="K70" s="13" t="inlineStr">
        <is>
          <t>ממתין לתקבול</t>
        </is>
      </c>
      <c r="L70" s="11" t="inlineStr">
        <is>
          <t>P0129, P0130</t>
        </is>
      </c>
    </row>
    <row r="71">
      <c r="A71" s="11" t="inlineStr">
        <is>
          <t>צחי חנגל</t>
        </is>
      </c>
      <c r="B71" s="11" t="inlineStr">
        <is>
          <t>רפאל</t>
        </is>
      </c>
      <c r="C71" s="11" t="inlineStr">
        <is>
          <t>06/2025</t>
        </is>
      </c>
      <c r="D71" s="12">
        <f>COUNTIFS('2️⃣ תקופות מילואים'!$B:$B,A71,'2️⃣ תקופות מילואים'!$F:$F,C71)</f>
        <v/>
      </c>
      <c r="E71" s="12">
        <f>SUMIFS('2️⃣ תקופות מילואים'!$G:$G,'2️⃣ תקופות מילואים'!$B:$B,A71,'2️⃣ תקופות מילואים'!$F:$F,C71)</f>
        <v/>
      </c>
      <c r="F71" s="12">
        <f>SUMIFS('2️⃣ תקופות מילואים'!$H:$H,'2️⃣ תקופות מילואים'!$B:$B,A71,'2️⃣ תקופות מילואים'!$F:$F,C71)</f>
        <v/>
      </c>
      <c r="G71" s="11">
        <f>SUMIFS('2️⃣ תקופות מילואים'!$I:$I,'2️⃣ תקופות מילואים'!$B:$B,A71,'2️⃣ תקופות מילואים'!$F:$F,C71)+SUMIFS('2️⃣ תקופות מילואים'!$J:$J,'2️⃣ תקופות מילואים'!$B:$B,A71,'2️⃣ תקופות מילואים'!$F:$F,C71)+SUMIFS('2️⃣ תקופות מילואים'!$K:$K,'2️⃣ תקופות מילואים'!$B:$B,A71,'2️⃣ תקופות מילואים'!$F:$F,C71)</f>
        <v/>
      </c>
      <c r="H71" s="11">
        <f>SUMIFS('2️⃣ תקופות מילואים'!$P:$P,'2️⃣ תקופות מילואים'!$B:$B,A71,'2️⃣ תקופות מילואים'!$F:$F,C71)</f>
        <v/>
      </c>
      <c r="I71" s="11">
        <f>SUMIFS('3️⃣ תשלומי ב"ל'!$I:$I,'3️⃣ תשלומי ב"ל'!$B:$B,A71)</f>
        <v/>
      </c>
      <c r="J71" s="11" t="inlineStr"/>
      <c r="K71" s="13" t="inlineStr">
        <is>
          <t>ממתין לתקבול</t>
        </is>
      </c>
      <c r="L71" s="11" t="inlineStr">
        <is>
          <t>P0131, P0132</t>
        </is>
      </c>
    </row>
    <row r="72">
      <c r="A72" s="11" t="inlineStr">
        <is>
          <t>צחי חנגל</t>
        </is>
      </c>
      <c r="B72" s="11" t="inlineStr">
        <is>
          <t>רפאל</t>
        </is>
      </c>
      <c r="C72" s="11" t="inlineStr">
        <is>
          <t>08/2025</t>
        </is>
      </c>
      <c r="D72" s="12">
        <f>COUNTIFS('2️⃣ תקופות מילואים'!$B:$B,A72,'2️⃣ תקופות מילואים'!$F:$F,C72)</f>
        <v/>
      </c>
      <c r="E72" s="12">
        <f>SUMIFS('2️⃣ תקופות מילואים'!$G:$G,'2️⃣ תקופות מילואים'!$B:$B,A72,'2️⃣ תקופות מילואים'!$F:$F,C72)</f>
        <v/>
      </c>
      <c r="F72" s="12">
        <f>SUMIFS('2️⃣ תקופות מילואים'!$H:$H,'2️⃣ תקופות מילואים'!$B:$B,A72,'2️⃣ תקופות מילואים'!$F:$F,C72)</f>
        <v/>
      </c>
      <c r="G72" s="11">
        <f>SUMIFS('2️⃣ תקופות מילואים'!$I:$I,'2️⃣ תקופות מילואים'!$B:$B,A72,'2️⃣ תקופות מילואים'!$F:$F,C72)+SUMIFS('2️⃣ תקופות מילואים'!$J:$J,'2️⃣ תקופות מילואים'!$B:$B,A72,'2️⃣ תקופות מילואים'!$F:$F,C72)+SUMIFS('2️⃣ תקופות מילואים'!$K:$K,'2️⃣ תקופות מילואים'!$B:$B,A72,'2️⃣ תקופות מילואים'!$F:$F,C72)</f>
        <v/>
      </c>
      <c r="H72" s="11">
        <f>SUMIFS('2️⃣ תקופות מילואים'!$P:$P,'2️⃣ תקופות מילואים'!$B:$B,A72,'2️⃣ תקופות מילואים'!$F:$F,C72)</f>
        <v/>
      </c>
      <c r="I72" s="11">
        <f>SUMIFS('3️⃣ תשלומי ב"ל'!$I:$I,'3️⃣ תשלומי ב"ל'!$B:$B,A72)</f>
        <v/>
      </c>
      <c r="J72" s="11" t="inlineStr"/>
      <c r="K72" s="13" t="inlineStr">
        <is>
          <t>ממתין לתקבול</t>
        </is>
      </c>
      <c r="L72" s="11" t="inlineStr">
        <is>
          <t>P0133, P0134</t>
        </is>
      </c>
    </row>
    <row r="73">
      <c r="A73" s="11" t="inlineStr">
        <is>
          <t>צחי חנגל</t>
        </is>
      </c>
      <c r="B73" s="11" t="inlineStr">
        <is>
          <t>רפאל</t>
        </is>
      </c>
      <c r="C73" s="11" t="inlineStr">
        <is>
          <t>09/2025</t>
        </is>
      </c>
      <c r="D73" s="12">
        <f>COUNTIFS('2️⃣ תקופות מילואים'!$B:$B,A73,'2️⃣ תקופות מילואים'!$F:$F,C73)</f>
        <v/>
      </c>
      <c r="E73" s="12">
        <f>SUMIFS('2️⃣ תקופות מילואים'!$G:$G,'2️⃣ תקופות מילואים'!$B:$B,A73,'2️⃣ תקופות מילואים'!$F:$F,C73)</f>
        <v/>
      </c>
      <c r="F73" s="12">
        <f>SUMIFS('2️⃣ תקופות מילואים'!$H:$H,'2️⃣ תקופות מילואים'!$B:$B,A73,'2️⃣ תקופות מילואים'!$F:$F,C73)</f>
        <v/>
      </c>
      <c r="G73" s="11">
        <f>SUMIFS('2️⃣ תקופות מילואים'!$I:$I,'2️⃣ תקופות מילואים'!$B:$B,A73,'2️⃣ תקופות מילואים'!$F:$F,C73)+SUMIFS('2️⃣ תקופות מילואים'!$J:$J,'2️⃣ תקופות מילואים'!$B:$B,A73,'2️⃣ תקופות מילואים'!$F:$F,C73)+SUMIFS('2️⃣ תקופות מילואים'!$K:$K,'2️⃣ תקופות מילואים'!$B:$B,A73,'2️⃣ תקופות מילואים'!$F:$F,C73)</f>
        <v/>
      </c>
      <c r="H73" s="11">
        <f>SUMIFS('2️⃣ תקופות מילואים'!$P:$P,'2️⃣ תקופות מילואים'!$B:$B,A73,'2️⃣ תקופות מילואים'!$F:$F,C73)</f>
        <v/>
      </c>
      <c r="I73" s="11">
        <f>SUMIFS('3️⃣ תשלומי ב"ל'!$I:$I,'3️⃣ תשלומי ב"ל'!$B:$B,A73)</f>
        <v/>
      </c>
      <c r="J73" s="11" t="inlineStr"/>
      <c r="K73" s="13" t="inlineStr">
        <is>
          <t>ממתין לתקבול</t>
        </is>
      </c>
      <c r="L73" s="11" t="inlineStr">
        <is>
          <t>P0135</t>
        </is>
      </c>
    </row>
    <row r="74">
      <c r="A74" s="11" t="inlineStr">
        <is>
          <t>רפאל שועה</t>
        </is>
      </c>
      <c r="B74" s="11" t="inlineStr">
        <is>
          <t>מל"מ</t>
        </is>
      </c>
      <c r="C74" s="11" t="inlineStr">
        <is>
          <t>05/2025</t>
        </is>
      </c>
      <c r="D74" s="12">
        <f>COUNTIFS('2️⃣ תקופות מילואים'!$B:$B,A74,'2️⃣ תקופות מילואים'!$F:$F,C74)</f>
        <v/>
      </c>
      <c r="E74" s="12">
        <f>SUMIFS('2️⃣ תקופות מילואים'!$G:$G,'2️⃣ תקופות מילואים'!$B:$B,A74,'2️⃣ תקופות מילואים'!$F:$F,C74)</f>
        <v/>
      </c>
      <c r="F74" s="12">
        <f>SUMIFS('2️⃣ תקופות מילואים'!$H:$H,'2️⃣ תקופות מילואים'!$B:$B,A74,'2️⃣ תקופות מילואים'!$F:$F,C74)</f>
        <v/>
      </c>
      <c r="G74" s="11">
        <f>SUMIFS('2️⃣ תקופות מילואים'!$I:$I,'2️⃣ תקופות מילואים'!$B:$B,A74,'2️⃣ תקופות מילואים'!$F:$F,C74)+SUMIFS('2️⃣ תקופות מילואים'!$J:$J,'2️⃣ תקופות מילואים'!$B:$B,A74,'2️⃣ תקופות מילואים'!$F:$F,C74)+SUMIFS('2️⃣ תקופות מילואים'!$K:$K,'2️⃣ תקופות מילואים'!$B:$B,A74,'2️⃣ תקופות מילואים'!$F:$F,C74)</f>
        <v/>
      </c>
      <c r="H74" s="11">
        <f>SUMIFS('2️⃣ תקופות מילואים'!$P:$P,'2️⃣ תקופות מילואים'!$B:$B,A74,'2️⃣ תקופות מילואים'!$F:$F,C74)</f>
        <v/>
      </c>
      <c r="I74" s="11">
        <f>SUMIFS('3️⃣ תשלומי ב"ל'!$I:$I,'3️⃣ תשלומי ב"ל'!$B:$B,A74)</f>
        <v/>
      </c>
      <c r="J74" s="11" t="inlineStr"/>
      <c r="K74" s="13" t="inlineStr">
        <is>
          <t>ממתין לתקבול</t>
        </is>
      </c>
      <c r="L74" s="11" t="inlineStr">
        <is>
          <t>P0136</t>
        </is>
      </c>
    </row>
    <row r="75">
      <c r="A75" s="11" t="inlineStr">
        <is>
          <t>רפאל שועה</t>
        </is>
      </c>
      <c r="B75" s="11" t="inlineStr">
        <is>
          <t>מל"מ</t>
        </is>
      </c>
      <c r="C75" s="11" t="inlineStr">
        <is>
          <t>06/2025</t>
        </is>
      </c>
      <c r="D75" s="12">
        <f>COUNTIFS('2️⃣ תקופות מילואים'!$B:$B,A75,'2️⃣ תקופות מילואים'!$F:$F,C75)</f>
        <v/>
      </c>
      <c r="E75" s="12">
        <f>SUMIFS('2️⃣ תקופות מילואים'!$G:$G,'2️⃣ תקופות מילואים'!$B:$B,A75,'2️⃣ תקופות מילואים'!$F:$F,C75)</f>
        <v/>
      </c>
      <c r="F75" s="12">
        <f>SUMIFS('2️⃣ תקופות מילואים'!$H:$H,'2️⃣ תקופות מילואים'!$B:$B,A75,'2️⃣ תקופות מילואים'!$F:$F,C75)</f>
        <v/>
      </c>
      <c r="G75" s="11">
        <f>SUMIFS('2️⃣ תקופות מילואים'!$I:$I,'2️⃣ תקופות מילואים'!$B:$B,A75,'2️⃣ תקופות מילואים'!$F:$F,C75)+SUMIFS('2️⃣ תקופות מילואים'!$J:$J,'2️⃣ תקופות מילואים'!$B:$B,A75,'2️⃣ תקופות מילואים'!$F:$F,C75)+SUMIFS('2️⃣ תקופות מילואים'!$K:$K,'2️⃣ תקופות מילואים'!$B:$B,A75,'2️⃣ תקופות מילואים'!$F:$F,C75)</f>
        <v/>
      </c>
      <c r="H75" s="11">
        <f>SUMIFS('2️⃣ תקופות מילואים'!$P:$P,'2️⃣ תקופות מילואים'!$B:$B,A75,'2️⃣ תקופות מילואים'!$F:$F,C75)</f>
        <v/>
      </c>
      <c r="I75" s="11">
        <f>SUMIFS('3️⃣ תשלומי ב"ל'!$I:$I,'3️⃣ תשלומי ב"ל'!$B:$B,A75)</f>
        <v/>
      </c>
      <c r="J75" s="11" t="inlineStr"/>
      <c r="K75" s="13" t="inlineStr">
        <is>
          <t>ממתין לתקבול</t>
        </is>
      </c>
      <c r="L75" s="11" t="inlineStr">
        <is>
          <t>P0137, P0138, P0139</t>
        </is>
      </c>
    </row>
  </sheetData>
  <autoFilter ref="A1:L1"/>
  <dataValidations count="4">
    <dataValidation sqref="A2:A1000" showDropDown="0" showInputMessage="0" showErrorMessage="0" allowBlank="1" errorTitle="ערך לא חוקי" error="נא לבחור שם עובד מהרשימה" type="list">
      <formula1>""</formula1>
    </dataValidation>
    <dataValidation sqref="B2:B1000" showDropDown="0" showInputMessage="0" showErrorMessage="0" allowBlank="1" errorTitle="ערך לא חוקי" error="נא לבחור מחלקה מהרשימה" type="list">
      <formula1>"מל"מ,רפאל,רוה"מ"</formula1>
    </dataValidation>
    <dataValidation sqref="C2:C1000" showDropDown="0" showInputMessage="0" showErrorMessage="0" allowBlank="1" errorTitle="ערך לא חוקי" error="נא לבחור חודש מהרשימה" type="list">
      <formula1>"01/2025,02/2025,03/2025,04/2025,05/2025,06/2025,07/2025,08/2025,09/2025,10/2025,11/2025,12/2025"</formula1>
    </dataValidation>
    <dataValidation sqref="A2:A1000" showDropDown="0" showInputMessage="0" showErrorMessage="0" allowBlank="1" type="list">
      <formula1>'1️⃣ רשימת עובדים'!$D$3:$D$100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7" t="inlineStr">
        <is>
          <t>מנה</t>
        </is>
      </c>
      <c r="B1" s="17" t="inlineStr">
        <is>
          <t>תאריך תשלום</t>
        </is>
      </c>
      <c r="C1" s="17" t="inlineStr">
        <is>
          <t>תגמול ₪</t>
        </is>
      </c>
      <c r="D1" s="17" t="inlineStr">
        <is>
          <t>פיצוי 20% ₪</t>
        </is>
      </c>
      <c r="E1" s="17" t="inlineStr">
        <is>
          <t>תוספת 40% ₪</t>
        </is>
      </c>
      <c r="F1" s="17" t="inlineStr">
        <is>
          <t>סה"כ כולל ₪</t>
        </is>
      </c>
    </row>
    <row r="2">
      <c r="A2" t="n">
        <v>203</v>
      </c>
      <c r="B2" t="inlineStr">
        <is>
          <t>09/02/2025</t>
        </is>
      </c>
      <c r="C2" s="28" t="n">
        <v>48622</v>
      </c>
      <c r="D2" s="28" t="n">
        <v>8587</v>
      </c>
      <c r="E2" s="28" t="n">
        <v>0</v>
      </c>
      <c r="F2" s="28" t="n">
        <v>57209</v>
      </c>
    </row>
    <row r="3">
      <c r="A3" t="n">
        <v>204</v>
      </c>
      <c r="B3" t="inlineStr">
        <is>
          <t>09/02/2025</t>
        </is>
      </c>
      <c r="C3" s="28" t="n">
        <v>581</v>
      </c>
      <c r="D3" s="28" t="n">
        <v>0</v>
      </c>
      <c r="E3" s="28" t="n">
        <v>0</v>
      </c>
      <c r="F3" s="28" t="n">
        <v>581</v>
      </c>
    </row>
    <row r="4">
      <c r="A4" t="n">
        <v>408</v>
      </c>
      <c r="B4" t="inlineStr">
        <is>
          <t>23/04/2025</t>
        </is>
      </c>
      <c r="C4" s="28" t="n">
        <v>25634</v>
      </c>
      <c r="D4" s="28" t="n">
        <v>4516</v>
      </c>
      <c r="E4" s="28" t="n">
        <v>0</v>
      </c>
      <c r="F4" s="28" t="n">
        <v>30150</v>
      </c>
    </row>
    <row r="5">
      <c r="A5" t="n">
        <v>410</v>
      </c>
      <c r="B5" t="inlineStr">
        <is>
          <t>28/04/2025</t>
        </is>
      </c>
      <c r="C5" s="28" t="n">
        <v>0</v>
      </c>
      <c r="D5" s="28" t="n">
        <v>0</v>
      </c>
      <c r="E5" s="28" t="n">
        <v>2090</v>
      </c>
      <c r="F5" s="28" t="n">
        <v>2090</v>
      </c>
    </row>
    <row r="6">
      <c r="A6" t="n">
        <v>510</v>
      </c>
      <c r="B6" t="inlineStr">
        <is>
          <t>23/05/2025</t>
        </is>
      </c>
      <c r="C6" s="28" t="n">
        <v>0</v>
      </c>
      <c r="D6" s="28" t="n">
        <v>0</v>
      </c>
      <c r="E6" s="28" t="n">
        <v>18307</v>
      </c>
      <c r="F6" s="28" t="n">
        <v>18307</v>
      </c>
    </row>
    <row r="7">
      <c r="A7" t="n">
        <v>610</v>
      </c>
      <c r="B7" t="inlineStr">
        <is>
          <t>26/06/2025</t>
        </is>
      </c>
      <c r="C7" s="28" t="n">
        <v>0</v>
      </c>
      <c r="D7" s="28" t="n">
        <v>0</v>
      </c>
      <c r="E7" s="28" t="n">
        <v>1999</v>
      </c>
      <c r="F7" s="28" t="n">
        <v>1999</v>
      </c>
    </row>
    <row r="8">
      <c r="A8" t="n">
        <v>802</v>
      </c>
      <c r="B8" t="inlineStr">
        <is>
          <t>08/08/2025</t>
        </is>
      </c>
      <c r="C8" s="28" t="n">
        <v>110659</v>
      </c>
      <c r="D8" s="28" t="n">
        <v>21353</v>
      </c>
      <c r="E8" s="28" t="n">
        <v>0</v>
      </c>
      <c r="F8" s="28" t="n">
        <v>132012</v>
      </c>
    </row>
    <row r="10">
      <c r="A10" s="29" t="inlineStr">
        <is>
          <t>סה"כ:</t>
        </is>
      </c>
      <c r="C10" s="21" t="n">
        <v>185496</v>
      </c>
      <c r="D10" s="21" t="n">
        <v>34456</v>
      </c>
      <c r="E10" s="21" t="n">
        <v>22396</v>
      </c>
      <c r="F10" s="21" t="n">
        <v>242348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6" customWidth="1" min="5" max="5"/>
    <col width="20" customWidth="1" min="6" max="6"/>
    <col width="30" customWidth="1" min="7" max="7"/>
  </cols>
  <sheetData>
    <row r="1" ht="25" customHeight="1">
      <c r="A1" s="30" t="inlineStr">
        <is>
          <t>📈 היסטוריית שכר - מעקב אחר שינויי תעריפים</t>
        </is>
      </c>
    </row>
    <row r="2" ht="20" customHeight="1">
      <c r="A2" s="31" t="inlineStr">
        <is>
          <t>💡 כל שינוי בתעריף יומי מתועד כאן. המערכת תשתמש בתעריף הנכון לפי תאריך השירות.</t>
        </is>
      </c>
    </row>
    <row r="3" ht="5" customHeight="1"/>
    <row r="4" ht="25" customHeight="1">
      <c r="A4" s="10" t="inlineStr">
        <is>
          <t>ת.ז.</t>
        </is>
      </c>
      <c r="B4" s="10" t="inlineStr">
        <is>
          <t>שם מלא</t>
        </is>
      </c>
      <c r="C4" s="10" t="inlineStr">
        <is>
          <t>תעריף יומי ₪</t>
        </is>
      </c>
      <c r="D4" s="10" t="inlineStr">
        <is>
          <t>תקף מתאריך</t>
        </is>
      </c>
      <c r="E4" s="10" t="inlineStr">
        <is>
          <t>תקף עד תאריך</t>
        </is>
      </c>
      <c r="F4" s="10" t="inlineStr">
        <is>
          <t>סוג שינוי</t>
        </is>
      </c>
      <c r="G4" s="10" t="inlineStr">
        <is>
          <t>הערות</t>
        </is>
      </c>
    </row>
    <row r="5">
      <c r="A5" s="3" t="inlineStr">
        <is>
          <t>28027738</t>
        </is>
      </c>
      <c r="B5" s="3" t="inlineStr">
        <is>
          <t>אייל מלח</t>
        </is>
      </c>
      <c r="C5" s="18" t="n">
        <v>735</v>
      </c>
      <c r="D5" s="3" t="inlineStr">
        <is>
          <t>01/01/2024</t>
        </is>
      </c>
      <c r="E5" s="3" t="inlineStr">
        <is>
          <t>31/08/2024</t>
        </is>
      </c>
      <c r="F5" s="3" t="inlineStr">
        <is>
          <t>תעריף ראשוני</t>
        </is>
      </c>
      <c r="G5" s="3" t="inlineStr">
        <is>
          <t>לפני העלאה</t>
        </is>
      </c>
    </row>
    <row r="6">
      <c r="A6" s="32" t="inlineStr">
        <is>
          <t>28027738</t>
        </is>
      </c>
      <c r="B6" s="32" t="inlineStr">
        <is>
          <t>אייל מלח</t>
        </is>
      </c>
      <c r="C6" s="33" t="n">
        <v>850</v>
      </c>
      <c r="D6" s="32" t="inlineStr">
        <is>
          <t>01/09/2024</t>
        </is>
      </c>
      <c r="E6" s="32" t="inlineStr"/>
      <c r="F6" s="34" t="inlineStr">
        <is>
          <t>🔺 העלאת שכר</t>
        </is>
      </c>
      <c r="G6" s="32" t="inlineStr">
        <is>
          <t>שינוי מספטמבר 2024</t>
        </is>
      </c>
    </row>
    <row r="7">
      <c r="A7" s="3" t="inlineStr">
        <is>
          <t>11915519</t>
        </is>
      </c>
      <c r="B7" s="3" t="inlineStr">
        <is>
          <t>מנפרד מרקוביץ'</t>
        </is>
      </c>
      <c r="C7" s="18" t="n">
        <v>891</v>
      </c>
      <c r="D7" s="3" t="inlineStr">
        <is>
          <t>01/01/2024</t>
        </is>
      </c>
      <c r="E7" s="3" t="inlineStr"/>
      <c r="F7" s="3" t="inlineStr">
        <is>
          <t>תעריף נוכחי</t>
        </is>
      </c>
      <c r="G7" s="3" t="inlineStr"/>
    </row>
    <row r="8">
      <c r="A8" s="3" t="inlineStr">
        <is>
          <t>22201347</t>
        </is>
      </c>
      <c r="B8" s="3" t="inlineStr">
        <is>
          <t>שלמה יורם</t>
        </is>
      </c>
      <c r="C8" s="18" t="n">
        <v>1254</v>
      </c>
      <c r="D8" s="3" t="inlineStr">
        <is>
          <t>01/01/2024</t>
        </is>
      </c>
      <c r="E8" s="3" t="inlineStr"/>
      <c r="F8" s="3" t="inlineStr">
        <is>
          <t>תעריף נוכחי</t>
        </is>
      </c>
      <c r="G8" s="3" t="inlineStr"/>
    </row>
    <row r="9">
      <c r="A9" s="3" t="inlineStr">
        <is>
          <t>25147505</t>
        </is>
      </c>
      <c r="B9" s="3" t="inlineStr">
        <is>
          <t>משה בורך</t>
        </is>
      </c>
      <c r="C9" s="18" t="n">
        <v>805</v>
      </c>
      <c r="D9" s="3" t="inlineStr">
        <is>
          <t>01/01/2024</t>
        </is>
      </c>
      <c r="E9" s="3" t="inlineStr"/>
      <c r="F9" s="3" t="inlineStr">
        <is>
          <t>תעריף נוכחי</t>
        </is>
      </c>
      <c r="G9" s="3" t="inlineStr"/>
    </row>
    <row r="10">
      <c r="A10" s="3" t="inlineStr">
        <is>
          <t>25155235</t>
        </is>
      </c>
      <c r="B10" s="3" t="inlineStr">
        <is>
          <t>נתן פרדר</t>
        </is>
      </c>
      <c r="C10" s="18" t="n">
        <v>2361</v>
      </c>
      <c r="D10" s="3" t="inlineStr">
        <is>
          <t>01/01/2024</t>
        </is>
      </c>
      <c r="E10" s="3" t="inlineStr"/>
      <c r="F10" s="3" t="inlineStr">
        <is>
          <t>תעריף נוכחי</t>
        </is>
      </c>
      <c r="G10" s="3" t="inlineStr"/>
    </row>
    <row r="11">
      <c r="A11" s="3" t="inlineStr">
        <is>
          <t>203661004</t>
        </is>
      </c>
      <c r="B11" s="3" t="inlineStr">
        <is>
          <t>אריאל אליה</t>
        </is>
      </c>
      <c r="C11" s="18" t="n">
        <v>1157</v>
      </c>
      <c r="D11" s="3" t="inlineStr">
        <is>
          <t>01/01/2024</t>
        </is>
      </c>
      <c r="E11" s="3" t="inlineStr"/>
      <c r="F11" s="3" t="inlineStr">
        <is>
          <t>תעריף נוכחי</t>
        </is>
      </c>
      <c r="G11" s="3" t="inlineStr"/>
    </row>
    <row r="12">
      <c r="A12" s="3" t="inlineStr">
        <is>
          <t>308280510</t>
        </is>
      </c>
      <c r="B12" s="3" t="inlineStr">
        <is>
          <t>דור לוי</t>
        </is>
      </c>
      <c r="C12" s="18" t="n">
        <v>663</v>
      </c>
      <c r="D12" s="3" t="inlineStr">
        <is>
          <t>01/01/2024</t>
        </is>
      </c>
      <c r="E12" s="3" t="inlineStr"/>
      <c r="F12" s="3" t="inlineStr">
        <is>
          <t>תעריף נוכחי</t>
        </is>
      </c>
      <c r="G12" s="3" t="inlineStr"/>
    </row>
    <row r="13">
      <c r="A13" s="3" t="inlineStr">
        <is>
          <t>315919936</t>
        </is>
      </c>
      <c r="B13" s="3" t="inlineStr">
        <is>
          <t>דניאל בנדרימר</t>
        </is>
      </c>
      <c r="C13" s="18" t="n">
        <v>510</v>
      </c>
      <c r="D13" s="3" t="inlineStr">
        <is>
          <t>01/01/2024</t>
        </is>
      </c>
      <c r="E13" s="3" t="inlineStr"/>
      <c r="F13" s="3" t="inlineStr">
        <is>
          <t>תעריף נוכחי</t>
        </is>
      </c>
      <c r="G13" s="3" t="inlineStr"/>
    </row>
    <row r="15">
      <c r="A15" s="3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2" t="inlineStr">
        <is>
          <t>סה"כ צפוי מב"ל</t>
        </is>
      </c>
      <c r="Q1" s="2" t="inlineStr">
        <is>
          <t>סטטוס</t>
        </is>
      </c>
      <c r="S1" s="37" t="inlineStr">
        <is>
          <t>תאריך הגשה לביטוח לאומי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>
        <f>VLOOKUP(B2,'1️⃣ רשימת עובדים'!$D$3:$G$100,4,FALSE)</f>
        <v/>
      </c>
      <c r="M2" s="3">
        <f>H2*L2</f>
        <v/>
      </c>
      <c r="N2" s="3">
        <f>(I2+J2+K2)*L2</f>
        <v/>
      </c>
      <c r="O2" s="3">
        <f>M2*0.2</f>
        <v/>
      </c>
      <c r="P2" s="3">
        <f>N2+O2</f>
        <v/>
      </c>
      <c r="Q2" s="4" t="inlineStr">
        <is>
          <t>ממתין לתקבול</t>
        </is>
      </c>
      <c r="R2" s="36" t="inlineStr">
        <is>
          <t>תאריך הגשה לביטוח לאומי</t>
        </is>
      </c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>
        <f>VLOOKUP(B3,'1️⃣ רשימת עובדים'!$D$3:$G$100,4,FALSE)</f>
        <v/>
      </c>
      <c r="M3" s="3">
        <f>H3*L3</f>
        <v/>
      </c>
      <c r="N3" s="3">
        <f>(I3+J3+K3)*L3</f>
        <v/>
      </c>
      <c r="O3" s="3">
        <f>M3*0.2</f>
        <v/>
      </c>
      <c r="P3" s="3">
        <f>N3+O3</f>
        <v/>
      </c>
      <c r="Q3" s="4" t="inlineStr">
        <is>
          <t>ממתין לתקבול</t>
        </is>
      </c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>
        <f>VLOOKUP(B4,'1️⃣ רשימת עובדים'!$D$3:$G$100,4,FALSE)</f>
        <v/>
      </c>
      <c r="M4" s="3">
        <f>H4*L4</f>
        <v/>
      </c>
      <c r="N4" s="3">
        <f>(I4+J4+K4)*L4</f>
        <v/>
      </c>
      <c r="O4" s="3">
        <f>M4*0.2</f>
        <v/>
      </c>
      <c r="P4" s="3">
        <f>N4+O4</f>
        <v/>
      </c>
      <c r="Q4" s="4" t="inlineStr">
        <is>
          <t>ממתין לתקבול</t>
        </is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>
        <f>VLOOKUP(B5,'1️⃣ רשימת עובדים'!$D$3:$G$100,4,FALSE)</f>
        <v/>
      </c>
      <c r="M5" s="3">
        <f>H5*L5</f>
        <v/>
      </c>
      <c r="N5" s="3">
        <f>(I5+J5+K5)*L5</f>
        <v/>
      </c>
      <c r="O5" s="3">
        <f>M5*0.2</f>
        <v/>
      </c>
      <c r="P5" s="3">
        <f>N5+O5</f>
        <v/>
      </c>
      <c r="Q5" s="4" t="inlineStr">
        <is>
          <t>ממתין לתקבול</t>
        </is>
      </c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>
        <f>VLOOKUP(B6,'1️⃣ רשימת עובדים'!$D$3:$G$100,4,FALSE)</f>
        <v/>
      </c>
      <c r="M6" s="3">
        <f>H6*L6</f>
        <v/>
      </c>
      <c r="N6" s="3">
        <f>(I6+J6+K6)*L6</f>
        <v/>
      </c>
      <c r="O6" s="3">
        <f>M6*0.2</f>
        <v/>
      </c>
      <c r="P6" s="3">
        <f>N6+O6</f>
        <v/>
      </c>
      <c r="Q6" s="4" t="inlineStr">
        <is>
          <t>ממתין לתקבול</t>
        </is>
      </c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>
        <f>VLOOKUP(B7,'1️⃣ רשימת עובדים'!$D$3:$G$100,4,FALSE)</f>
        <v/>
      </c>
      <c r="M7" s="3">
        <f>H7*L7</f>
        <v/>
      </c>
      <c r="N7" s="3">
        <f>(I7+J7+K7)*L7</f>
        <v/>
      </c>
      <c r="O7" s="3">
        <f>M7*0.2</f>
        <v/>
      </c>
      <c r="P7" s="3">
        <f>N7+O7</f>
        <v/>
      </c>
      <c r="Q7" s="4" t="inlineStr">
        <is>
          <t>ממתין לתקבול</t>
        </is>
      </c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>
        <f>VLOOKUP(B8,'1️⃣ רשימת עובדים'!$D$3:$G$100,4,FALSE)</f>
        <v/>
      </c>
      <c r="M8" s="3">
        <f>H8*L8</f>
        <v/>
      </c>
      <c r="N8" s="3">
        <f>(I8+J8+K8)*L8</f>
        <v/>
      </c>
      <c r="O8" s="3">
        <f>M8*0.2</f>
        <v/>
      </c>
      <c r="P8" s="3">
        <f>N8+O8</f>
        <v/>
      </c>
      <c r="Q8" s="4" t="inlineStr">
        <is>
          <t>ממתין לתקבול</t>
        </is>
      </c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>
        <f>VLOOKUP(B9,'1️⃣ רשימת עובדים'!$D$3:$G$100,4,FALSE)</f>
        <v/>
      </c>
      <c r="M9" s="3">
        <f>H9*L9</f>
        <v/>
      </c>
      <c r="N9" s="3">
        <f>(I9+J9+K9)*L9</f>
        <v/>
      </c>
      <c r="O9" s="3">
        <f>M9*0.2</f>
        <v/>
      </c>
      <c r="P9" s="3">
        <f>N9+O9</f>
        <v/>
      </c>
      <c r="Q9" s="4" t="inlineStr">
        <is>
          <t>ממתין לתקבול</t>
        </is>
      </c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>
        <f>VLOOKUP(B10,'1️⃣ רשימת עובדים'!$D$3:$G$100,4,FALSE)</f>
        <v/>
      </c>
      <c r="M10" s="3">
        <f>H10*L10</f>
        <v/>
      </c>
      <c r="N10" s="3">
        <f>(I10+J10+K10)*L10</f>
        <v/>
      </c>
      <c r="O10" s="3">
        <f>M10*0.2</f>
        <v/>
      </c>
      <c r="P10" s="3">
        <f>N10+O10</f>
        <v/>
      </c>
      <c r="Q10" s="4" t="inlineStr">
        <is>
          <t>ממתין לתקבול</t>
        </is>
      </c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>
        <f>VLOOKUP(B11,'1️⃣ רשימת עובדים'!$D$3:$G$100,4,FALSE)</f>
        <v/>
      </c>
      <c r="M11" s="3">
        <f>H11*L11</f>
        <v/>
      </c>
      <c r="N11" s="3">
        <f>(I11+J11+K11)*L11</f>
        <v/>
      </c>
      <c r="O11" s="3">
        <f>M11*0.2</f>
        <v/>
      </c>
      <c r="P11" s="3">
        <f>N11+O11</f>
        <v/>
      </c>
      <c r="Q11" s="4" t="inlineStr">
        <is>
          <t>ממתין לתקבול</t>
        </is>
      </c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>
        <f>VLOOKUP(B12,'1️⃣ רשימת עובדים'!$D$3:$G$100,4,FALSE)</f>
        <v/>
      </c>
      <c r="M12" s="3">
        <f>H12*L12</f>
        <v/>
      </c>
      <c r="N12" s="3">
        <f>(I12+J12+K12)*L12</f>
        <v/>
      </c>
      <c r="O12" s="3">
        <f>M12*0.2</f>
        <v/>
      </c>
      <c r="P12" s="3">
        <f>N12+O12</f>
        <v/>
      </c>
      <c r="Q12" s="4" t="inlineStr">
        <is>
          <t>ממתין לתקבול</t>
        </is>
      </c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>
        <f>VLOOKUP(B13,'1️⃣ רשימת עובדים'!$D$3:$G$100,4,FALSE)</f>
        <v/>
      </c>
      <c r="M13" s="3">
        <f>H13*L13</f>
        <v/>
      </c>
      <c r="N13" s="3">
        <f>(I13+J13+K13)*L13</f>
        <v/>
      </c>
      <c r="O13" s="3">
        <f>M13*0.2</f>
        <v/>
      </c>
      <c r="P13" s="3">
        <f>N13+O13</f>
        <v/>
      </c>
      <c r="Q13" s="4" t="inlineStr">
        <is>
          <t>ממתין לתקבול</t>
        </is>
      </c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>
        <f>VLOOKUP(B14,'1️⃣ רשימת עובדים'!$D$3:$G$100,4,FALSE)</f>
        <v/>
      </c>
      <c r="M14" s="3">
        <f>H14*L14</f>
        <v/>
      </c>
      <c r="N14" s="3">
        <f>(I14+J14+K14)*L14</f>
        <v/>
      </c>
      <c r="O14" s="3">
        <f>M14*0.2</f>
        <v/>
      </c>
      <c r="P14" s="3">
        <f>N14+O14</f>
        <v/>
      </c>
      <c r="Q14" s="4" t="inlineStr">
        <is>
          <t>ממתין לתקבול</t>
        </is>
      </c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>
        <f>VLOOKUP(B15,'1️⃣ רשימת עובדים'!$D$3:$G$100,4,FALSE)</f>
        <v/>
      </c>
      <c r="M15" s="3">
        <f>H15*L15</f>
        <v/>
      </c>
      <c r="N15" s="3">
        <f>(I15+J15+K15)*L15</f>
        <v/>
      </c>
      <c r="O15" s="3">
        <f>M15*0.2</f>
        <v/>
      </c>
      <c r="P15" s="3">
        <f>N15+O15</f>
        <v/>
      </c>
      <c r="Q15" s="4" t="inlineStr">
        <is>
          <t>ממתין לתקבול</t>
        </is>
      </c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>
        <f>VLOOKUP(B16,'1️⃣ רשימת עובדים'!$D$3:$G$100,4,FALSE)</f>
        <v/>
      </c>
      <c r="M16" s="3">
        <f>H16*L16</f>
        <v/>
      </c>
      <c r="N16" s="3">
        <f>(I16+J16+K16)*L16</f>
        <v/>
      </c>
      <c r="O16" s="3">
        <f>M16*0.2</f>
        <v/>
      </c>
      <c r="P16" s="3">
        <f>N16+O16</f>
        <v/>
      </c>
      <c r="Q16" s="4" t="inlineStr">
        <is>
          <t>ממתין לתקבול</t>
        </is>
      </c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>
        <f>VLOOKUP(B17,'1️⃣ רשימת עובדים'!$D$3:$G$100,4,FALSE)</f>
        <v/>
      </c>
      <c r="M17" s="3">
        <f>H17*L17</f>
        <v/>
      </c>
      <c r="N17" s="3">
        <f>(I17+J17+K17)*L17</f>
        <v/>
      </c>
      <c r="O17" s="3">
        <f>M17*0.2</f>
        <v/>
      </c>
      <c r="P17" s="3">
        <f>N17+O17</f>
        <v/>
      </c>
      <c r="Q17" s="4" t="inlineStr">
        <is>
          <t>ממתין לתקבול</t>
        </is>
      </c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>
        <f>VLOOKUP(B18,'1️⃣ רשימת עובדים'!$D$3:$G$100,4,FALSE)</f>
        <v/>
      </c>
      <c r="M18" s="3">
        <f>H18*L18</f>
        <v/>
      </c>
      <c r="N18" s="3">
        <f>(I18+J18+K18)*L18</f>
        <v/>
      </c>
      <c r="O18" s="3">
        <f>M18*0.2</f>
        <v/>
      </c>
      <c r="P18" s="3">
        <f>N18+O18</f>
        <v/>
      </c>
      <c r="Q18" s="4" t="inlineStr">
        <is>
          <t>ממתין לתקבול</t>
        </is>
      </c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>
        <f>VLOOKUP(B19,'1️⃣ רשימת עובדים'!$D$3:$G$100,4,FALSE)</f>
        <v/>
      </c>
      <c r="M19" s="3">
        <f>H19*L19</f>
        <v/>
      </c>
      <c r="N19" s="3">
        <f>(I19+J19+K19)*L19</f>
        <v/>
      </c>
      <c r="O19" s="3">
        <f>M19*0.2</f>
        <v/>
      </c>
      <c r="P19" s="3">
        <f>N19+O19</f>
        <v/>
      </c>
      <c r="Q19" s="4" t="inlineStr">
        <is>
          <t>ממתין לתקבול</t>
        </is>
      </c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>
        <f>VLOOKUP(B20,'1️⃣ רשימת עובדים'!$D$3:$G$100,4,FALSE)</f>
        <v/>
      </c>
      <c r="M20" s="3">
        <f>H20*L20</f>
        <v/>
      </c>
      <c r="N20" s="3">
        <f>(I20+J20+K20)*L20</f>
        <v/>
      </c>
      <c r="O20" s="3">
        <f>M20*0.2</f>
        <v/>
      </c>
      <c r="P20" s="3">
        <f>N20+O20</f>
        <v/>
      </c>
      <c r="Q20" s="4" t="inlineStr">
        <is>
          <t>ממתין לתקבול</t>
        </is>
      </c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>
        <f>VLOOKUP(B21,'1️⃣ רשימת עובדים'!$D$3:$G$100,4,FALSE)</f>
        <v/>
      </c>
      <c r="M21" s="3">
        <f>H21*L21</f>
        <v/>
      </c>
      <c r="N21" s="3">
        <f>(I21+J21+K21)*L21</f>
        <v/>
      </c>
      <c r="O21" s="3">
        <f>M21*0.2</f>
        <v/>
      </c>
      <c r="P21" s="3">
        <f>N21+O21</f>
        <v/>
      </c>
      <c r="Q21" s="4" t="inlineStr">
        <is>
          <t>ממתין לתקבול</t>
        </is>
      </c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>
        <f>VLOOKUP(B22,'1️⃣ רשימת עובדים'!$D$3:$G$100,4,FALSE)</f>
        <v/>
      </c>
      <c r="M22" s="3">
        <f>H22*L22</f>
        <v/>
      </c>
      <c r="N22" s="3">
        <f>(I22+J22+K22)*L22</f>
        <v/>
      </c>
      <c r="O22" s="3">
        <f>M22*0.2</f>
        <v/>
      </c>
      <c r="P22" s="3">
        <f>N22+O22</f>
        <v/>
      </c>
      <c r="Q22" s="4" t="inlineStr">
        <is>
          <t>ממתין לתקבול</t>
        </is>
      </c>
    </row>
    <row r="23">
      <c r="A23" s="3" t="inlineStr">
        <is>
          <t>P0022</t>
        </is>
      </c>
      <c r="B23" s="3" t="inlineStr">
        <is>
          <t xml:space="preserve">חיים  ראש 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>
        <f>VLOOKUP(B23,'1️⃣ רשימת עובדים'!$D$3:$G$100,4,FALSE)</f>
        <v/>
      </c>
      <c r="M23" s="3">
        <f>H23*L23</f>
        <v/>
      </c>
      <c r="N23" s="3">
        <f>(I23+J23+K23)*L23</f>
        <v/>
      </c>
      <c r="O23" s="3">
        <f>M23*0.2</f>
        <v/>
      </c>
      <c r="P23" s="3">
        <f>N23+O23</f>
        <v/>
      </c>
      <c r="Q23" s="4" t="inlineStr">
        <is>
          <t>ממתין לתקבול</t>
        </is>
      </c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>
        <f>VLOOKUP(B24,'1️⃣ רשימת עובדים'!$D$3:$G$100,4,FALSE)</f>
        <v/>
      </c>
      <c r="M24" s="3">
        <f>H24*L24</f>
        <v/>
      </c>
      <c r="N24" s="3">
        <f>(I24+J24+K24)*L24</f>
        <v/>
      </c>
      <c r="O24" s="3">
        <f>M24*0.2</f>
        <v/>
      </c>
      <c r="P24" s="3">
        <f>N24+O24</f>
        <v/>
      </c>
      <c r="Q24" s="4" t="inlineStr">
        <is>
          <t>ממתין לתקבול</t>
        </is>
      </c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>
        <f>VLOOKUP(B25,'1️⃣ רשימת עובדים'!$D$3:$G$100,4,FALSE)</f>
        <v/>
      </c>
      <c r="M25" s="3">
        <f>H25*L25</f>
        <v/>
      </c>
      <c r="N25" s="3">
        <f>(I25+J25+K25)*L25</f>
        <v/>
      </c>
      <c r="O25" s="3">
        <f>M25*0.2</f>
        <v/>
      </c>
      <c r="P25" s="3">
        <f>N25+O25</f>
        <v/>
      </c>
      <c r="Q25" s="4" t="inlineStr">
        <is>
          <t>ממתין לתקבול</t>
        </is>
      </c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>
        <f>VLOOKUP(B26,'1️⃣ רשימת עובדים'!$D$3:$G$100,4,FALSE)</f>
        <v/>
      </c>
      <c r="M26" s="3">
        <f>H26*L26</f>
        <v/>
      </c>
      <c r="N26" s="3">
        <f>(I26+J26+K26)*L26</f>
        <v/>
      </c>
      <c r="O26" s="3">
        <f>M26*0.2</f>
        <v/>
      </c>
      <c r="P26" s="3">
        <f>N26+O26</f>
        <v/>
      </c>
      <c r="Q26" s="4" t="inlineStr">
        <is>
          <t>ממתין לתקבול</t>
        </is>
      </c>
    </row>
    <row r="27">
      <c r="A27" s="3" t="inlineStr">
        <is>
          <t>P0026</t>
        </is>
      </c>
      <c r="B27" s="3" t="inlineStr">
        <is>
          <t>יורם 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>
        <f>VLOOKUP(B27,'1️⃣ רשימת עובדים'!$D$3:$G$100,4,FALSE)</f>
        <v/>
      </c>
      <c r="M27" s="3">
        <f>H27*L27</f>
        <v/>
      </c>
      <c r="N27" s="3">
        <f>(I27+J27+K27)*L27</f>
        <v/>
      </c>
      <c r="O27" s="3">
        <f>M27*0.2</f>
        <v/>
      </c>
      <c r="P27" s="3">
        <f>N27+O27</f>
        <v/>
      </c>
      <c r="Q27" s="4" t="inlineStr">
        <is>
          <t>ממתין לתקבול</t>
        </is>
      </c>
    </row>
    <row r="28">
      <c r="A28" s="3" t="inlineStr">
        <is>
          <t>P0027</t>
        </is>
      </c>
      <c r="B28" s="3" t="inlineStr">
        <is>
          <t>יורם 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>
        <f>VLOOKUP(B28,'1️⃣ רשימת עובדים'!$D$3:$G$100,4,FALSE)</f>
        <v/>
      </c>
      <c r="M28" s="3">
        <f>H28*L28</f>
        <v/>
      </c>
      <c r="N28" s="3">
        <f>(I28+J28+K28)*L28</f>
        <v/>
      </c>
      <c r="O28" s="3">
        <f>M28*0.2</f>
        <v/>
      </c>
      <c r="P28" s="3">
        <f>N28+O28</f>
        <v/>
      </c>
      <c r="Q28" s="4" t="inlineStr">
        <is>
          <t>ממתין לתקבול</t>
        </is>
      </c>
    </row>
    <row r="29">
      <c r="A29" s="3" t="inlineStr">
        <is>
          <t>P0028</t>
        </is>
      </c>
      <c r="B29" s="3" t="inlineStr">
        <is>
          <t>יורם 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>
        <f>VLOOKUP(B29,'1️⃣ רשימת עובדים'!$D$3:$G$100,4,FALSE)</f>
        <v/>
      </c>
      <c r="M29" s="3">
        <f>H29*L29</f>
        <v/>
      </c>
      <c r="N29" s="3">
        <f>(I29+J29+K29)*L29</f>
        <v/>
      </c>
      <c r="O29" s="3">
        <f>M29*0.2</f>
        <v/>
      </c>
      <c r="P29" s="3">
        <f>N29+O29</f>
        <v/>
      </c>
      <c r="Q29" s="4" t="inlineStr">
        <is>
          <t>ממתין לתקבול</t>
        </is>
      </c>
    </row>
    <row r="30">
      <c r="A30" s="3" t="inlineStr">
        <is>
          <t>P0029</t>
        </is>
      </c>
      <c r="B30" s="3" t="inlineStr">
        <is>
          <t>יורם 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>
        <f>VLOOKUP(B30,'1️⃣ רשימת עובדים'!$D$3:$G$100,4,FALSE)</f>
        <v/>
      </c>
      <c r="M30" s="3">
        <f>H30*L30</f>
        <v/>
      </c>
      <c r="N30" s="3">
        <f>(I30+J30+K30)*L30</f>
        <v/>
      </c>
      <c r="O30" s="3">
        <f>M30*0.2</f>
        <v/>
      </c>
      <c r="P30" s="3">
        <f>N30+O30</f>
        <v/>
      </c>
      <c r="Q30" s="4" t="inlineStr">
        <is>
          <t>ממתין לתקבול</t>
        </is>
      </c>
    </row>
    <row r="31">
      <c r="A31" s="3" t="inlineStr">
        <is>
          <t>P0030</t>
        </is>
      </c>
      <c r="B31" s="3" t="inlineStr">
        <is>
          <t>יורם 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>
        <f>VLOOKUP(B31,'1️⃣ רשימת עובדים'!$D$3:$G$100,4,FALSE)</f>
        <v/>
      </c>
      <c r="M31" s="3">
        <f>H31*L31</f>
        <v/>
      </c>
      <c r="N31" s="3">
        <f>(I31+J31+K31)*L31</f>
        <v/>
      </c>
      <c r="O31" s="3">
        <f>M31*0.2</f>
        <v/>
      </c>
      <c r="P31" s="3">
        <f>N31+O31</f>
        <v/>
      </c>
      <c r="Q31" s="4" t="inlineStr">
        <is>
          <t>ממתין לתקבול</t>
        </is>
      </c>
    </row>
    <row r="32">
      <c r="A32" s="3" t="inlineStr">
        <is>
          <t>P0031</t>
        </is>
      </c>
      <c r="B32" s="3" t="inlineStr">
        <is>
          <t>יורם 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>
        <f>VLOOKUP(B32,'1️⃣ רשימת עובדים'!$D$3:$G$100,4,FALSE)</f>
        <v/>
      </c>
      <c r="M32" s="3">
        <f>H32*L32</f>
        <v/>
      </c>
      <c r="N32" s="3">
        <f>(I32+J32+K32)*L32</f>
        <v/>
      </c>
      <c r="O32" s="3">
        <f>M32*0.2</f>
        <v/>
      </c>
      <c r="P32" s="3">
        <f>N32+O32</f>
        <v/>
      </c>
      <c r="Q32" s="4" t="inlineStr">
        <is>
          <t>ממתין לתקבול</t>
        </is>
      </c>
    </row>
    <row r="33">
      <c r="A33" s="3" t="inlineStr">
        <is>
          <t>P0032</t>
        </is>
      </c>
      <c r="B33" s="3" t="inlineStr">
        <is>
          <t>יורם 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>
        <f>VLOOKUP(B33,'1️⃣ רשימת עובדים'!$D$3:$G$100,4,FALSE)</f>
        <v/>
      </c>
      <c r="M33" s="3">
        <f>H33*L33</f>
        <v/>
      </c>
      <c r="N33" s="3">
        <f>(I33+J33+K33)*L33</f>
        <v/>
      </c>
      <c r="O33" s="3">
        <f>M33*0.2</f>
        <v/>
      </c>
      <c r="P33" s="3">
        <f>N33+O33</f>
        <v/>
      </c>
      <c r="Q33" s="4" t="inlineStr">
        <is>
          <t>ממתין לתקבול</t>
        </is>
      </c>
    </row>
    <row r="34">
      <c r="A34" s="3" t="inlineStr">
        <is>
          <t>P0033</t>
        </is>
      </c>
      <c r="B34" s="3" t="inlineStr">
        <is>
          <t>יורם 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>
        <f>VLOOKUP(B34,'1️⃣ רשימת עובדים'!$D$3:$G$100,4,FALSE)</f>
        <v/>
      </c>
      <c r="M34" s="3">
        <f>H34*L34</f>
        <v/>
      </c>
      <c r="N34" s="3">
        <f>(I34+J34+K34)*L34</f>
        <v/>
      </c>
      <c r="O34" s="3">
        <f>M34*0.2</f>
        <v/>
      </c>
      <c r="P34" s="3">
        <f>N34+O34</f>
        <v/>
      </c>
      <c r="Q34" s="4" t="inlineStr">
        <is>
          <t>ממתין לתקבול</t>
        </is>
      </c>
    </row>
    <row r="35">
      <c r="A35" s="3" t="inlineStr">
        <is>
          <t>P0034</t>
        </is>
      </c>
      <c r="B35" s="3" t="inlineStr">
        <is>
          <t>יורם 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>
        <f>VLOOKUP(B35,'1️⃣ רשימת עובדים'!$D$3:$G$100,4,FALSE)</f>
        <v/>
      </c>
      <c r="M35" s="3">
        <f>H35*L35</f>
        <v/>
      </c>
      <c r="N35" s="3">
        <f>(I35+J35+K35)*L35</f>
        <v/>
      </c>
      <c r="O35" s="3">
        <f>M35*0.2</f>
        <v/>
      </c>
      <c r="P35" s="3">
        <f>N35+O35</f>
        <v/>
      </c>
      <c r="Q35" s="4" t="inlineStr">
        <is>
          <t>ממתין לתקבול</t>
        </is>
      </c>
    </row>
    <row r="36">
      <c r="A36" s="3" t="inlineStr">
        <is>
          <t>P0035</t>
        </is>
      </c>
      <c r="B36" s="3" t="inlineStr">
        <is>
          <t>יורם 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>
        <f>VLOOKUP(B36,'1️⃣ רשימת עובדים'!$D$3:$G$100,4,FALSE)</f>
        <v/>
      </c>
      <c r="M36" s="3">
        <f>H36*L36</f>
        <v/>
      </c>
      <c r="N36" s="3">
        <f>(I36+J36+K36)*L36</f>
        <v/>
      </c>
      <c r="O36" s="3">
        <f>M36*0.2</f>
        <v/>
      </c>
      <c r="P36" s="3">
        <f>N36+O36</f>
        <v/>
      </c>
      <c r="Q36" s="4" t="inlineStr">
        <is>
          <t>ממתין לתקבול</t>
        </is>
      </c>
    </row>
    <row r="37">
      <c r="A37" s="3" t="inlineStr">
        <is>
          <t>P0036</t>
        </is>
      </c>
      <c r="B37" s="3" t="inlineStr">
        <is>
          <t>יורם 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>
        <f>VLOOKUP(B37,'1️⃣ רשימת עובדים'!$D$3:$G$100,4,FALSE)</f>
        <v/>
      </c>
      <c r="M37" s="3">
        <f>H37*L37</f>
        <v/>
      </c>
      <c r="N37" s="3">
        <f>(I37+J37+K37)*L37</f>
        <v/>
      </c>
      <c r="O37" s="3">
        <f>M37*0.2</f>
        <v/>
      </c>
      <c r="P37" s="3">
        <f>N37+O37</f>
        <v/>
      </c>
      <c r="Q37" s="4" t="inlineStr">
        <is>
          <t>ממתין לתקבול</t>
        </is>
      </c>
    </row>
    <row r="38">
      <c r="A38" s="3" t="inlineStr">
        <is>
          <t>P0037</t>
        </is>
      </c>
      <c r="B38" s="3" t="inlineStr">
        <is>
          <t>יורם 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>
        <f>VLOOKUP(B38,'1️⃣ רשימת עובדים'!$D$3:$G$100,4,FALSE)</f>
        <v/>
      </c>
      <c r="M38" s="3">
        <f>H38*L38</f>
        <v/>
      </c>
      <c r="N38" s="3">
        <f>(I38+J38+K38)*L38</f>
        <v/>
      </c>
      <c r="O38" s="3">
        <f>M38*0.2</f>
        <v/>
      </c>
      <c r="P38" s="3">
        <f>N38+O38</f>
        <v/>
      </c>
      <c r="Q38" s="4" t="inlineStr">
        <is>
          <t>ממתין לתקבול</t>
        </is>
      </c>
    </row>
    <row r="39">
      <c r="A39" s="3" t="inlineStr">
        <is>
          <t>P0038</t>
        </is>
      </c>
      <c r="B39" s="3" t="inlineStr">
        <is>
          <t>יורם 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>
        <f>VLOOKUP(B39,'1️⃣ רשימת עובדים'!$D$3:$G$100,4,FALSE)</f>
        <v/>
      </c>
      <c r="M39" s="3">
        <f>H39*L39</f>
        <v/>
      </c>
      <c r="N39" s="3">
        <f>(I39+J39+K39)*L39</f>
        <v/>
      </c>
      <c r="O39" s="3">
        <f>M39*0.2</f>
        <v/>
      </c>
      <c r="P39" s="3">
        <f>N39+O39</f>
        <v/>
      </c>
      <c r="Q39" s="4" t="inlineStr">
        <is>
          <t>ממתין לתקבול</t>
        </is>
      </c>
    </row>
    <row r="40">
      <c r="A40" s="3" t="inlineStr">
        <is>
          <t>P0039</t>
        </is>
      </c>
      <c r="B40" s="3" t="inlineStr">
        <is>
          <t>יורם 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>
        <f>VLOOKUP(B40,'1️⃣ רשימת עובדים'!$D$3:$G$100,4,FALSE)</f>
        <v/>
      </c>
      <c r="M40" s="3">
        <f>H40*L40</f>
        <v/>
      </c>
      <c r="N40" s="3">
        <f>(I40+J40+K40)*L40</f>
        <v/>
      </c>
      <c r="O40" s="3">
        <f>M40*0.2</f>
        <v/>
      </c>
      <c r="P40" s="3">
        <f>N40+O40</f>
        <v/>
      </c>
      <c r="Q40" s="4" t="inlineStr">
        <is>
          <t>ממתין לתקבול</t>
        </is>
      </c>
    </row>
    <row r="41">
      <c r="A41" s="3" t="inlineStr">
        <is>
          <t>P0040</t>
        </is>
      </c>
      <c r="B41" s="3" t="inlineStr">
        <is>
          <t>יורם 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>
        <f>VLOOKUP(B41,'1️⃣ רשימת עובדים'!$D$3:$G$100,4,FALSE)</f>
        <v/>
      </c>
      <c r="M41" s="3">
        <f>H41*L41</f>
        <v/>
      </c>
      <c r="N41" s="3">
        <f>(I41+J41+K41)*L41</f>
        <v/>
      </c>
      <c r="O41" s="3">
        <f>M41*0.2</f>
        <v/>
      </c>
      <c r="P41" s="3">
        <f>N41+O41</f>
        <v/>
      </c>
      <c r="Q41" s="4" t="inlineStr">
        <is>
          <t>ממתין לתקבול</t>
        </is>
      </c>
    </row>
    <row r="42">
      <c r="A42" s="3" t="inlineStr">
        <is>
          <t>P0041</t>
        </is>
      </c>
      <c r="B42" s="3" t="inlineStr">
        <is>
          <t>יורם 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>
        <f>VLOOKUP(B42,'1️⃣ רשימת עובדים'!$D$3:$G$100,4,FALSE)</f>
        <v/>
      </c>
      <c r="M42" s="3">
        <f>H42*L42</f>
        <v/>
      </c>
      <c r="N42" s="3">
        <f>(I42+J42+K42)*L42</f>
        <v/>
      </c>
      <c r="O42" s="3">
        <f>M42*0.2</f>
        <v/>
      </c>
      <c r="P42" s="3">
        <f>N42+O42</f>
        <v/>
      </c>
      <c r="Q42" s="4" t="inlineStr">
        <is>
          <t>ממתין לתקבול</t>
        </is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>
        <f>VLOOKUP(B43,'1️⃣ רשימת עובדים'!$D$3:$G$100,4,FALSE)</f>
        <v/>
      </c>
      <c r="M43" s="3">
        <f>H43*L43</f>
        <v/>
      </c>
      <c r="N43" s="3">
        <f>(I43+J43+K43)*L43</f>
        <v/>
      </c>
      <c r="O43" s="3">
        <f>M43*0.2</f>
        <v/>
      </c>
      <c r="P43" s="3">
        <f>N43+O43</f>
        <v/>
      </c>
      <c r="Q43" s="4" t="inlineStr">
        <is>
          <t>ממתין לתקבול</t>
        </is>
      </c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>
        <f>VLOOKUP(B44,'1️⃣ רשימת עובדים'!$D$3:$G$100,4,FALSE)</f>
        <v/>
      </c>
      <c r="M44" s="3">
        <f>H44*L44</f>
        <v/>
      </c>
      <c r="N44" s="3">
        <f>(I44+J44+K44)*L44</f>
        <v/>
      </c>
      <c r="O44" s="3">
        <f>M44*0.2</f>
        <v/>
      </c>
      <c r="P44" s="3">
        <f>N44+O44</f>
        <v/>
      </c>
      <c r="Q44" s="4" t="inlineStr">
        <is>
          <t>ממתין לתקבול</t>
        </is>
      </c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>
        <f>VLOOKUP(B45,'1️⃣ רשימת עובדים'!$D$3:$G$100,4,FALSE)</f>
        <v/>
      </c>
      <c r="M45" s="3">
        <f>H45*L45</f>
        <v/>
      </c>
      <c r="N45" s="3">
        <f>(I45+J45+K45)*L45</f>
        <v/>
      </c>
      <c r="O45" s="3">
        <f>M45*0.2</f>
        <v/>
      </c>
      <c r="P45" s="3">
        <f>N45+O45</f>
        <v/>
      </c>
      <c r="Q45" s="4" t="inlineStr">
        <is>
          <t>ממתין לתקבול</t>
        </is>
      </c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>
        <f>VLOOKUP(B46,'1️⃣ רשימת עובדים'!$D$3:$G$100,4,FALSE)</f>
        <v/>
      </c>
      <c r="M46" s="3">
        <f>H46*L46</f>
        <v/>
      </c>
      <c r="N46" s="3">
        <f>(I46+J46+K46)*L46</f>
        <v/>
      </c>
      <c r="O46" s="3">
        <f>M46*0.2</f>
        <v/>
      </c>
      <c r="P46" s="3">
        <f>N46+O46</f>
        <v/>
      </c>
      <c r="Q46" s="4" t="inlineStr">
        <is>
          <t>ממתין לתקבול</t>
        </is>
      </c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>
        <f>VLOOKUP(B47,'1️⃣ רשימת עובדים'!$D$3:$G$100,4,FALSE)</f>
        <v/>
      </c>
      <c r="M47" s="3">
        <f>H47*L47</f>
        <v/>
      </c>
      <c r="N47" s="3">
        <f>(I47+J47+K47)*L47</f>
        <v/>
      </c>
      <c r="O47" s="3">
        <f>M47*0.2</f>
        <v/>
      </c>
      <c r="P47" s="3">
        <f>N47+O47</f>
        <v/>
      </c>
      <c r="Q47" s="4" t="inlineStr">
        <is>
          <t>ממתין לתקבול</t>
        </is>
      </c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>
        <f>VLOOKUP(B48,'1️⃣ רשימת עובדים'!$D$3:$G$100,4,FALSE)</f>
        <v/>
      </c>
      <c r="M48" s="3">
        <f>H48*L48</f>
        <v/>
      </c>
      <c r="N48" s="3">
        <f>(I48+J48+K48)*L48</f>
        <v/>
      </c>
      <c r="O48" s="3">
        <f>M48*0.2</f>
        <v/>
      </c>
      <c r="P48" s="3">
        <f>N48+O48</f>
        <v/>
      </c>
      <c r="Q48" s="4" t="inlineStr">
        <is>
          <t>ממתין לתקבול</t>
        </is>
      </c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>
        <f>VLOOKUP(B49,'1️⃣ רשימת עובדים'!$D$3:$G$100,4,FALSE)</f>
        <v/>
      </c>
      <c r="M49" s="3">
        <f>H49*L49</f>
        <v/>
      </c>
      <c r="N49" s="3">
        <f>(I49+J49+K49)*L49</f>
        <v/>
      </c>
      <c r="O49" s="3">
        <f>M49*0.2</f>
        <v/>
      </c>
      <c r="P49" s="3">
        <f>N49+O49</f>
        <v/>
      </c>
      <c r="Q49" s="4" t="inlineStr">
        <is>
          <t>ממתין לתקבול</t>
        </is>
      </c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>
        <f>VLOOKUP(B50,'1️⃣ רשימת עובדים'!$D$3:$G$100,4,FALSE)</f>
        <v/>
      </c>
      <c r="M50" s="3">
        <f>H50*L50</f>
        <v/>
      </c>
      <c r="N50" s="3">
        <f>(I50+J50+K50)*L50</f>
        <v/>
      </c>
      <c r="O50" s="3">
        <f>M50*0.2</f>
        <v/>
      </c>
      <c r="P50" s="3">
        <f>N50+O50</f>
        <v/>
      </c>
      <c r="Q50" s="4" t="inlineStr">
        <is>
          <t>ממתין לתקבול</t>
        </is>
      </c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>
        <f>VLOOKUP(B51,'1️⃣ רשימת עובדים'!$D$3:$G$100,4,FALSE)</f>
        <v/>
      </c>
      <c r="M51" s="3">
        <f>H51*L51</f>
        <v/>
      </c>
      <c r="N51" s="3">
        <f>(I51+J51+K51)*L51</f>
        <v/>
      </c>
      <c r="O51" s="3">
        <f>M51*0.2</f>
        <v/>
      </c>
      <c r="P51" s="3">
        <f>N51+O51</f>
        <v/>
      </c>
      <c r="Q51" s="4" t="inlineStr">
        <is>
          <t>ממתין לתקבול</t>
        </is>
      </c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>
        <f>VLOOKUP(B52,'1️⃣ רשימת עובדים'!$D$3:$G$100,4,FALSE)</f>
        <v/>
      </c>
      <c r="M52" s="3">
        <f>H52*L52</f>
        <v/>
      </c>
      <c r="N52" s="3">
        <f>(I52+J52+K52)*L52</f>
        <v/>
      </c>
      <c r="O52" s="3">
        <f>M52*0.2</f>
        <v/>
      </c>
      <c r="P52" s="3">
        <f>N52+O52</f>
        <v/>
      </c>
      <c r="Q52" s="4" t="inlineStr">
        <is>
          <t>ממתין לתקבול</t>
        </is>
      </c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>
        <f>VLOOKUP(B53,'1️⃣ רשימת עובדים'!$D$3:$G$100,4,FALSE)</f>
        <v/>
      </c>
      <c r="M53" s="3">
        <f>H53*L53</f>
        <v/>
      </c>
      <c r="N53" s="3">
        <f>(I53+J53+K53)*L53</f>
        <v/>
      </c>
      <c r="O53" s="3">
        <f>M53*0.2</f>
        <v/>
      </c>
      <c r="P53" s="3">
        <f>N53+O53</f>
        <v/>
      </c>
      <c r="Q53" s="4" t="inlineStr">
        <is>
          <t>ממתין לתקבול</t>
        </is>
      </c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>
        <f>VLOOKUP(B54,'1️⃣ רשימת עובדים'!$D$3:$G$100,4,FALSE)</f>
        <v/>
      </c>
      <c r="M54" s="3">
        <f>H54*L54</f>
        <v/>
      </c>
      <c r="N54" s="3">
        <f>(I54+J54+K54)*L54</f>
        <v/>
      </c>
      <c r="O54" s="3">
        <f>M54*0.2</f>
        <v/>
      </c>
      <c r="P54" s="3">
        <f>N54+O54</f>
        <v/>
      </c>
      <c r="Q54" s="4" t="inlineStr">
        <is>
          <t>ממתין לתקבול</t>
        </is>
      </c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>
        <f>VLOOKUP(B55,'1️⃣ רשימת עובדים'!$D$3:$G$100,4,FALSE)</f>
        <v/>
      </c>
      <c r="M55" s="3">
        <f>H55*L55</f>
        <v/>
      </c>
      <c r="N55" s="3">
        <f>(I55+J55+K55)*L55</f>
        <v/>
      </c>
      <c r="O55" s="3">
        <f>M55*0.2</f>
        <v/>
      </c>
      <c r="P55" s="3">
        <f>N55+O55</f>
        <v/>
      </c>
      <c r="Q55" s="4" t="inlineStr">
        <is>
          <t>ממתין לתקבול</t>
        </is>
      </c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>
        <f>VLOOKUP(B56,'1️⃣ רשימת עובדים'!$D$3:$G$100,4,FALSE)</f>
        <v/>
      </c>
      <c r="M56" s="3">
        <f>H56*L56</f>
        <v/>
      </c>
      <c r="N56" s="3">
        <f>(I56+J56+K56)*L56</f>
        <v/>
      </c>
      <c r="O56" s="3">
        <f>M56*0.2</f>
        <v/>
      </c>
      <c r="P56" s="3">
        <f>N56+O56</f>
        <v/>
      </c>
      <c r="Q56" s="4" t="inlineStr">
        <is>
          <t>ממתין לתקבול</t>
        </is>
      </c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>
        <f>VLOOKUP(B57,'1️⃣ רשימת עובדים'!$D$3:$G$100,4,FALSE)</f>
        <v/>
      </c>
      <c r="M57" s="3">
        <f>H57*L57</f>
        <v/>
      </c>
      <c r="N57" s="3">
        <f>(I57+J57+K57)*L57</f>
        <v/>
      </c>
      <c r="O57" s="3">
        <f>M57*0.2</f>
        <v/>
      </c>
      <c r="P57" s="3">
        <f>N57+O57</f>
        <v/>
      </c>
      <c r="Q57" s="4" t="inlineStr">
        <is>
          <t>ממתין לתקבול</t>
        </is>
      </c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>
        <f>VLOOKUP(B58,'1️⃣ רשימת עובדים'!$D$3:$G$100,4,FALSE)</f>
        <v/>
      </c>
      <c r="M58" s="3">
        <f>H58*L58</f>
        <v/>
      </c>
      <c r="N58" s="3">
        <f>(I58+J58+K58)*L58</f>
        <v/>
      </c>
      <c r="O58" s="3">
        <f>M58*0.2</f>
        <v/>
      </c>
      <c r="P58" s="3">
        <f>N58+O58</f>
        <v/>
      </c>
      <c r="Q58" s="4" t="inlineStr">
        <is>
          <t>ממתין לתקבול</t>
        </is>
      </c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>
        <f>VLOOKUP(B59,'1️⃣ רשימת עובדים'!$D$3:$G$100,4,FALSE)</f>
        <v/>
      </c>
      <c r="M59" s="3">
        <f>H59*L59</f>
        <v/>
      </c>
      <c r="N59" s="3">
        <f>(I59+J59+K59)*L59</f>
        <v/>
      </c>
      <c r="O59" s="3">
        <f>M59*0.2</f>
        <v/>
      </c>
      <c r="P59" s="3">
        <f>N59+O59</f>
        <v/>
      </c>
      <c r="Q59" s="4" t="inlineStr">
        <is>
          <t>ממתין לתקבול</t>
        </is>
      </c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>
        <f>VLOOKUP(B60,'1️⃣ רשימת עובדים'!$D$3:$G$100,4,FALSE)</f>
        <v/>
      </c>
      <c r="M60" s="3">
        <f>H60*L60</f>
        <v/>
      </c>
      <c r="N60" s="3">
        <f>(I60+J60+K60)*L60</f>
        <v/>
      </c>
      <c r="O60" s="3">
        <f>M60*0.2</f>
        <v/>
      </c>
      <c r="P60" s="3">
        <f>N60+O60</f>
        <v/>
      </c>
      <c r="Q60" s="4" t="inlineStr">
        <is>
          <t>ממתין לתקבול</t>
        </is>
      </c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>
        <f>VLOOKUP(B61,'1️⃣ רשימת עובדים'!$D$3:$G$100,4,FALSE)</f>
        <v/>
      </c>
      <c r="M61" s="3">
        <f>H61*L61</f>
        <v/>
      </c>
      <c r="N61" s="3">
        <f>(I61+J61+K61)*L61</f>
        <v/>
      </c>
      <c r="O61" s="3">
        <f>M61*0.2</f>
        <v/>
      </c>
      <c r="P61" s="3">
        <f>N61+O61</f>
        <v/>
      </c>
      <c r="Q61" s="4" t="inlineStr">
        <is>
          <t>ממתין לתקבול</t>
        </is>
      </c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>
        <f>VLOOKUP(B62,'1️⃣ רשימת עובדים'!$D$3:$G$100,4,FALSE)</f>
        <v/>
      </c>
      <c r="M62" s="3">
        <f>H62*L62</f>
        <v/>
      </c>
      <c r="N62" s="3">
        <f>(I62+J62+K62)*L62</f>
        <v/>
      </c>
      <c r="O62" s="3">
        <f>M62*0.2</f>
        <v/>
      </c>
      <c r="P62" s="3">
        <f>N62+O62</f>
        <v/>
      </c>
      <c r="Q62" s="4" t="inlineStr">
        <is>
          <t>ממתין לתקבול</t>
        </is>
      </c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>
        <f>VLOOKUP(B63,'1️⃣ רשימת עובדים'!$D$3:$G$100,4,FALSE)</f>
        <v/>
      </c>
      <c r="M63" s="3">
        <f>H63*L63</f>
        <v/>
      </c>
      <c r="N63" s="3">
        <f>(I63+J63+K63)*L63</f>
        <v/>
      </c>
      <c r="O63" s="3">
        <f>M63*0.2</f>
        <v/>
      </c>
      <c r="P63" s="3">
        <f>N63+O63</f>
        <v/>
      </c>
      <c r="Q63" s="4" t="inlineStr">
        <is>
          <t>ממתין לתקבול</t>
        </is>
      </c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>
        <f>VLOOKUP(B64,'1️⃣ רשימת עובדים'!$D$3:$G$100,4,FALSE)</f>
        <v/>
      </c>
      <c r="M64" s="3">
        <f>H64*L64</f>
        <v/>
      </c>
      <c r="N64" s="3">
        <f>(I64+J64+K64)*L64</f>
        <v/>
      </c>
      <c r="O64" s="3">
        <f>M64*0.2</f>
        <v/>
      </c>
      <c r="P64" s="3">
        <f>N64+O64</f>
        <v/>
      </c>
      <c r="Q64" s="4" t="inlineStr">
        <is>
          <t>ממתין לתקבול</t>
        </is>
      </c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>
        <f>VLOOKUP(B65,'1️⃣ רשימת עובדים'!$D$3:$G$100,4,FALSE)</f>
        <v/>
      </c>
      <c r="M65" s="3">
        <f>H65*L65</f>
        <v/>
      </c>
      <c r="N65" s="3">
        <f>(I65+J65+K65)*L65</f>
        <v/>
      </c>
      <c r="O65" s="3">
        <f>M65*0.2</f>
        <v/>
      </c>
      <c r="P65" s="3">
        <f>N65+O65</f>
        <v/>
      </c>
      <c r="Q65" s="4" t="inlineStr">
        <is>
          <t>ממתין לתקבול</t>
        </is>
      </c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>
        <f>VLOOKUP(B66,'1️⃣ רשימת עובדים'!$D$3:$G$100,4,FALSE)</f>
        <v/>
      </c>
      <c r="M66" s="3">
        <f>H66*L66</f>
        <v/>
      </c>
      <c r="N66" s="3">
        <f>(I66+J66+K66)*L66</f>
        <v/>
      </c>
      <c r="O66" s="3">
        <f>M66*0.2</f>
        <v/>
      </c>
      <c r="P66" s="3">
        <f>N66+O66</f>
        <v/>
      </c>
      <c r="Q66" s="4" t="inlineStr">
        <is>
          <t>ממתין לתקבול</t>
        </is>
      </c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>
        <f>VLOOKUP(B67,'1️⃣ רשימת עובדים'!$D$3:$G$100,4,FALSE)</f>
        <v/>
      </c>
      <c r="M67" s="3">
        <f>H67*L67</f>
        <v/>
      </c>
      <c r="N67" s="3">
        <f>(I67+J67+K67)*L67</f>
        <v/>
      </c>
      <c r="O67" s="3">
        <f>M67*0.2</f>
        <v/>
      </c>
      <c r="P67" s="3">
        <f>N67+O67</f>
        <v/>
      </c>
      <c r="Q67" s="4" t="inlineStr">
        <is>
          <t>ממתין לתקבול</t>
        </is>
      </c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>
        <f>VLOOKUP(B68,'1️⃣ רשימת עובדים'!$D$3:$G$100,4,FALSE)</f>
        <v/>
      </c>
      <c r="M68" s="3">
        <f>H68*L68</f>
        <v/>
      </c>
      <c r="N68" s="3">
        <f>(I68+J68+K68)*L68</f>
        <v/>
      </c>
      <c r="O68" s="3">
        <f>M68*0.2</f>
        <v/>
      </c>
      <c r="P68" s="3">
        <f>N68+O68</f>
        <v/>
      </c>
      <c r="Q68" s="4" t="inlineStr">
        <is>
          <t>ממתין לתקבול</t>
        </is>
      </c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>
        <f>VLOOKUP(B69,'1️⃣ רשימת עובדים'!$D$3:$G$100,4,FALSE)</f>
        <v/>
      </c>
      <c r="M69" s="3">
        <f>H69*L69</f>
        <v/>
      </c>
      <c r="N69" s="3">
        <f>(I69+J69+K69)*L69</f>
        <v/>
      </c>
      <c r="O69" s="3">
        <f>M69*0.2</f>
        <v/>
      </c>
      <c r="P69" s="3">
        <f>N69+O69</f>
        <v/>
      </c>
      <c r="Q69" s="4" t="inlineStr">
        <is>
          <t>ממתין לתקבול</t>
        </is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>
        <f>VLOOKUP(B70,'1️⃣ רשימת עובדים'!$D$3:$G$100,4,FALSE)</f>
        <v/>
      </c>
      <c r="M70" s="3">
        <f>H70*L70</f>
        <v/>
      </c>
      <c r="N70" s="3">
        <f>(I70+J70+K70)*L70</f>
        <v/>
      </c>
      <c r="O70" s="3">
        <f>M70*0.2</f>
        <v/>
      </c>
      <c r="P70" s="3">
        <f>N70+O70</f>
        <v/>
      </c>
      <c r="Q70" s="4" t="inlineStr">
        <is>
          <t>ממתין לתקבול</t>
        </is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>
        <f>VLOOKUP(B71,'1️⃣ רשימת עובדים'!$D$3:$G$100,4,FALSE)</f>
        <v/>
      </c>
      <c r="M71" s="3">
        <f>H71*L71</f>
        <v/>
      </c>
      <c r="N71" s="3">
        <f>(I71+J71+K71)*L71</f>
        <v/>
      </c>
      <c r="O71" s="3">
        <f>M71*0.2</f>
        <v/>
      </c>
      <c r="P71" s="3">
        <f>N71+O71</f>
        <v/>
      </c>
      <c r="Q71" s="4" t="inlineStr">
        <is>
          <t>ממתין לתקבול</t>
        </is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>
        <f>VLOOKUP(B72,'1️⃣ רשימת עובדים'!$D$3:$G$100,4,FALSE)</f>
        <v/>
      </c>
      <c r="M72" s="3">
        <f>H72*L72</f>
        <v/>
      </c>
      <c r="N72" s="3">
        <f>(I72+J72+K72)*L72</f>
        <v/>
      </c>
      <c r="O72" s="3">
        <f>M72*0.2</f>
        <v/>
      </c>
      <c r="P72" s="3">
        <f>N72+O72</f>
        <v/>
      </c>
      <c r="Q72" s="4" t="inlineStr">
        <is>
          <t>ממתין לתקבול</t>
        </is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>
        <f>VLOOKUP(B73,'1️⃣ רשימת עובדים'!$D$3:$G$100,4,FALSE)</f>
        <v/>
      </c>
      <c r="M73" s="3">
        <f>H73*L73</f>
        <v/>
      </c>
      <c r="N73" s="3">
        <f>(I73+J73+K73)*L73</f>
        <v/>
      </c>
      <c r="O73" s="3">
        <f>M73*0.2</f>
        <v/>
      </c>
      <c r="P73" s="3">
        <f>N73+O73</f>
        <v/>
      </c>
      <c r="Q73" s="4" t="inlineStr">
        <is>
          <t>ממתין לתקבול</t>
        </is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>
        <f>VLOOKUP(B74,'1️⃣ רשימת עובדים'!$D$3:$G$100,4,FALSE)</f>
        <v/>
      </c>
      <c r="M74" s="3">
        <f>H74*L74</f>
        <v/>
      </c>
      <c r="N74" s="3">
        <f>(I74+J74+K74)*L74</f>
        <v/>
      </c>
      <c r="O74" s="3">
        <f>M74*0.2</f>
        <v/>
      </c>
      <c r="P74" s="3">
        <f>N74+O74</f>
        <v/>
      </c>
      <c r="Q74" s="4" t="inlineStr">
        <is>
          <t>ממתין לתקבול</t>
        </is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>
        <f>VLOOKUP(B75,'1️⃣ רשימת עובדים'!$D$3:$G$100,4,FALSE)</f>
        <v/>
      </c>
      <c r="M75" s="3">
        <f>H75*L75</f>
        <v/>
      </c>
      <c r="N75" s="3">
        <f>(I75+J75+K75)*L75</f>
        <v/>
      </c>
      <c r="O75" s="3">
        <f>M75*0.2</f>
        <v/>
      </c>
      <c r="P75" s="3">
        <f>N75+O75</f>
        <v/>
      </c>
      <c r="Q75" s="4" t="inlineStr">
        <is>
          <t>ממתין לתקבול</t>
        </is>
      </c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>
        <f>VLOOKUP(B76,'1️⃣ רשימת עובדים'!$D$3:$G$100,4,FALSE)</f>
        <v/>
      </c>
      <c r="M76" s="3">
        <f>H76*L76</f>
        <v/>
      </c>
      <c r="N76" s="3">
        <f>(I76+J76+K76)*L76</f>
        <v/>
      </c>
      <c r="O76" s="3">
        <f>M76*0.2</f>
        <v/>
      </c>
      <c r="P76" s="3">
        <f>N76+O76</f>
        <v/>
      </c>
      <c r="Q76" s="4" t="inlineStr">
        <is>
          <t>ממתין לתקבול</t>
        </is>
      </c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>
        <f>VLOOKUP(B77,'1️⃣ רשימת עובדים'!$D$3:$G$100,4,FALSE)</f>
        <v/>
      </c>
      <c r="M77" s="3">
        <f>H77*L77</f>
        <v/>
      </c>
      <c r="N77" s="3">
        <f>(I77+J77+K77)*L77</f>
        <v/>
      </c>
      <c r="O77" s="3">
        <f>M77*0.2</f>
        <v/>
      </c>
      <c r="P77" s="3">
        <f>N77+O77</f>
        <v/>
      </c>
      <c r="Q77" s="4" t="inlineStr">
        <is>
          <t>ממתין לתקבול</t>
        </is>
      </c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>
        <f>VLOOKUP(B78,'1️⃣ רשימת עובדים'!$D$3:$G$100,4,FALSE)</f>
        <v/>
      </c>
      <c r="M78" s="3">
        <f>H78*L78</f>
        <v/>
      </c>
      <c r="N78" s="3">
        <f>(I78+J78+K78)*L78</f>
        <v/>
      </c>
      <c r="O78" s="3">
        <f>M78*0.2</f>
        <v/>
      </c>
      <c r="P78" s="3">
        <f>N78+O78</f>
        <v/>
      </c>
      <c r="Q78" s="4" t="inlineStr">
        <is>
          <t>ממתין לתקבול</t>
        </is>
      </c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>
        <f>VLOOKUP(B79,'1️⃣ רשימת עובדים'!$D$3:$G$100,4,FALSE)</f>
        <v/>
      </c>
      <c r="M79" s="3">
        <f>H79*L79</f>
        <v/>
      </c>
      <c r="N79" s="3">
        <f>(I79+J79+K79)*L79</f>
        <v/>
      </c>
      <c r="O79" s="3">
        <f>M79*0.2</f>
        <v/>
      </c>
      <c r="P79" s="3">
        <f>N79+O79</f>
        <v/>
      </c>
      <c r="Q79" s="4" t="inlineStr">
        <is>
          <t>ממתין לתקבול</t>
        </is>
      </c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>
        <f>VLOOKUP(B80,'1️⃣ רשימת עובדים'!$D$3:$G$100,4,FALSE)</f>
        <v/>
      </c>
      <c r="M80" s="3">
        <f>H80*L80</f>
        <v/>
      </c>
      <c r="N80" s="3">
        <f>(I80+J80+K80)*L80</f>
        <v/>
      </c>
      <c r="O80" s="3">
        <f>M80*0.2</f>
        <v/>
      </c>
      <c r="P80" s="3">
        <f>N80+O80</f>
        <v/>
      </c>
      <c r="Q80" s="4" t="inlineStr">
        <is>
          <t>ממתין לתקבול</t>
        </is>
      </c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>
        <f>VLOOKUP(B81,'1️⃣ רשימת עובדים'!$D$3:$G$100,4,FALSE)</f>
        <v/>
      </c>
      <c r="M81" s="3">
        <f>H81*L81</f>
        <v/>
      </c>
      <c r="N81" s="3">
        <f>(I81+J81+K81)*L81</f>
        <v/>
      </c>
      <c r="O81" s="3">
        <f>M81*0.2</f>
        <v/>
      </c>
      <c r="P81" s="3">
        <f>N81+O81</f>
        <v/>
      </c>
      <c r="Q81" s="4" t="inlineStr">
        <is>
          <t>ממתין לתקבול</t>
        </is>
      </c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>
        <f>VLOOKUP(B82,'1️⃣ רשימת עובדים'!$D$3:$G$100,4,FALSE)</f>
        <v/>
      </c>
      <c r="M82" s="3">
        <f>H82*L82</f>
        <v/>
      </c>
      <c r="N82" s="3">
        <f>(I82+J82+K82)*L82</f>
        <v/>
      </c>
      <c r="O82" s="3">
        <f>M82*0.2</f>
        <v/>
      </c>
      <c r="P82" s="3">
        <f>N82+O82</f>
        <v/>
      </c>
      <c r="Q82" s="4" t="inlineStr">
        <is>
          <t>ממתין לתקבול</t>
        </is>
      </c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>
        <f>VLOOKUP(B83,'1️⃣ רשימת עובדים'!$D$3:$G$100,4,FALSE)</f>
        <v/>
      </c>
      <c r="M83" s="3">
        <f>H83*L83</f>
        <v/>
      </c>
      <c r="N83" s="3">
        <f>(I83+J83+K83)*L83</f>
        <v/>
      </c>
      <c r="O83" s="3">
        <f>M83*0.2</f>
        <v/>
      </c>
      <c r="P83" s="3">
        <f>N83+O83</f>
        <v/>
      </c>
      <c r="Q83" s="4" t="inlineStr">
        <is>
          <t>ממתין לתקבול</t>
        </is>
      </c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>
        <f>VLOOKUP(B84,'1️⃣ רשימת עובדים'!$D$3:$G$100,4,FALSE)</f>
        <v/>
      </c>
      <c r="M84" s="3">
        <f>H84*L84</f>
        <v/>
      </c>
      <c r="N84" s="3">
        <f>(I84+J84+K84)*L84</f>
        <v/>
      </c>
      <c r="O84" s="3">
        <f>M84*0.2</f>
        <v/>
      </c>
      <c r="P84" s="3">
        <f>N84+O84</f>
        <v/>
      </c>
      <c r="Q84" s="4" t="inlineStr">
        <is>
          <t>ממתין לתקבול</t>
        </is>
      </c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>
        <f>VLOOKUP(B85,'1️⃣ רשימת עובדים'!$D$3:$G$100,4,FALSE)</f>
        <v/>
      </c>
      <c r="M85" s="3">
        <f>H85*L85</f>
        <v/>
      </c>
      <c r="N85" s="3">
        <f>(I85+J85+K85)*L85</f>
        <v/>
      </c>
      <c r="O85" s="3">
        <f>M85*0.2</f>
        <v/>
      </c>
      <c r="P85" s="3">
        <f>N85+O85</f>
        <v/>
      </c>
      <c r="Q85" s="4" t="inlineStr">
        <is>
          <t>ממתין לתקבול</t>
        </is>
      </c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>
        <f>VLOOKUP(B86,'1️⃣ רשימת עובדים'!$D$3:$G$100,4,FALSE)</f>
        <v/>
      </c>
      <c r="M86" s="3">
        <f>H86*L86</f>
        <v/>
      </c>
      <c r="N86" s="3">
        <f>(I86+J86+K86)*L86</f>
        <v/>
      </c>
      <c r="O86" s="3">
        <f>M86*0.2</f>
        <v/>
      </c>
      <c r="P86" s="3">
        <f>N86+O86</f>
        <v/>
      </c>
      <c r="Q86" s="4" t="inlineStr">
        <is>
          <t>ממתין לתקבול</t>
        </is>
      </c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>
        <f>VLOOKUP(B87,'1️⃣ רשימת עובדים'!$D$3:$G$100,4,FALSE)</f>
        <v/>
      </c>
      <c r="M87" s="3">
        <f>H87*L87</f>
        <v/>
      </c>
      <c r="N87" s="3">
        <f>(I87+J87+K87)*L87</f>
        <v/>
      </c>
      <c r="O87" s="3">
        <f>M87*0.2</f>
        <v/>
      </c>
      <c r="P87" s="3">
        <f>N87+O87</f>
        <v/>
      </c>
      <c r="Q87" s="4" t="inlineStr">
        <is>
          <t>ממתין לתקבול</t>
        </is>
      </c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>
        <f>VLOOKUP(B88,'1️⃣ רשימת עובדים'!$D$3:$G$100,4,FALSE)</f>
        <v/>
      </c>
      <c r="M88" s="3">
        <f>H88*L88</f>
        <v/>
      </c>
      <c r="N88" s="3">
        <f>(I88+J88+K88)*L88</f>
        <v/>
      </c>
      <c r="O88" s="3">
        <f>M88*0.2</f>
        <v/>
      </c>
      <c r="P88" s="3">
        <f>N88+O88</f>
        <v/>
      </c>
      <c r="Q88" s="4" t="inlineStr">
        <is>
          <t>ממתין לתקבול</t>
        </is>
      </c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>
        <f>VLOOKUP(B89,'1️⃣ רשימת עובדים'!$D$3:$G$100,4,FALSE)</f>
        <v/>
      </c>
      <c r="M89" s="3">
        <f>H89*L89</f>
        <v/>
      </c>
      <c r="N89" s="3">
        <f>(I89+J89+K89)*L89</f>
        <v/>
      </c>
      <c r="O89" s="3">
        <f>M89*0.2</f>
        <v/>
      </c>
      <c r="P89" s="3">
        <f>N89+O89</f>
        <v/>
      </c>
      <c r="Q89" s="4" t="inlineStr">
        <is>
          <t>ממתין לתקבול</t>
        </is>
      </c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>
        <f>VLOOKUP(B90,'1️⃣ רשימת עובדים'!$D$3:$G$100,4,FALSE)</f>
        <v/>
      </c>
      <c r="M90" s="3">
        <f>H90*L90</f>
        <v/>
      </c>
      <c r="N90" s="3">
        <f>(I90+J90+K90)*L90</f>
        <v/>
      </c>
      <c r="O90" s="3">
        <f>M90*0.2</f>
        <v/>
      </c>
      <c r="P90" s="3">
        <f>N90+O90</f>
        <v/>
      </c>
      <c r="Q90" s="4" t="inlineStr">
        <is>
          <t>ממתין לתקבול</t>
        </is>
      </c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>
        <f>VLOOKUP(B91,'1️⃣ רשימת עובדים'!$D$3:$G$100,4,FALSE)</f>
        <v/>
      </c>
      <c r="M91" s="3">
        <f>H91*L91</f>
        <v/>
      </c>
      <c r="N91" s="3">
        <f>(I91+J91+K91)*L91</f>
        <v/>
      </c>
      <c r="O91" s="3">
        <f>M91*0.2</f>
        <v/>
      </c>
      <c r="P91" s="3">
        <f>N91+O91</f>
        <v/>
      </c>
      <c r="Q91" s="4" t="inlineStr">
        <is>
          <t>ממתין לתקבול</t>
        </is>
      </c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>
        <f>VLOOKUP(B92,'1️⃣ רשימת עובדים'!$D$3:$G$100,4,FALSE)</f>
        <v/>
      </c>
      <c r="M92" s="3">
        <f>H92*L92</f>
        <v/>
      </c>
      <c r="N92" s="3">
        <f>(I92+J92+K92)*L92</f>
        <v/>
      </c>
      <c r="O92" s="3">
        <f>M92*0.2</f>
        <v/>
      </c>
      <c r="P92" s="3">
        <f>N92+O92</f>
        <v/>
      </c>
      <c r="Q92" s="4" t="inlineStr">
        <is>
          <t>ממתין לתקבול</t>
        </is>
      </c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>
        <f>VLOOKUP(B93,'1️⃣ רשימת עובדים'!$D$3:$G$100,4,FALSE)</f>
        <v/>
      </c>
      <c r="M93" s="3">
        <f>H93*L93</f>
        <v/>
      </c>
      <c r="N93" s="3">
        <f>(I93+J93+K93)*L93</f>
        <v/>
      </c>
      <c r="O93" s="3">
        <f>M93*0.2</f>
        <v/>
      </c>
      <c r="P93" s="3">
        <f>N93+O93</f>
        <v/>
      </c>
      <c r="Q93" s="4" t="inlineStr">
        <is>
          <t>ממתין לתקבול</t>
        </is>
      </c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>
        <f>VLOOKUP(B94,'1️⃣ רשימת עובדים'!$D$3:$G$100,4,FALSE)</f>
        <v/>
      </c>
      <c r="M94" s="3">
        <f>H94*L94</f>
        <v/>
      </c>
      <c r="N94" s="3">
        <f>(I94+J94+K94)*L94</f>
        <v/>
      </c>
      <c r="O94" s="3">
        <f>M94*0.2</f>
        <v/>
      </c>
      <c r="P94" s="3">
        <f>N94+O94</f>
        <v/>
      </c>
      <c r="Q94" s="4" t="inlineStr">
        <is>
          <t>ממתין לתקבול</t>
        </is>
      </c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>
        <f>VLOOKUP(B95,'1️⃣ רשימת עובדים'!$D$3:$G$100,4,FALSE)</f>
        <v/>
      </c>
      <c r="M95" s="3">
        <f>H95*L95</f>
        <v/>
      </c>
      <c r="N95" s="3">
        <f>(I95+J95+K95)*L95</f>
        <v/>
      </c>
      <c r="O95" s="3">
        <f>M95*0.2</f>
        <v/>
      </c>
      <c r="P95" s="3">
        <f>N95+O95</f>
        <v/>
      </c>
      <c r="Q95" s="4" t="inlineStr">
        <is>
          <t>ממתין לתקבול</t>
        </is>
      </c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>
        <f>VLOOKUP(B96,'1️⃣ רשימת עובדים'!$D$3:$G$100,4,FALSE)</f>
        <v/>
      </c>
      <c r="M96" s="3">
        <f>H96*L96</f>
        <v/>
      </c>
      <c r="N96" s="3">
        <f>(I96+J96+K96)*L96</f>
        <v/>
      </c>
      <c r="O96" s="3">
        <f>M96*0.2</f>
        <v/>
      </c>
      <c r="P96" s="3">
        <f>N96+O96</f>
        <v/>
      </c>
      <c r="Q96" s="4" t="inlineStr">
        <is>
          <t>ממתין לתקבול</t>
        </is>
      </c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>
        <f>VLOOKUP(B97,'1️⃣ רשימת עובדים'!$D$3:$G$100,4,FALSE)</f>
        <v/>
      </c>
      <c r="M97" s="3">
        <f>H97*L97</f>
        <v/>
      </c>
      <c r="N97" s="3">
        <f>(I97+J97+K97)*L97</f>
        <v/>
      </c>
      <c r="O97" s="3">
        <f>M97*0.2</f>
        <v/>
      </c>
      <c r="P97" s="3">
        <f>N97+O97</f>
        <v/>
      </c>
      <c r="Q97" s="4" t="inlineStr">
        <is>
          <t>ממתין לתקבול</t>
        </is>
      </c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>
        <f>VLOOKUP(B98,'1️⃣ רשימת עובדים'!$D$3:$G$100,4,FALSE)</f>
        <v/>
      </c>
      <c r="M98" s="3">
        <f>H98*L98</f>
        <v/>
      </c>
      <c r="N98" s="3">
        <f>(I98+J98+K98)*L98</f>
        <v/>
      </c>
      <c r="O98" s="3">
        <f>M98*0.2</f>
        <v/>
      </c>
      <c r="P98" s="3">
        <f>N98+O98</f>
        <v/>
      </c>
      <c r="Q98" s="4" t="inlineStr">
        <is>
          <t>ממתין לתקבול</t>
        </is>
      </c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>
        <f>VLOOKUP(B99,'1️⃣ רשימת עובדים'!$D$3:$G$100,4,FALSE)</f>
        <v/>
      </c>
      <c r="M99" s="3">
        <f>H99*L99</f>
        <v/>
      </c>
      <c r="N99" s="3">
        <f>(I99+J99+K99)*L99</f>
        <v/>
      </c>
      <c r="O99" s="3">
        <f>M99*0.2</f>
        <v/>
      </c>
      <c r="P99" s="3">
        <f>N99+O99</f>
        <v/>
      </c>
      <c r="Q99" s="4" t="inlineStr">
        <is>
          <t>ממתין לתקבול</t>
        </is>
      </c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>
        <f>VLOOKUP(B100,'1️⃣ רשימת עובדים'!$D$3:$G$100,4,FALSE)</f>
        <v/>
      </c>
      <c r="M100" s="3">
        <f>H100*L100</f>
        <v/>
      </c>
      <c r="N100" s="3">
        <f>(I100+J100+K100)*L100</f>
        <v/>
      </c>
      <c r="O100" s="3">
        <f>M100*0.2</f>
        <v/>
      </c>
      <c r="P100" s="3">
        <f>N100+O100</f>
        <v/>
      </c>
      <c r="Q100" s="4" t="inlineStr">
        <is>
          <t>ממתין לתקבול</t>
        </is>
      </c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>
        <f>VLOOKUP(B101,'1️⃣ רשימת עובדים'!$D$3:$G$100,4,FALSE)</f>
        <v/>
      </c>
      <c r="M101" s="3">
        <f>H101*L101</f>
        <v/>
      </c>
      <c r="N101" s="3">
        <f>(I101+J101+K101)*L101</f>
        <v/>
      </c>
      <c r="O101" s="3">
        <f>M101*0.2</f>
        <v/>
      </c>
      <c r="P101" s="3">
        <f>N101+O101</f>
        <v/>
      </c>
      <c r="Q101" s="4" t="inlineStr">
        <is>
          <t>ממתין לתקבול</t>
        </is>
      </c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>
        <f>VLOOKUP(B102,'1️⃣ רשימת עובדים'!$D$3:$G$100,4,FALSE)</f>
        <v/>
      </c>
      <c r="M102" s="3">
        <f>H102*L102</f>
        <v/>
      </c>
      <c r="N102" s="3">
        <f>(I102+J102+K102)*L102</f>
        <v/>
      </c>
      <c r="O102" s="3">
        <f>M102*0.2</f>
        <v/>
      </c>
      <c r="P102" s="3">
        <f>N102+O102</f>
        <v/>
      </c>
      <c r="Q102" s="4" t="inlineStr">
        <is>
          <t>ממתין לתקבול</t>
        </is>
      </c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>
        <f>VLOOKUP(B103,'1️⃣ רשימת עובדים'!$D$3:$G$100,4,FALSE)</f>
        <v/>
      </c>
      <c r="M103" s="3">
        <f>H103*L103</f>
        <v/>
      </c>
      <c r="N103" s="3">
        <f>(I103+J103+K103)*L103</f>
        <v/>
      </c>
      <c r="O103" s="3">
        <f>M103*0.2</f>
        <v/>
      </c>
      <c r="P103" s="3">
        <f>N103+O103</f>
        <v/>
      </c>
      <c r="Q103" s="4" t="inlineStr">
        <is>
          <t>ממתין לתקבול</t>
        </is>
      </c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>
        <f>VLOOKUP(B104,'1️⃣ רשימת עובדים'!$D$3:$G$100,4,FALSE)</f>
        <v/>
      </c>
      <c r="M104" s="3">
        <f>H104*L104</f>
        <v/>
      </c>
      <c r="N104" s="3">
        <f>(I104+J104+K104)*L104</f>
        <v/>
      </c>
      <c r="O104" s="3">
        <f>M104*0.2</f>
        <v/>
      </c>
      <c r="P104" s="3">
        <f>N104+O104</f>
        <v/>
      </c>
      <c r="Q104" s="4" t="inlineStr">
        <is>
          <t>ממתין לתקבול</t>
        </is>
      </c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>
        <f>VLOOKUP(B105,'1️⃣ רשימת עובדים'!$D$3:$G$100,4,FALSE)</f>
        <v/>
      </c>
      <c r="M105" s="3">
        <f>H105*L105</f>
        <v/>
      </c>
      <c r="N105" s="3">
        <f>(I105+J105+K105)*L105</f>
        <v/>
      </c>
      <c r="O105" s="3">
        <f>M105*0.2</f>
        <v/>
      </c>
      <c r="P105" s="3">
        <f>N105+O105</f>
        <v/>
      </c>
      <c r="Q105" s="4" t="inlineStr">
        <is>
          <t>ממתין לתקבול</t>
        </is>
      </c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>
        <f>VLOOKUP(B106,'1️⃣ רשימת עובדים'!$D$3:$G$100,4,FALSE)</f>
        <v/>
      </c>
      <c r="M106" s="3">
        <f>H106*L106</f>
        <v/>
      </c>
      <c r="N106" s="3">
        <f>(I106+J106+K106)*L106</f>
        <v/>
      </c>
      <c r="O106" s="3">
        <f>M106*0.2</f>
        <v/>
      </c>
      <c r="P106" s="3">
        <f>N106+O106</f>
        <v/>
      </c>
      <c r="Q106" s="4" t="inlineStr">
        <is>
          <t>ממתין לתקבול</t>
        </is>
      </c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>
        <f>VLOOKUP(B107,'1️⃣ רשימת עובדים'!$D$3:$G$100,4,FALSE)</f>
        <v/>
      </c>
      <c r="M107" s="3">
        <f>H107*L107</f>
        <v/>
      </c>
      <c r="N107" s="3">
        <f>(I107+J107+K107)*L107</f>
        <v/>
      </c>
      <c r="O107" s="3">
        <f>M107*0.2</f>
        <v/>
      </c>
      <c r="P107" s="3">
        <f>N107+O107</f>
        <v/>
      </c>
      <c r="Q107" s="4" t="inlineStr">
        <is>
          <t>ממתין לתקבול</t>
        </is>
      </c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>
        <f>VLOOKUP(B108,'1️⃣ רשימת עובדים'!$D$3:$G$100,4,FALSE)</f>
        <v/>
      </c>
      <c r="M108" s="3">
        <f>H108*L108</f>
        <v/>
      </c>
      <c r="N108" s="3">
        <f>(I108+J108+K108)*L108</f>
        <v/>
      </c>
      <c r="O108" s="3">
        <f>M108*0.2</f>
        <v/>
      </c>
      <c r="P108" s="3">
        <f>N108+O108</f>
        <v/>
      </c>
      <c r="Q108" s="4" t="inlineStr">
        <is>
          <t>ממתין לתקבול</t>
        </is>
      </c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>
        <f>VLOOKUP(B109,'1️⃣ רשימת עובדים'!$D$3:$G$100,4,FALSE)</f>
        <v/>
      </c>
      <c r="M109" s="3">
        <f>H109*L109</f>
        <v/>
      </c>
      <c r="N109" s="3">
        <f>(I109+J109+K109)*L109</f>
        <v/>
      </c>
      <c r="O109" s="3">
        <f>M109*0.2</f>
        <v/>
      </c>
      <c r="P109" s="3">
        <f>N109+O109</f>
        <v/>
      </c>
      <c r="Q109" s="4" t="inlineStr">
        <is>
          <t>ממתין לתקבול</t>
        </is>
      </c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>
        <f>VLOOKUP(B110,'1️⃣ רשימת עובדים'!$D$3:$G$100,4,FALSE)</f>
        <v/>
      </c>
      <c r="M110" s="3">
        <f>H110*L110</f>
        <v/>
      </c>
      <c r="N110" s="3">
        <f>(I110+J110+K110)*L110</f>
        <v/>
      </c>
      <c r="O110" s="3">
        <f>M110*0.2</f>
        <v/>
      </c>
      <c r="P110" s="3">
        <f>N110+O110</f>
        <v/>
      </c>
      <c r="Q110" s="4" t="inlineStr">
        <is>
          <t>ממתין לתקבול</t>
        </is>
      </c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>
        <f>VLOOKUP(B111,'1️⃣ רשימת עובדים'!$D$3:$G$100,4,FALSE)</f>
        <v/>
      </c>
      <c r="M111" s="3">
        <f>H111*L111</f>
        <v/>
      </c>
      <c r="N111" s="3">
        <f>(I111+J111+K111)*L111</f>
        <v/>
      </c>
      <c r="O111" s="3">
        <f>M111*0.2</f>
        <v/>
      </c>
      <c r="P111" s="3">
        <f>N111+O111</f>
        <v/>
      </c>
      <c r="Q111" s="4" t="inlineStr">
        <is>
          <t>ממתין לתקבול</t>
        </is>
      </c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>
        <f>VLOOKUP(B112,'1️⃣ רשימת עובדים'!$D$3:$G$100,4,FALSE)</f>
        <v/>
      </c>
      <c r="M112" s="3">
        <f>H112*L112</f>
        <v/>
      </c>
      <c r="N112" s="3">
        <f>(I112+J112+K112)*L112</f>
        <v/>
      </c>
      <c r="O112" s="3">
        <f>M112*0.2</f>
        <v/>
      </c>
      <c r="P112" s="3">
        <f>N112+O112</f>
        <v/>
      </c>
      <c r="Q112" s="4" t="inlineStr">
        <is>
          <t>ממתין לתקבול</t>
        </is>
      </c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>
        <f>VLOOKUP(B113,'1️⃣ רשימת עובדים'!$D$3:$G$100,4,FALSE)</f>
        <v/>
      </c>
      <c r="M113" s="3">
        <f>H113*L113</f>
        <v/>
      </c>
      <c r="N113" s="3">
        <f>(I113+J113+K113)*L113</f>
        <v/>
      </c>
      <c r="O113" s="3">
        <f>M113*0.2</f>
        <v/>
      </c>
      <c r="P113" s="3">
        <f>N113+O113</f>
        <v/>
      </c>
      <c r="Q113" s="4" t="inlineStr">
        <is>
          <t>ממתין לתקבול</t>
        </is>
      </c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>
        <f>VLOOKUP(B114,'1️⃣ רשימת עובדים'!$D$3:$G$100,4,FALSE)</f>
        <v/>
      </c>
      <c r="M114" s="3">
        <f>H114*L114</f>
        <v/>
      </c>
      <c r="N114" s="3">
        <f>(I114+J114+K114)*L114</f>
        <v/>
      </c>
      <c r="O114" s="3">
        <f>M114*0.2</f>
        <v/>
      </c>
      <c r="P114" s="3">
        <f>N114+O114</f>
        <v/>
      </c>
      <c r="Q114" s="4" t="inlineStr">
        <is>
          <t>ממתין לתקבול</t>
        </is>
      </c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>
        <f>VLOOKUP(B115,'1️⃣ רשימת עובדים'!$D$3:$G$100,4,FALSE)</f>
        <v/>
      </c>
      <c r="M115" s="3">
        <f>H115*L115</f>
        <v/>
      </c>
      <c r="N115" s="3">
        <f>(I115+J115+K115)*L115</f>
        <v/>
      </c>
      <c r="O115" s="3">
        <f>M115*0.2</f>
        <v/>
      </c>
      <c r="P115" s="3">
        <f>N115+O115</f>
        <v/>
      </c>
      <c r="Q115" s="4" t="inlineStr">
        <is>
          <t>ממתין לתקבול</t>
        </is>
      </c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>
        <f>VLOOKUP(B116,'1️⃣ רשימת עובדים'!$D$3:$G$100,4,FALSE)</f>
        <v/>
      </c>
      <c r="M116" s="3">
        <f>H116*L116</f>
        <v/>
      </c>
      <c r="N116" s="3">
        <f>(I116+J116+K116)*L116</f>
        <v/>
      </c>
      <c r="O116" s="3">
        <f>M116*0.2</f>
        <v/>
      </c>
      <c r="P116" s="3">
        <f>N116+O116</f>
        <v/>
      </c>
      <c r="Q116" s="4" t="inlineStr">
        <is>
          <t>ממתין לתקבול</t>
        </is>
      </c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>
        <f>VLOOKUP(B117,'1️⃣ רשימת עובדים'!$D$3:$G$100,4,FALSE)</f>
        <v/>
      </c>
      <c r="M117" s="3">
        <f>H117*L117</f>
        <v/>
      </c>
      <c r="N117" s="3">
        <f>(I117+J117+K117)*L117</f>
        <v/>
      </c>
      <c r="O117" s="3">
        <f>M117*0.2</f>
        <v/>
      </c>
      <c r="P117" s="3">
        <f>N117+O117</f>
        <v/>
      </c>
      <c r="Q117" s="4" t="inlineStr">
        <is>
          <t>ממתין לתקבול</t>
        </is>
      </c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>
        <f>VLOOKUP(B118,'1️⃣ רשימת עובדים'!$D$3:$G$100,4,FALSE)</f>
        <v/>
      </c>
      <c r="M118" s="3">
        <f>H118*L118</f>
        <v/>
      </c>
      <c r="N118" s="3">
        <f>(I118+J118+K118)*L118</f>
        <v/>
      </c>
      <c r="O118" s="3">
        <f>M118*0.2</f>
        <v/>
      </c>
      <c r="P118" s="3">
        <f>N118+O118</f>
        <v/>
      </c>
      <c r="Q118" s="4" t="inlineStr">
        <is>
          <t>ממתין לתקבול</t>
        </is>
      </c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>
        <f>VLOOKUP(B119,'1️⃣ רשימת עובדים'!$D$3:$G$100,4,FALSE)</f>
        <v/>
      </c>
      <c r="M119" s="3">
        <f>H119*L119</f>
        <v/>
      </c>
      <c r="N119" s="3">
        <f>(I119+J119+K119)*L119</f>
        <v/>
      </c>
      <c r="O119" s="3">
        <f>M119*0.2</f>
        <v/>
      </c>
      <c r="P119" s="3">
        <f>N119+O119</f>
        <v/>
      </c>
      <c r="Q119" s="4" t="inlineStr">
        <is>
          <t>ממתין לתקבול</t>
        </is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>
        <f>VLOOKUP(B120,'1️⃣ רשימת עובדים'!$D$3:$G$100,4,FALSE)</f>
        <v/>
      </c>
      <c r="M120" s="3">
        <f>H120*L120</f>
        <v/>
      </c>
      <c r="N120" s="3">
        <f>(I120+J120+K120)*L120</f>
        <v/>
      </c>
      <c r="O120" s="3">
        <f>M120*0.2</f>
        <v/>
      </c>
      <c r="P120" s="3">
        <f>N120+O120</f>
        <v/>
      </c>
      <c r="Q120" s="4" t="inlineStr">
        <is>
          <t>ממתין לתקבול</t>
        </is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>
        <f>VLOOKUP(B121,'1️⃣ רשימת עובדים'!$D$3:$G$100,4,FALSE)</f>
        <v/>
      </c>
      <c r="M121" s="3">
        <f>H121*L121</f>
        <v/>
      </c>
      <c r="N121" s="3">
        <f>(I121+J121+K121)*L121</f>
        <v/>
      </c>
      <c r="O121" s="3">
        <f>M121*0.2</f>
        <v/>
      </c>
      <c r="P121" s="3">
        <f>N121+O121</f>
        <v/>
      </c>
      <c r="Q121" s="4" t="inlineStr">
        <is>
          <t>ממתין לתקבול</t>
        </is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>
        <f>VLOOKUP(B122,'1️⃣ רשימת עובדים'!$D$3:$G$100,4,FALSE)</f>
        <v/>
      </c>
      <c r="M122" s="3">
        <f>H122*L122</f>
        <v/>
      </c>
      <c r="N122" s="3">
        <f>(I122+J122+K122)*L122</f>
        <v/>
      </c>
      <c r="O122" s="3">
        <f>M122*0.2</f>
        <v/>
      </c>
      <c r="P122" s="3">
        <f>N122+O122</f>
        <v/>
      </c>
      <c r="Q122" s="4" t="inlineStr">
        <is>
          <t>ממתין לתקבול</t>
        </is>
      </c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>
        <f>VLOOKUP(B123,'1️⃣ רשימת עובדים'!$D$3:$G$100,4,FALSE)</f>
        <v/>
      </c>
      <c r="M123" s="3">
        <f>H123*L123</f>
        <v/>
      </c>
      <c r="N123" s="3">
        <f>(I123+J123+K123)*L123</f>
        <v/>
      </c>
      <c r="O123" s="3">
        <f>M123*0.2</f>
        <v/>
      </c>
      <c r="P123" s="3">
        <f>N123+O123</f>
        <v/>
      </c>
      <c r="Q123" s="4" t="inlineStr">
        <is>
          <t>ממתין לתקבול</t>
        </is>
      </c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>
        <f>VLOOKUP(B124,'1️⃣ רשימת עובדים'!$D$3:$G$100,4,FALSE)</f>
        <v/>
      </c>
      <c r="M124" s="3">
        <f>H124*L124</f>
        <v/>
      </c>
      <c r="N124" s="3">
        <f>(I124+J124+K124)*L124</f>
        <v/>
      </c>
      <c r="O124" s="3">
        <f>M124*0.2</f>
        <v/>
      </c>
      <c r="P124" s="3">
        <f>N124+O124</f>
        <v/>
      </c>
      <c r="Q124" s="4" t="inlineStr">
        <is>
          <t>ממתין לתקבול</t>
        </is>
      </c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>
        <f>VLOOKUP(B125,'1️⃣ רשימת עובדים'!$D$3:$G$100,4,FALSE)</f>
        <v/>
      </c>
      <c r="M125" s="3">
        <f>H125*L125</f>
        <v/>
      </c>
      <c r="N125" s="3">
        <f>(I125+J125+K125)*L125</f>
        <v/>
      </c>
      <c r="O125" s="3">
        <f>M125*0.2</f>
        <v/>
      </c>
      <c r="P125" s="3">
        <f>N125+O125</f>
        <v/>
      </c>
      <c r="Q125" s="4" t="inlineStr">
        <is>
          <t>ממתין לתקבול</t>
        </is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>
        <f>VLOOKUP(B126,'1️⃣ רשימת עובדים'!$D$3:$G$100,4,FALSE)</f>
        <v/>
      </c>
      <c r="M126" s="3">
        <f>H126*L126</f>
        <v/>
      </c>
      <c r="N126" s="3">
        <f>(I126+J126+K126)*L126</f>
        <v/>
      </c>
      <c r="O126" s="3">
        <f>M126*0.2</f>
        <v/>
      </c>
      <c r="P126" s="3">
        <f>N126+O126</f>
        <v/>
      </c>
      <c r="Q126" s="4" t="inlineStr">
        <is>
          <t>ממתין לתקבול</t>
        </is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>
        <f>VLOOKUP(B127,'1️⃣ רשימת עובדים'!$D$3:$G$100,4,FALSE)</f>
        <v/>
      </c>
      <c r="M127" s="3">
        <f>H127*L127</f>
        <v/>
      </c>
      <c r="N127" s="3">
        <f>(I127+J127+K127)*L127</f>
        <v/>
      </c>
      <c r="O127" s="3">
        <f>M127*0.2</f>
        <v/>
      </c>
      <c r="P127" s="3">
        <f>N127+O127</f>
        <v/>
      </c>
      <c r="Q127" s="4" t="inlineStr">
        <is>
          <t>ממתין לתקבול</t>
        </is>
      </c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>
        <f>VLOOKUP(B128,'1️⃣ רשימת עובדים'!$D$3:$G$100,4,FALSE)</f>
        <v/>
      </c>
      <c r="M128" s="3">
        <f>H128*L128</f>
        <v/>
      </c>
      <c r="N128" s="3">
        <f>(I128+J128+K128)*L128</f>
        <v/>
      </c>
      <c r="O128" s="3">
        <f>M128*0.2</f>
        <v/>
      </c>
      <c r="P128" s="3">
        <f>N128+O128</f>
        <v/>
      </c>
      <c r="Q128" s="4" t="inlineStr">
        <is>
          <t>ממתין לתקבול</t>
        </is>
      </c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>
        <f>VLOOKUP(B129,'1️⃣ רשימת עובדים'!$D$3:$G$100,4,FALSE)</f>
        <v/>
      </c>
      <c r="M129" s="3">
        <f>H129*L129</f>
        <v/>
      </c>
      <c r="N129" s="3">
        <f>(I129+J129+K129)*L129</f>
        <v/>
      </c>
      <c r="O129" s="3">
        <f>M129*0.2</f>
        <v/>
      </c>
      <c r="P129" s="3">
        <f>N129+O129</f>
        <v/>
      </c>
      <c r="Q129" s="4" t="inlineStr">
        <is>
          <t>ממתין לתקבול</t>
        </is>
      </c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>
        <f>VLOOKUP(B130,'1️⃣ רשימת עובדים'!$D$3:$G$100,4,FALSE)</f>
        <v/>
      </c>
      <c r="M130" s="3">
        <f>H130*L130</f>
        <v/>
      </c>
      <c r="N130" s="3">
        <f>(I130+J130+K130)*L130</f>
        <v/>
      </c>
      <c r="O130" s="3">
        <f>M130*0.2</f>
        <v/>
      </c>
      <c r="P130" s="3">
        <f>N130+O130</f>
        <v/>
      </c>
      <c r="Q130" s="4" t="inlineStr">
        <is>
          <t>ממתין לתקבול</t>
        </is>
      </c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>
        <f>VLOOKUP(B131,'1️⃣ רשימת עובדים'!$D$3:$G$100,4,FALSE)</f>
        <v/>
      </c>
      <c r="M131" s="3">
        <f>H131*L131</f>
        <v/>
      </c>
      <c r="N131" s="3">
        <f>(I131+J131+K131)*L131</f>
        <v/>
      </c>
      <c r="O131" s="3">
        <f>M131*0.2</f>
        <v/>
      </c>
      <c r="P131" s="3">
        <f>N131+O131</f>
        <v/>
      </c>
      <c r="Q131" s="4" t="inlineStr">
        <is>
          <t>ממתין לתקבול</t>
        </is>
      </c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>
        <f>VLOOKUP(B132,'1️⃣ רשימת עובדים'!$D$3:$G$100,4,FALSE)</f>
        <v/>
      </c>
      <c r="M132" s="3">
        <f>H132*L132</f>
        <v/>
      </c>
      <c r="N132" s="3">
        <f>(I132+J132+K132)*L132</f>
        <v/>
      </c>
      <c r="O132" s="3">
        <f>M132*0.2</f>
        <v/>
      </c>
      <c r="P132" s="3">
        <f>N132+O132</f>
        <v/>
      </c>
      <c r="Q132" s="4" t="inlineStr">
        <is>
          <t>ממתין לתקבול</t>
        </is>
      </c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>
        <f>VLOOKUP(B133,'1️⃣ רשימת עובדים'!$D$3:$G$100,4,FALSE)</f>
        <v/>
      </c>
      <c r="M133" s="3">
        <f>H133*L133</f>
        <v/>
      </c>
      <c r="N133" s="3">
        <f>(I133+J133+K133)*L133</f>
        <v/>
      </c>
      <c r="O133" s="3">
        <f>M133*0.2</f>
        <v/>
      </c>
      <c r="P133" s="3">
        <f>N133+O133</f>
        <v/>
      </c>
      <c r="Q133" s="4" t="inlineStr">
        <is>
          <t>ממתין לתקבול</t>
        </is>
      </c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>
        <f>VLOOKUP(B134,'1️⃣ רשימת עובדים'!$D$3:$G$100,4,FALSE)</f>
        <v/>
      </c>
      <c r="M134" s="3">
        <f>H134*L134</f>
        <v/>
      </c>
      <c r="N134" s="3">
        <f>(I134+J134+K134)*L134</f>
        <v/>
      </c>
      <c r="O134" s="3">
        <f>M134*0.2</f>
        <v/>
      </c>
      <c r="P134" s="3">
        <f>N134+O134</f>
        <v/>
      </c>
      <c r="Q134" s="4" t="inlineStr">
        <is>
          <t>ממתין לתקבול</t>
        </is>
      </c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>
        <f>VLOOKUP(B135,'1️⃣ רשימת עובדים'!$D$3:$G$100,4,FALSE)</f>
        <v/>
      </c>
      <c r="M135" s="3">
        <f>H135*L135</f>
        <v/>
      </c>
      <c r="N135" s="3">
        <f>(I135+J135+K135)*L135</f>
        <v/>
      </c>
      <c r="O135" s="3">
        <f>M135*0.2</f>
        <v/>
      </c>
      <c r="P135" s="3">
        <f>N135+O135</f>
        <v/>
      </c>
      <c r="Q135" s="4" t="inlineStr">
        <is>
          <t>ממתין לתקבול</t>
        </is>
      </c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>
        <f>VLOOKUP(B136,'1️⃣ רשימת עובדים'!$D$3:$G$100,4,FALSE)</f>
        <v/>
      </c>
      <c r="M136" s="3">
        <f>H136*L136</f>
        <v/>
      </c>
      <c r="N136" s="3">
        <f>(I136+J136+K136)*L136</f>
        <v/>
      </c>
      <c r="O136" s="3">
        <f>M136*0.2</f>
        <v/>
      </c>
      <c r="P136" s="3">
        <f>N136+O136</f>
        <v/>
      </c>
      <c r="Q136" s="4" t="inlineStr">
        <is>
          <t>ממתין לתקבול</t>
        </is>
      </c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>
        <f>VLOOKUP(B137,'1️⃣ רשימת עובדים'!$D$3:$G$100,4,FALSE)</f>
        <v/>
      </c>
      <c r="M137" s="3">
        <f>H137*L137</f>
        <v/>
      </c>
      <c r="N137" s="3">
        <f>(I137+J137+K137)*L137</f>
        <v/>
      </c>
      <c r="O137" s="3">
        <f>M137*0.2</f>
        <v/>
      </c>
      <c r="P137" s="3">
        <f>N137+O137</f>
        <v/>
      </c>
      <c r="Q137" s="4" t="inlineStr">
        <is>
          <t>ממתין לתקבול</t>
        </is>
      </c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>
        <f>VLOOKUP(B138,'1️⃣ רשימת עובדים'!$D$3:$G$100,4,FALSE)</f>
        <v/>
      </c>
      <c r="M138" s="3">
        <f>H138*L138</f>
        <v/>
      </c>
      <c r="N138" s="3">
        <f>(I138+J138+K138)*L138</f>
        <v/>
      </c>
      <c r="O138" s="3">
        <f>M138*0.2</f>
        <v/>
      </c>
      <c r="P138" s="3">
        <f>N138+O138</f>
        <v/>
      </c>
      <c r="Q138" s="4" t="inlineStr">
        <is>
          <t>ממתין לתקבול</t>
        </is>
      </c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>
        <f>VLOOKUP(B139,'1️⃣ רשימת עובדים'!$D$3:$G$100,4,FALSE)</f>
        <v/>
      </c>
      <c r="M139" s="3">
        <f>H139*L139</f>
        <v/>
      </c>
      <c r="N139" s="3">
        <f>(I139+J139+K139)*L139</f>
        <v/>
      </c>
      <c r="O139" s="3">
        <f>M139*0.2</f>
        <v/>
      </c>
      <c r="P139" s="3">
        <f>N139+O139</f>
        <v/>
      </c>
      <c r="Q139" s="4" t="inlineStr">
        <is>
          <t>ממתין לתקבול</t>
        </is>
      </c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>
        <f>VLOOKUP(B140,'1️⃣ רשימת עובדים'!$D$3:$G$100,4,FALSE)</f>
        <v/>
      </c>
      <c r="M140" s="3">
        <f>H140*L140</f>
        <v/>
      </c>
      <c r="N140" s="3">
        <f>(I140+J140+K140)*L140</f>
        <v/>
      </c>
      <c r="O140" s="3">
        <f>M140*0.2</f>
        <v/>
      </c>
      <c r="P140" s="3">
        <f>N140+O140</f>
        <v/>
      </c>
      <c r="Q140" s="4" t="inlineStr">
        <is>
          <t>ממתין לתקבול</t>
        </is>
      </c>
    </row>
  </sheetData>
  <autoFilter ref="A1:Q1"/>
  <dataValidations count="5">
    <dataValidation sqref="B2:B1000" showDropDown="0" showInputMessage="0" showErrorMessage="0" allowBlank="1" errorTitle="ערך לא חוקי" error="נא לבחור שם עובד מהרשימה" type="list">
      <formula1>""</formula1>
    </dataValidation>
    <dataValidation sqref="C2:C1000" showDropDown="0" showInputMessage="0" showErrorMessage="0" allowBlank="1" errorTitle="ערך לא חוקי" error="נא לבחור מחלקה מהרשימה" type="list">
      <formula1>"מל"מ,רפאל,רוה"מ"</formula1>
    </dataValidation>
    <dataValidation sqref="F2:F1000" showDropDown="0" showInputMessage="0" showErrorMessage="0" allowBlank="1" errorTitle="ערך לא חוקי" error="נא לבחור חודש מהרשימה" type="list">
      <formula1>"01/2025,02/2025,03/2025,04/2025,05/2025,06/2025,07/2025,08/2025,09/2025,10/2025,11/2025,12/2025"</formula1>
    </dataValidation>
    <dataValidation sqref="Q2:Q1000" showDropDown="0" showInputMessage="0" showErrorMessage="0" allowBlank="1" errorTitle="ערך לא חוקי" error="נא לבחור סטטוס מהרשימה" type="list">
      <formula1>"ממתין,הוגש לביטוח לאומי,אושר,שולם,דחוי"</formula1>
    </dataValidation>
    <dataValidation sqref="B2:B1000" showDropDown="0" showInputMessage="0" showErrorMessage="0" allowBlank="1" errorTitle="ערך לא חוקי" error="נא לבחור עובד מהרשימה" type="list">
      <formula1>'1️⃣ רשימת עובדים'!$D$3:$D$100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2025-11-07T09:56:46Z</dcterms:modified>
</cp:coreProperties>
</file>