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89944D01-35AA-4924-A262-F42F51D96FA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📖 הוראות שימוש" sheetId="1" r:id="rId1"/>
    <sheet name="1️⃣ רשימת עובדים" sheetId="2" r:id="rId2"/>
    <sheet name="3️⃣ תשלומי ב&quot;ל" sheetId="3" r:id="rId3"/>
    <sheet name="4️⃣ דוח מסכם" sheetId="4" r:id="rId4"/>
    <sheet name="💵 רשימת תשלומים" sheetId="5" r:id="rId5"/>
    <sheet name="2️⃣ תקופות מילואים" sheetId="7" r:id="rId6"/>
    <sheet name="📈 היסטוריית שכר" sheetId="6" r:id="rId7"/>
  </sheets>
  <definedNames>
    <definedName name="_xlnm._FilterDatabase" localSheetId="1" hidden="1">'1️⃣ רשימת עובדים'!$A$1:$J$1</definedName>
    <definedName name="_xlnm._FilterDatabase" localSheetId="5" hidden="1">'2️⃣ תקופות מילואים'!$A$1:$Q$140</definedName>
    <definedName name="_xlnm._FilterDatabase" localSheetId="2" hidden="1">'3️⃣ תשלומי ב"ל'!$A$1:$L$81</definedName>
    <definedName name="_xlnm._FilterDatabase" localSheetId="3" hidden="1">'4️⃣ דוח מסכם'!$A$1:$L$75</definedName>
    <definedName name="_xlnm._FilterDatabase" localSheetId="6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0" i="7" l="1"/>
  <c r="N140" i="7" s="1"/>
  <c r="M139" i="7"/>
  <c r="O139" i="7" s="1"/>
  <c r="P139" i="7" s="1"/>
  <c r="L139" i="7"/>
  <c r="N139" i="7" s="1"/>
  <c r="L138" i="7"/>
  <c r="N138" i="7" s="1"/>
  <c r="L137" i="7"/>
  <c r="N137" i="7" s="1"/>
  <c r="L136" i="7"/>
  <c r="N136" i="7" s="1"/>
  <c r="L135" i="7"/>
  <c r="N135" i="7" s="1"/>
  <c r="L134" i="7"/>
  <c r="N134" i="7" s="1"/>
  <c r="L133" i="7"/>
  <c r="N133" i="7" s="1"/>
  <c r="L132" i="7"/>
  <c r="M132" i="7" s="1"/>
  <c r="O132" i="7" s="1"/>
  <c r="L131" i="7"/>
  <c r="L130" i="7"/>
  <c r="N130" i="7" s="1"/>
  <c r="N129" i="7"/>
  <c r="L129" i="7"/>
  <c r="M129" i="7" s="1"/>
  <c r="O129" i="7" s="1"/>
  <c r="P129" i="7" s="1"/>
  <c r="H69" i="4" s="1"/>
  <c r="L128" i="7"/>
  <c r="N128" i="7" s="1"/>
  <c r="N127" i="7"/>
  <c r="L127" i="7"/>
  <c r="M127" i="7" s="1"/>
  <c r="O127" i="7" s="1"/>
  <c r="P127" i="7" s="1"/>
  <c r="L126" i="7"/>
  <c r="N126" i="7" s="1"/>
  <c r="L125" i="7"/>
  <c r="N125" i="7" s="1"/>
  <c r="L124" i="7"/>
  <c r="N124" i="7" s="1"/>
  <c r="L123" i="7"/>
  <c r="M123" i="7" s="1"/>
  <c r="O123" i="7" s="1"/>
  <c r="N122" i="7"/>
  <c r="L122" i="7"/>
  <c r="M122" i="7" s="1"/>
  <c r="O122" i="7" s="1"/>
  <c r="M121" i="7"/>
  <c r="O121" i="7" s="1"/>
  <c r="L121" i="7"/>
  <c r="N121" i="7" s="1"/>
  <c r="L120" i="7"/>
  <c r="M120" i="7" s="1"/>
  <c r="O120" i="7" s="1"/>
  <c r="L119" i="7"/>
  <c r="L118" i="7"/>
  <c r="N118" i="7" s="1"/>
  <c r="N117" i="7"/>
  <c r="M117" i="7"/>
  <c r="O117" i="7" s="1"/>
  <c r="P117" i="7" s="1"/>
  <c r="L117" i="7"/>
  <c r="O116" i="7"/>
  <c r="M116" i="7"/>
  <c r="L116" i="7"/>
  <c r="N116" i="7" s="1"/>
  <c r="N115" i="7"/>
  <c r="L115" i="7"/>
  <c r="M115" i="7" s="1"/>
  <c r="O115" i="7" s="1"/>
  <c r="P115" i="7" s="1"/>
  <c r="L114" i="7"/>
  <c r="N114" i="7" s="1"/>
  <c r="M113" i="7"/>
  <c r="O113" i="7" s="1"/>
  <c r="L113" i="7"/>
  <c r="N113" i="7" s="1"/>
  <c r="L112" i="7"/>
  <c r="N112" i="7" s="1"/>
  <c r="L111" i="7"/>
  <c r="M111" i="7" s="1"/>
  <c r="O111" i="7" s="1"/>
  <c r="N110" i="7"/>
  <c r="P110" i="7" s="1"/>
  <c r="L110" i="7"/>
  <c r="M110" i="7" s="1"/>
  <c r="O110" i="7" s="1"/>
  <c r="L109" i="7"/>
  <c r="N109" i="7" s="1"/>
  <c r="L108" i="7"/>
  <c r="M108" i="7" s="1"/>
  <c r="O108" i="7" s="1"/>
  <c r="L107" i="7"/>
  <c r="L106" i="7"/>
  <c r="N106" i="7" s="1"/>
  <c r="M105" i="7"/>
  <c r="O105" i="7" s="1"/>
  <c r="P105" i="7" s="1"/>
  <c r="L105" i="7"/>
  <c r="N105" i="7" s="1"/>
  <c r="L104" i="7"/>
  <c r="N104" i="7" s="1"/>
  <c r="N103" i="7"/>
  <c r="L103" i="7"/>
  <c r="M103" i="7" s="1"/>
  <c r="O103" i="7" s="1"/>
  <c r="P103" i="7" s="1"/>
  <c r="L102" i="7"/>
  <c r="N102" i="7" s="1"/>
  <c r="M101" i="7"/>
  <c r="O101" i="7" s="1"/>
  <c r="L101" i="7"/>
  <c r="N101" i="7" s="1"/>
  <c r="L100" i="7"/>
  <c r="N100" i="7" s="1"/>
  <c r="L99" i="7"/>
  <c r="M99" i="7" s="1"/>
  <c r="O99" i="7" s="1"/>
  <c r="O98" i="7"/>
  <c r="M98" i="7"/>
  <c r="L98" i="7"/>
  <c r="N98" i="7" s="1"/>
  <c r="P98" i="7" s="1"/>
  <c r="M97" i="7"/>
  <c r="O97" i="7" s="1"/>
  <c r="L97" i="7"/>
  <c r="N97" i="7" s="1"/>
  <c r="L96" i="7"/>
  <c r="M96" i="7" s="1"/>
  <c r="O96" i="7" s="1"/>
  <c r="L95" i="7"/>
  <c r="L94" i="7"/>
  <c r="N94" i="7" s="1"/>
  <c r="N93" i="7"/>
  <c r="L93" i="7"/>
  <c r="M93" i="7" s="1"/>
  <c r="O93" i="7" s="1"/>
  <c r="P93" i="7" s="1"/>
  <c r="L92" i="7"/>
  <c r="N92" i="7" s="1"/>
  <c r="L91" i="7"/>
  <c r="N91" i="7" s="1"/>
  <c r="L90" i="7"/>
  <c r="N90" i="7" s="1"/>
  <c r="L89" i="7"/>
  <c r="N89" i="7" s="1"/>
  <c r="L88" i="7"/>
  <c r="N88" i="7" s="1"/>
  <c r="L87" i="7"/>
  <c r="M87" i="7" s="1"/>
  <c r="O87" i="7" s="1"/>
  <c r="L86" i="7"/>
  <c r="N86" i="7" s="1"/>
  <c r="N85" i="7"/>
  <c r="M85" i="7"/>
  <c r="O85" i="7" s="1"/>
  <c r="L85" i="7"/>
  <c r="N84" i="7"/>
  <c r="P84" i="7" s="1"/>
  <c r="L84" i="7"/>
  <c r="M84" i="7" s="1"/>
  <c r="O84" i="7" s="1"/>
  <c r="L83" i="7"/>
  <c r="L82" i="7"/>
  <c r="N82" i="7" s="1"/>
  <c r="L81" i="7"/>
  <c r="N81" i="7" s="1"/>
  <c r="O80" i="7"/>
  <c r="N80" i="7"/>
  <c r="M80" i="7"/>
  <c r="L80" i="7"/>
  <c r="L79" i="7"/>
  <c r="N79" i="7" s="1"/>
  <c r="L78" i="7"/>
  <c r="N78" i="7" s="1"/>
  <c r="L77" i="7"/>
  <c r="N77" i="7" s="1"/>
  <c r="L76" i="7"/>
  <c r="N76" i="7" s="1"/>
  <c r="L75" i="7"/>
  <c r="M75" i="7" s="1"/>
  <c r="O75" i="7" s="1"/>
  <c r="L74" i="7"/>
  <c r="N74" i="7" s="1"/>
  <c r="L73" i="7"/>
  <c r="N73" i="7" s="1"/>
  <c r="L72" i="7"/>
  <c r="M72" i="7" s="1"/>
  <c r="O72" i="7" s="1"/>
  <c r="L71" i="7"/>
  <c r="L70" i="7"/>
  <c r="N70" i="7" s="1"/>
  <c r="N69" i="7"/>
  <c r="M69" i="7"/>
  <c r="O69" i="7" s="1"/>
  <c r="P69" i="7" s="1"/>
  <c r="L69" i="7"/>
  <c r="L68" i="7"/>
  <c r="N68" i="7" s="1"/>
  <c r="N67" i="7"/>
  <c r="L67" i="7"/>
  <c r="M67" i="7" s="1"/>
  <c r="O67" i="7" s="1"/>
  <c r="P67" i="7" s="1"/>
  <c r="L66" i="7"/>
  <c r="N66" i="7" s="1"/>
  <c r="L65" i="7"/>
  <c r="N65" i="7" s="1"/>
  <c r="L64" i="7"/>
  <c r="N64" i="7" s="1"/>
  <c r="L63" i="7"/>
  <c r="M63" i="7" s="1"/>
  <c r="O63" i="7" s="1"/>
  <c r="N62" i="7"/>
  <c r="L62" i="7"/>
  <c r="M62" i="7" s="1"/>
  <c r="O62" i="7" s="1"/>
  <c r="P62" i="7" s="1"/>
  <c r="L61" i="7"/>
  <c r="N61" i="7" s="1"/>
  <c r="L60" i="7"/>
  <c r="M60" i="7" s="1"/>
  <c r="O60" i="7" s="1"/>
  <c r="L59" i="7"/>
  <c r="L58" i="7"/>
  <c r="N58" i="7" s="1"/>
  <c r="O57" i="7"/>
  <c r="P57" i="7" s="1"/>
  <c r="H40" i="4" s="1"/>
  <c r="N57" i="7"/>
  <c r="M57" i="7"/>
  <c r="L57" i="7"/>
  <c r="L56" i="7"/>
  <c r="N56" i="7" s="1"/>
  <c r="L55" i="7"/>
  <c r="N55" i="7" s="1"/>
  <c r="M54" i="7"/>
  <c r="O54" i="7" s="1"/>
  <c r="L54" i="7"/>
  <c r="N54" i="7" s="1"/>
  <c r="N53" i="7"/>
  <c r="L53" i="7"/>
  <c r="M53" i="7" s="1"/>
  <c r="O53" i="7" s="1"/>
  <c r="P53" i="7" s="1"/>
  <c r="H36" i="4" s="1"/>
  <c r="L52" i="7"/>
  <c r="N52" i="7" s="1"/>
  <c r="N51" i="7"/>
  <c r="P51" i="7" s="1"/>
  <c r="H34" i="4" s="1"/>
  <c r="L51" i="7"/>
  <c r="M51" i="7" s="1"/>
  <c r="O51" i="7" s="1"/>
  <c r="N50" i="7"/>
  <c r="P50" i="7" s="1"/>
  <c r="M50" i="7"/>
  <c r="O50" i="7" s="1"/>
  <c r="L50" i="7"/>
  <c r="N49" i="7"/>
  <c r="L49" i="7"/>
  <c r="M49" i="7" s="1"/>
  <c r="O49" i="7" s="1"/>
  <c r="N48" i="7"/>
  <c r="L48" i="7"/>
  <c r="M48" i="7" s="1"/>
  <c r="O48" i="7" s="1"/>
  <c r="L47" i="7"/>
  <c r="L46" i="7"/>
  <c r="N46" i="7" s="1"/>
  <c r="L45" i="7"/>
  <c r="N45" i="7" s="1"/>
  <c r="N44" i="7"/>
  <c r="L44" i="7"/>
  <c r="M44" i="7" s="1"/>
  <c r="O44" i="7" s="1"/>
  <c r="M43" i="7"/>
  <c r="O43" i="7" s="1"/>
  <c r="P43" i="7" s="1"/>
  <c r="L43" i="7"/>
  <c r="N43" i="7" s="1"/>
  <c r="L42" i="7"/>
  <c r="N42" i="7" s="1"/>
  <c r="N41" i="7"/>
  <c r="M41" i="7"/>
  <c r="O41" i="7" s="1"/>
  <c r="P41" i="7" s="1"/>
  <c r="H29" i="4" s="1"/>
  <c r="L41" i="7"/>
  <c r="L40" i="7"/>
  <c r="N40" i="7" s="1"/>
  <c r="N39" i="7"/>
  <c r="P39" i="7" s="1"/>
  <c r="L39" i="7"/>
  <c r="M39" i="7" s="1"/>
  <c r="O39" i="7" s="1"/>
  <c r="L38" i="7"/>
  <c r="N38" i="7" s="1"/>
  <c r="N37" i="7"/>
  <c r="M37" i="7"/>
  <c r="O37" i="7" s="1"/>
  <c r="L37" i="7"/>
  <c r="N36" i="7"/>
  <c r="L36" i="7"/>
  <c r="M36" i="7" s="1"/>
  <c r="O36" i="7" s="1"/>
  <c r="L35" i="7"/>
  <c r="L34" i="7"/>
  <c r="N34" i="7" s="1"/>
  <c r="N33" i="7"/>
  <c r="M33" i="7"/>
  <c r="O33" i="7" s="1"/>
  <c r="P33" i="7" s="1"/>
  <c r="L33" i="7"/>
  <c r="N32" i="7"/>
  <c r="M32" i="7"/>
  <c r="O32" i="7" s="1"/>
  <c r="L32" i="7"/>
  <c r="O31" i="7"/>
  <c r="M31" i="7"/>
  <c r="L31" i="7"/>
  <c r="N31" i="7" s="1"/>
  <c r="L30" i="7"/>
  <c r="N30" i="7" s="1"/>
  <c r="L29" i="7"/>
  <c r="N29" i="7" s="1"/>
  <c r="L28" i="7"/>
  <c r="N28" i="7" s="1"/>
  <c r="L27" i="7"/>
  <c r="M27" i="7" s="1"/>
  <c r="O27" i="7" s="1"/>
  <c r="L26" i="7"/>
  <c r="N26" i="7" s="1"/>
  <c r="L25" i="7"/>
  <c r="N25" i="7" s="1"/>
  <c r="L24" i="7"/>
  <c r="M24" i="7" s="1"/>
  <c r="O24" i="7" s="1"/>
  <c r="L23" i="7"/>
  <c r="N23" i="7" s="1"/>
  <c r="L22" i="7"/>
  <c r="N22" i="7" s="1"/>
  <c r="L21" i="7"/>
  <c r="N21" i="7" s="1"/>
  <c r="L20" i="7"/>
  <c r="N20" i="7" s="1"/>
  <c r="O19" i="7"/>
  <c r="P19" i="7" s="1"/>
  <c r="N19" i="7"/>
  <c r="M19" i="7"/>
  <c r="L19" i="7"/>
  <c r="N18" i="7"/>
  <c r="M18" i="7"/>
  <c r="O18" i="7" s="1"/>
  <c r="L18" i="7"/>
  <c r="N17" i="7"/>
  <c r="M17" i="7"/>
  <c r="O17" i="7" s="1"/>
  <c r="L17" i="7"/>
  <c r="L16" i="7"/>
  <c r="N15" i="7"/>
  <c r="P15" i="7" s="1"/>
  <c r="H14" i="4" s="1"/>
  <c r="L15" i="7"/>
  <c r="M15" i="7" s="1"/>
  <c r="O15" i="7" s="1"/>
  <c r="N14" i="7"/>
  <c r="M14" i="7"/>
  <c r="O14" i="7" s="1"/>
  <c r="P14" i="7" s="1"/>
  <c r="H13" i="4" s="1"/>
  <c r="L14" i="7"/>
  <c r="L13" i="7"/>
  <c r="N13" i="7" s="1"/>
  <c r="L12" i="7"/>
  <c r="M12" i="7" s="1"/>
  <c r="O12" i="7" s="1"/>
  <c r="L11" i="7"/>
  <c r="N11" i="7" s="1"/>
  <c r="L10" i="7"/>
  <c r="N10" i="7" s="1"/>
  <c r="N9" i="7"/>
  <c r="M9" i="7"/>
  <c r="O9" i="7" s="1"/>
  <c r="P9" i="7" s="1"/>
  <c r="H9" i="4" s="1"/>
  <c r="L9" i="7"/>
  <c r="L8" i="7"/>
  <c r="N8" i="7" s="1"/>
  <c r="O7" i="7"/>
  <c r="P7" i="7" s="1"/>
  <c r="H7" i="4" s="1"/>
  <c r="N7" i="7"/>
  <c r="M7" i="7"/>
  <c r="L7" i="7"/>
  <c r="N6" i="7"/>
  <c r="M6" i="7"/>
  <c r="O6" i="7" s="1"/>
  <c r="L6" i="7"/>
  <c r="N5" i="7"/>
  <c r="M5" i="7"/>
  <c r="O5" i="7" s="1"/>
  <c r="L5" i="7"/>
  <c r="L4" i="7"/>
  <c r="L3" i="7"/>
  <c r="M3" i="7" s="1"/>
  <c r="O3" i="7" s="1"/>
  <c r="O2" i="7"/>
  <c r="M2" i="7"/>
  <c r="L2" i="7"/>
  <c r="N2" i="7" s="1"/>
  <c r="P2" i="7" s="1"/>
  <c r="H2" i="4" s="1"/>
  <c r="I75" i="4"/>
  <c r="G75" i="4"/>
  <c r="F75" i="4"/>
  <c r="E75" i="4"/>
  <c r="D75" i="4"/>
  <c r="I74" i="4"/>
  <c r="G74" i="4"/>
  <c r="F74" i="4"/>
  <c r="E74" i="4"/>
  <c r="D74" i="4"/>
  <c r="I73" i="4"/>
  <c r="G73" i="4"/>
  <c r="F73" i="4"/>
  <c r="E73" i="4"/>
  <c r="D73" i="4"/>
  <c r="I72" i="4"/>
  <c r="G72" i="4"/>
  <c r="F72" i="4"/>
  <c r="E72" i="4"/>
  <c r="D72" i="4"/>
  <c r="I71" i="4"/>
  <c r="G71" i="4"/>
  <c r="F71" i="4"/>
  <c r="E71" i="4"/>
  <c r="D71" i="4"/>
  <c r="I70" i="4"/>
  <c r="G70" i="4"/>
  <c r="F70" i="4"/>
  <c r="E70" i="4"/>
  <c r="D70" i="4"/>
  <c r="I69" i="4"/>
  <c r="G69" i="4"/>
  <c r="F69" i="4"/>
  <c r="E69" i="4"/>
  <c r="D69" i="4"/>
  <c r="I68" i="4"/>
  <c r="G68" i="4"/>
  <c r="F68" i="4"/>
  <c r="E68" i="4"/>
  <c r="D68" i="4"/>
  <c r="I67" i="4"/>
  <c r="G67" i="4"/>
  <c r="F67" i="4"/>
  <c r="E67" i="4"/>
  <c r="D67" i="4"/>
  <c r="I66" i="4"/>
  <c r="G66" i="4"/>
  <c r="F66" i="4"/>
  <c r="E66" i="4"/>
  <c r="D66" i="4"/>
  <c r="I65" i="4"/>
  <c r="G65" i="4"/>
  <c r="F65" i="4"/>
  <c r="E65" i="4"/>
  <c r="D65" i="4"/>
  <c r="I64" i="4"/>
  <c r="G64" i="4"/>
  <c r="F64" i="4"/>
  <c r="E64" i="4"/>
  <c r="D64" i="4"/>
  <c r="I63" i="4"/>
  <c r="G63" i="4"/>
  <c r="F63" i="4"/>
  <c r="E63" i="4"/>
  <c r="D63" i="4"/>
  <c r="I62" i="4"/>
  <c r="G62" i="4"/>
  <c r="F62" i="4"/>
  <c r="E62" i="4"/>
  <c r="D62" i="4"/>
  <c r="I61" i="4"/>
  <c r="G61" i="4"/>
  <c r="F61" i="4"/>
  <c r="E61" i="4"/>
  <c r="D61" i="4"/>
  <c r="I60" i="4"/>
  <c r="G60" i="4"/>
  <c r="F60" i="4"/>
  <c r="E60" i="4"/>
  <c r="D60" i="4"/>
  <c r="I59" i="4"/>
  <c r="G59" i="4"/>
  <c r="F59" i="4"/>
  <c r="E59" i="4"/>
  <c r="D59" i="4"/>
  <c r="I58" i="4"/>
  <c r="G58" i="4"/>
  <c r="F58" i="4"/>
  <c r="E58" i="4"/>
  <c r="D58" i="4"/>
  <c r="I57" i="4"/>
  <c r="G57" i="4"/>
  <c r="F57" i="4"/>
  <c r="E57" i="4"/>
  <c r="D57" i="4"/>
  <c r="I56" i="4"/>
  <c r="G56" i="4"/>
  <c r="F56" i="4"/>
  <c r="E56" i="4"/>
  <c r="D56" i="4"/>
  <c r="I55" i="4"/>
  <c r="G55" i="4"/>
  <c r="F55" i="4"/>
  <c r="E55" i="4"/>
  <c r="D55" i="4"/>
  <c r="I54" i="4"/>
  <c r="G54" i="4"/>
  <c r="F54" i="4"/>
  <c r="E54" i="4"/>
  <c r="D54" i="4"/>
  <c r="I53" i="4"/>
  <c r="G53" i="4"/>
  <c r="F53" i="4"/>
  <c r="E53" i="4"/>
  <c r="D53" i="4"/>
  <c r="I52" i="4"/>
  <c r="G52" i="4"/>
  <c r="F52" i="4"/>
  <c r="E52" i="4"/>
  <c r="D52" i="4"/>
  <c r="I51" i="4"/>
  <c r="G51" i="4"/>
  <c r="F51" i="4"/>
  <c r="E51" i="4"/>
  <c r="D51" i="4"/>
  <c r="I50" i="4"/>
  <c r="G50" i="4"/>
  <c r="F50" i="4"/>
  <c r="E50" i="4"/>
  <c r="D50" i="4"/>
  <c r="I49" i="4"/>
  <c r="G49" i="4"/>
  <c r="F49" i="4"/>
  <c r="E49" i="4"/>
  <c r="D49" i="4"/>
  <c r="I48" i="4"/>
  <c r="G48" i="4"/>
  <c r="F48" i="4"/>
  <c r="E48" i="4"/>
  <c r="D48" i="4"/>
  <c r="I47" i="4"/>
  <c r="G47" i="4"/>
  <c r="F47" i="4"/>
  <c r="E47" i="4"/>
  <c r="D47" i="4"/>
  <c r="I46" i="4"/>
  <c r="G46" i="4"/>
  <c r="F46" i="4"/>
  <c r="E46" i="4"/>
  <c r="D46" i="4"/>
  <c r="I45" i="4"/>
  <c r="G45" i="4"/>
  <c r="F45" i="4"/>
  <c r="E45" i="4"/>
  <c r="D45" i="4"/>
  <c r="I44" i="4"/>
  <c r="G44" i="4"/>
  <c r="F44" i="4"/>
  <c r="E44" i="4"/>
  <c r="D44" i="4"/>
  <c r="I43" i="4"/>
  <c r="G43" i="4"/>
  <c r="F43" i="4"/>
  <c r="E43" i="4"/>
  <c r="D43" i="4"/>
  <c r="I42" i="4"/>
  <c r="G42" i="4"/>
  <c r="F42" i="4"/>
  <c r="E42" i="4"/>
  <c r="D42" i="4"/>
  <c r="I41" i="4"/>
  <c r="G41" i="4"/>
  <c r="F41" i="4"/>
  <c r="E41" i="4"/>
  <c r="D41" i="4"/>
  <c r="I40" i="4"/>
  <c r="G40" i="4"/>
  <c r="F40" i="4"/>
  <c r="E40" i="4"/>
  <c r="D40" i="4"/>
  <c r="I39" i="4"/>
  <c r="G39" i="4"/>
  <c r="F39" i="4"/>
  <c r="E39" i="4"/>
  <c r="D39" i="4"/>
  <c r="I38" i="4"/>
  <c r="G38" i="4"/>
  <c r="F38" i="4"/>
  <c r="E38" i="4"/>
  <c r="D38" i="4"/>
  <c r="I37" i="4"/>
  <c r="G37" i="4"/>
  <c r="F37" i="4"/>
  <c r="E37" i="4"/>
  <c r="D37" i="4"/>
  <c r="I36" i="4"/>
  <c r="G36" i="4"/>
  <c r="F36" i="4"/>
  <c r="E36" i="4"/>
  <c r="D36" i="4"/>
  <c r="I35" i="4"/>
  <c r="G35" i="4"/>
  <c r="F35" i="4"/>
  <c r="E35" i="4"/>
  <c r="D35" i="4"/>
  <c r="I34" i="4"/>
  <c r="G34" i="4"/>
  <c r="F34" i="4"/>
  <c r="E34" i="4"/>
  <c r="D34" i="4"/>
  <c r="I33" i="4"/>
  <c r="G33" i="4"/>
  <c r="F33" i="4"/>
  <c r="E33" i="4"/>
  <c r="D33" i="4"/>
  <c r="I32" i="4"/>
  <c r="G32" i="4"/>
  <c r="F32" i="4"/>
  <c r="E32" i="4"/>
  <c r="D32" i="4"/>
  <c r="I31" i="4"/>
  <c r="G31" i="4"/>
  <c r="F31" i="4"/>
  <c r="E31" i="4"/>
  <c r="D31" i="4"/>
  <c r="I30" i="4"/>
  <c r="G30" i="4"/>
  <c r="F30" i="4"/>
  <c r="E30" i="4"/>
  <c r="D30" i="4"/>
  <c r="I29" i="4"/>
  <c r="G29" i="4"/>
  <c r="F29" i="4"/>
  <c r="E29" i="4"/>
  <c r="D29" i="4"/>
  <c r="I28" i="4"/>
  <c r="G28" i="4"/>
  <c r="F28" i="4"/>
  <c r="E28" i="4"/>
  <c r="D28" i="4"/>
  <c r="I27" i="4"/>
  <c r="G27" i="4"/>
  <c r="F27" i="4"/>
  <c r="E27" i="4"/>
  <c r="D27" i="4"/>
  <c r="I26" i="4"/>
  <c r="G26" i="4"/>
  <c r="F26" i="4"/>
  <c r="E26" i="4"/>
  <c r="D26" i="4"/>
  <c r="I25" i="4"/>
  <c r="G25" i="4"/>
  <c r="F25" i="4"/>
  <c r="E25" i="4"/>
  <c r="D25" i="4"/>
  <c r="I24" i="4"/>
  <c r="G24" i="4"/>
  <c r="F24" i="4"/>
  <c r="E24" i="4"/>
  <c r="D24" i="4"/>
  <c r="I23" i="4"/>
  <c r="G23" i="4"/>
  <c r="F23" i="4"/>
  <c r="E23" i="4"/>
  <c r="D23" i="4"/>
  <c r="I22" i="4"/>
  <c r="G22" i="4"/>
  <c r="F22" i="4"/>
  <c r="E22" i="4"/>
  <c r="D22" i="4"/>
  <c r="I21" i="4"/>
  <c r="G21" i="4"/>
  <c r="F21" i="4"/>
  <c r="E21" i="4"/>
  <c r="D21" i="4"/>
  <c r="I20" i="4"/>
  <c r="G20" i="4"/>
  <c r="F20" i="4"/>
  <c r="E20" i="4"/>
  <c r="D20" i="4"/>
  <c r="I19" i="4"/>
  <c r="G19" i="4"/>
  <c r="F19" i="4"/>
  <c r="E19" i="4"/>
  <c r="D19" i="4"/>
  <c r="I18" i="4"/>
  <c r="G18" i="4"/>
  <c r="F18" i="4"/>
  <c r="E18" i="4"/>
  <c r="D18" i="4"/>
  <c r="I17" i="4"/>
  <c r="G17" i="4"/>
  <c r="F17" i="4"/>
  <c r="E17" i="4"/>
  <c r="D17" i="4"/>
  <c r="I16" i="4"/>
  <c r="G16" i="4"/>
  <c r="F16" i="4"/>
  <c r="E16" i="4"/>
  <c r="D16" i="4"/>
  <c r="I15" i="4"/>
  <c r="G15" i="4"/>
  <c r="F15" i="4"/>
  <c r="E15" i="4"/>
  <c r="D15" i="4"/>
  <c r="I14" i="4"/>
  <c r="G14" i="4"/>
  <c r="F14" i="4"/>
  <c r="E14" i="4"/>
  <c r="D14" i="4"/>
  <c r="I13" i="4"/>
  <c r="G13" i="4"/>
  <c r="F13" i="4"/>
  <c r="E13" i="4"/>
  <c r="D13" i="4"/>
  <c r="I12" i="4"/>
  <c r="G12" i="4"/>
  <c r="F12" i="4"/>
  <c r="E12" i="4"/>
  <c r="D12" i="4"/>
  <c r="I11" i="4"/>
  <c r="G11" i="4"/>
  <c r="F11" i="4"/>
  <c r="E11" i="4"/>
  <c r="D11" i="4"/>
  <c r="I10" i="4"/>
  <c r="G10" i="4"/>
  <c r="F10" i="4"/>
  <c r="E10" i="4"/>
  <c r="D10" i="4"/>
  <c r="I9" i="4"/>
  <c r="G9" i="4"/>
  <c r="F9" i="4"/>
  <c r="E9" i="4"/>
  <c r="D9" i="4"/>
  <c r="I8" i="4"/>
  <c r="G8" i="4"/>
  <c r="F8" i="4"/>
  <c r="E8" i="4"/>
  <c r="D8" i="4"/>
  <c r="I7" i="4"/>
  <c r="G7" i="4"/>
  <c r="F7" i="4"/>
  <c r="E7" i="4"/>
  <c r="D7" i="4"/>
  <c r="I6" i="4"/>
  <c r="G6" i="4"/>
  <c r="F6" i="4"/>
  <c r="E6" i="4"/>
  <c r="D6" i="4"/>
  <c r="I5" i="4"/>
  <c r="G5" i="4"/>
  <c r="F5" i="4"/>
  <c r="E5" i="4"/>
  <c r="D5" i="4"/>
  <c r="I4" i="4"/>
  <c r="G4" i="4"/>
  <c r="F4" i="4"/>
  <c r="E4" i="4"/>
  <c r="D4" i="4"/>
  <c r="I3" i="4"/>
  <c r="G3" i="4"/>
  <c r="F3" i="4"/>
  <c r="E3" i="4"/>
  <c r="D3" i="4"/>
  <c r="I2" i="4"/>
  <c r="G2" i="4"/>
  <c r="F2" i="4"/>
  <c r="E2" i="4"/>
  <c r="D2" i="4"/>
  <c r="G2" i="2"/>
  <c r="P13" i="7" l="1"/>
  <c r="H12" i="4" s="1"/>
  <c r="P134" i="7"/>
  <c r="P122" i="7"/>
  <c r="P26" i="7"/>
  <c r="H22" i="4" s="1"/>
  <c r="N3" i="7"/>
  <c r="P3" i="7" s="1"/>
  <c r="H3" i="4" s="1"/>
  <c r="N12" i="7"/>
  <c r="P12" i="7" s="1"/>
  <c r="N24" i="7"/>
  <c r="P24" i="7" s="1"/>
  <c r="P32" i="7"/>
  <c r="M45" i="7"/>
  <c r="O45" i="7" s="1"/>
  <c r="P45" i="7" s="1"/>
  <c r="N72" i="7"/>
  <c r="P72" i="7" s="1"/>
  <c r="M86" i="7"/>
  <c r="O86" i="7" s="1"/>
  <c r="P86" i="7" s="1"/>
  <c r="M91" i="7"/>
  <c r="O91" i="7" s="1"/>
  <c r="P91" i="7" s="1"/>
  <c r="N99" i="7"/>
  <c r="P99" i="7" s="1"/>
  <c r="M104" i="7"/>
  <c r="O104" i="7" s="1"/>
  <c r="M109" i="7"/>
  <c r="O109" i="7" s="1"/>
  <c r="P109" i="7" s="1"/>
  <c r="N132" i="7"/>
  <c r="P132" i="7" s="1"/>
  <c r="M137" i="7"/>
  <c r="O137" i="7" s="1"/>
  <c r="P137" i="7"/>
  <c r="H74" i="4" s="1"/>
  <c r="M8" i="7"/>
  <c r="O8" i="7" s="1"/>
  <c r="P8" i="7" s="1"/>
  <c r="H8" i="4" s="1"/>
  <c r="M20" i="7"/>
  <c r="O20" i="7" s="1"/>
  <c r="P20" i="7" s="1"/>
  <c r="H18" i="4" s="1"/>
  <c r="M55" i="7"/>
  <c r="O55" i="7" s="1"/>
  <c r="P55" i="7" s="1"/>
  <c r="H38" i="4" s="1"/>
  <c r="N63" i="7"/>
  <c r="P63" i="7" s="1"/>
  <c r="H44" i="4" s="1"/>
  <c r="M77" i="7"/>
  <c r="O77" i="7" s="1"/>
  <c r="P77" i="7" s="1"/>
  <c r="H51" i="4" s="1"/>
  <c r="M81" i="7"/>
  <c r="O81" i="7" s="1"/>
  <c r="P81" i="7" s="1"/>
  <c r="M114" i="7"/>
  <c r="O114" i="7" s="1"/>
  <c r="M13" i="7"/>
  <c r="O13" i="7" s="1"/>
  <c r="M25" i="7"/>
  <c r="O25" i="7" s="1"/>
  <c r="M29" i="7"/>
  <c r="O29" i="7" s="1"/>
  <c r="P29" i="7" s="1"/>
  <c r="M38" i="7"/>
  <c r="O38" i="7" s="1"/>
  <c r="P38" i="7" s="1"/>
  <c r="M42" i="7"/>
  <c r="O42" i="7" s="1"/>
  <c r="P42" i="7" s="1"/>
  <c r="H30" i="4" s="1"/>
  <c r="M68" i="7"/>
  <c r="O68" i="7" s="1"/>
  <c r="P68" i="7" s="1"/>
  <c r="H47" i="4" s="1"/>
  <c r="M73" i="7"/>
  <c r="O73" i="7" s="1"/>
  <c r="N96" i="7"/>
  <c r="P96" i="7" s="1"/>
  <c r="P123" i="7"/>
  <c r="M128" i="7"/>
  <c r="O128" i="7" s="1"/>
  <c r="P128" i="7" s="1"/>
  <c r="H68" i="4" s="1"/>
  <c r="M133" i="7"/>
  <c r="O133" i="7" s="1"/>
  <c r="M138" i="7"/>
  <c r="O138" i="7" s="1"/>
  <c r="P5" i="7"/>
  <c r="H5" i="4" s="1"/>
  <c r="P17" i="7"/>
  <c r="H16" i="4" s="1"/>
  <c r="N60" i="7"/>
  <c r="M78" i="7"/>
  <c r="O78" i="7" s="1"/>
  <c r="P101" i="7"/>
  <c r="N123" i="7"/>
  <c r="P30" i="7"/>
  <c r="H24" i="4" s="1"/>
  <c r="P87" i="7"/>
  <c r="M92" i="7"/>
  <c r="O92" i="7" s="1"/>
  <c r="M21" i="7"/>
  <c r="O21" i="7" s="1"/>
  <c r="P21" i="7" s="1"/>
  <c r="M26" i="7"/>
  <c r="O26" i="7" s="1"/>
  <c r="M30" i="7"/>
  <c r="O30" i="7" s="1"/>
  <c r="M56" i="7"/>
  <c r="O56" i="7" s="1"/>
  <c r="P56" i="7" s="1"/>
  <c r="H39" i="4" s="1"/>
  <c r="M61" i="7"/>
  <c r="O61" i="7" s="1"/>
  <c r="M65" i="7"/>
  <c r="O65" i="7" s="1"/>
  <c r="P65" i="7" s="1"/>
  <c r="M74" i="7"/>
  <c r="O74" i="7" s="1"/>
  <c r="P74" i="7" s="1"/>
  <c r="M79" i="7"/>
  <c r="O79" i="7" s="1"/>
  <c r="P79" i="7" s="1"/>
  <c r="N87" i="7"/>
  <c r="N120" i="7"/>
  <c r="P120" i="7" s="1"/>
  <c r="M134" i="7"/>
  <c r="O134" i="7" s="1"/>
  <c r="M102" i="7"/>
  <c r="O102" i="7" s="1"/>
  <c r="P102" i="7" s="1"/>
  <c r="H61" i="4" s="1"/>
  <c r="M125" i="7"/>
  <c r="O125" i="7" s="1"/>
  <c r="M66" i="7"/>
  <c r="O66" i="7" s="1"/>
  <c r="M89" i="7"/>
  <c r="O89" i="7" s="1"/>
  <c r="N111" i="7"/>
  <c r="P111" i="7" s="1"/>
  <c r="M126" i="7"/>
  <c r="O126" i="7" s="1"/>
  <c r="M140" i="7"/>
  <c r="O140" i="7" s="1"/>
  <c r="P140" i="7" s="1"/>
  <c r="P31" i="7"/>
  <c r="M23" i="7"/>
  <c r="O23" i="7" s="1"/>
  <c r="N27" i="7"/>
  <c r="P27" i="7" s="1"/>
  <c r="N75" i="7"/>
  <c r="P75" i="7" s="1"/>
  <c r="M90" i="7"/>
  <c r="O90" i="7" s="1"/>
  <c r="N108" i="7"/>
  <c r="P108" i="7" s="1"/>
  <c r="N47" i="7"/>
  <c r="P47" i="7" s="1"/>
  <c r="M47" i="7"/>
  <c r="O47" i="7" s="1"/>
  <c r="P6" i="7"/>
  <c r="H6" i="4" s="1"/>
  <c r="P18" i="7"/>
  <c r="H17" i="4" s="1"/>
  <c r="P48" i="7"/>
  <c r="P61" i="7"/>
  <c r="H43" i="4" s="1"/>
  <c r="N83" i="7"/>
  <c r="M83" i="7"/>
  <c r="O83" i="7" s="1"/>
  <c r="N119" i="7"/>
  <c r="M119" i="7"/>
  <c r="O119" i="7" s="1"/>
  <c r="P138" i="7"/>
  <c r="N35" i="7"/>
  <c r="M35" i="7"/>
  <c r="O35" i="7" s="1"/>
  <c r="P66" i="7"/>
  <c r="H46" i="4" s="1"/>
  <c r="P92" i="7"/>
  <c r="H57" i="4" s="1"/>
  <c r="P97" i="7"/>
  <c r="H60" i="4" s="1"/>
  <c r="P133" i="7"/>
  <c r="H71" i="4" s="1"/>
  <c r="M11" i="7"/>
  <c r="O11" i="7" s="1"/>
  <c r="P11" i="7" s="1"/>
  <c r="H11" i="4" s="1"/>
  <c r="P23" i="7"/>
  <c r="H20" i="4" s="1"/>
  <c r="P36" i="7"/>
  <c r="P44" i="7"/>
  <c r="H31" i="4" s="1"/>
  <c r="P49" i="7"/>
  <c r="H33" i="4" s="1"/>
  <c r="P89" i="7"/>
  <c r="P125" i="7"/>
  <c r="P54" i="7"/>
  <c r="H37" i="4" s="1"/>
  <c r="N71" i="7"/>
  <c r="M71" i="7"/>
  <c r="O71" i="7" s="1"/>
  <c r="N107" i="7"/>
  <c r="M107" i="7"/>
  <c r="O107" i="7" s="1"/>
  <c r="N4" i="7"/>
  <c r="M4" i="7"/>
  <c r="O4" i="7" s="1"/>
  <c r="P80" i="7"/>
  <c r="P85" i="7"/>
  <c r="H54" i="4" s="1"/>
  <c r="P90" i="7"/>
  <c r="P116" i="7"/>
  <c r="P121" i="7"/>
  <c r="P126" i="7"/>
  <c r="N16" i="7"/>
  <c r="M16" i="7"/>
  <c r="O16" i="7" s="1"/>
  <c r="P37" i="7"/>
  <c r="P58" i="7"/>
  <c r="N59" i="7"/>
  <c r="M59" i="7"/>
  <c r="O59" i="7" s="1"/>
  <c r="P113" i="7"/>
  <c r="N95" i="7"/>
  <c r="M95" i="7"/>
  <c r="O95" i="7" s="1"/>
  <c r="N131" i="7"/>
  <c r="P131" i="7" s="1"/>
  <c r="M131" i="7"/>
  <c r="O131" i="7" s="1"/>
  <c r="P25" i="7"/>
  <c r="P60" i="7"/>
  <c r="H42" i="4" s="1"/>
  <c r="P64" i="7"/>
  <c r="H45" i="4" s="1"/>
  <c r="P73" i="7"/>
  <c r="P78" i="7"/>
  <c r="P104" i="7"/>
  <c r="P114" i="7"/>
  <c r="M28" i="7"/>
  <c r="O28" i="7" s="1"/>
  <c r="P28" i="7" s="1"/>
  <c r="M40" i="7"/>
  <c r="O40" i="7" s="1"/>
  <c r="P40" i="7" s="1"/>
  <c r="H28" i="4" s="1"/>
  <c r="M52" i="7"/>
  <c r="O52" i="7" s="1"/>
  <c r="P52" i="7" s="1"/>
  <c r="H35" i="4" s="1"/>
  <c r="M64" i="7"/>
  <c r="O64" i="7" s="1"/>
  <c r="M76" i="7"/>
  <c r="O76" i="7" s="1"/>
  <c r="P76" i="7" s="1"/>
  <c r="M88" i="7"/>
  <c r="O88" i="7" s="1"/>
  <c r="P88" i="7" s="1"/>
  <c r="H55" i="4" s="1"/>
  <c r="M100" i="7"/>
  <c r="O100" i="7" s="1"/>
  <c r="P100" i="7" s="1"/>
  <c r="M112" i="7"/>
  <c r="O112" i="7" s="1"/>
  <c r="P112" i="7" s="1"/>
  <c r="M124" i="7"/>
  <c r="O124" i="7" s="1"/>
  <c r="P124" i="7" s="1"/>
  <c r="H66" i="4" s="1"/>
  <c r="M136" i="7"/>
  <c r="O136" i="7" s="1"/>
  <c r="P136" i="7" s="1"/>
  <c r="H73" i="4" s="1"/>
  <c r="M10" i="7"/>
  <c r="O10" i="7" s="1"/>
  <c r="P10" i="7" s="1"/>
  <c r="H10" i="4" s="1"/>
  <c r="M22" i="7"/>
  <c r="O22" i="7" s="1"/>
  <c r="P22" i="7" s="1"/>
  <c r="H19" i="4" s="1"/>
  <c r="M34" i="7"/>
  <c r="O34" i="7" s="1"/>
  <c r="P34" i="7" s="1"/>
  <c r="H25" i="4" s="1"/>
  <c r="M46" i="7"/>
  <c r="O46" i="7" s="1"/>
  <c r="P46" i="7" s="1"/>
  <c r="H32" i="4" s="1"/>
  <c r="M58" i="7"/>
  <c r="O58" i="7" s="1"/>
  <c r="M70" i="7"/>
  <c r="O70" i="7" s="1"/>
  <c r="P70" i="7" s="1"/>
  <c r="H48" i="4" s="1"/>
  <c r="M82" i="7"/>
  <c r="O82" i="7" s="1"/>
  <c r="P82" i="7" s="1"/>
  <c r="M94" i="7"/>
  <c r="O94" i="7" s="1"/>
  <c r="P94" i="7" s="1"/>
  <c r="H58" i="4" s="1"/>
  <c r="M106" i="7"/>
  <c r="O106" i="7" s="1"/>
  <c r="P106" i="7" s="1"/>
  <c r="M118" i="7"/>
  <c r="O118" i="7" s="1"/>
  <c r="P118" i="7" s="1"/>
  <c r="M130" i="7"/>
  <c r="O130" i="7" s="1"/>
  <c r="P130" i="7" s="1"/>
  <c r="M135" i="7"/>
  <c r="O135" i="7" s="1"/>
  <c r="P135" i="7" s="1"/>
  <c r="H27" i="4" l="1"/>
  <c r="P35" i="7"/>
  <c r="H26" i="4" s="1"/>
  <c r="P59" i="7"/>
  <c r="H41" i="4" s="1"/>
  <c r="H23" i="4"/>
  <c r="H50" i="4"/>
  <c r="H52" i="4"/>
  <c r="H72" i="4"/>
  <c r="P16" i="7"/>
  <c r="H15" i="4" s="1"/>
  <c r="P71" i="7"/>
  <c r="H49" i="4" s="1"/>
  <c r="H63" i="4"/>
  <c r="H56" i="4"/>
  <c r="H53" i="4"/>
  <c r="H64" i="4"/>
  <c r="H75" i="4"/>
  <c r="P95" i="7"/>
  <c r="H59" i="4" s="1"/>
  <c r="P4" i="7"/>
  <c r="H4" i="4" s="1"/>
  <c r="P119" i="7"/>
  <c r="H65" i="4" s="1"/>
  <c r="H70" i="4"/>
  <c r="H21" i="4"/>
  <c r="P107" i="7"/>
  <c r="H62" i="4" s="1"/>
  <c r="P83" i="7"/>
  <c r="H67" i="4"/>
</calcChain>
</file>

<file path=xl/sharedStrings.xml><?xml version="1.0" encoding="utf-8"?>
<sst xmlns="http://schemas.openxmlformats.org/spreadsheetml/2006/main" count="2089" uniqueCount="561">
  <si>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</si>
  <si>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</si>
  <si>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</si>
  <si>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</si>
  <si>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</si>
  <si>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</si>
  <si>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</si>
  <si>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</si>
  <si>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</si>
  <si>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</si>
  <si>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</si>
  <si>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</si>
  <si>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</si>
  <si>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</si>
  <si>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</si>
  <si>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</si>
  <si>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</si>
  <si>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</si>
  <si>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</si>
  <si>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</si>
  <si>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</si>
  <si>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</si>
  <si>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</si>
  <si>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</si>
  <si>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</si>
  <si>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</si>
  <si>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</si>
  <si>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</si>
  <si>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</si>
  <si>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</si>
  <si>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</si>
  <si>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</si>
  <si>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</si>
  <si>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</si>
  <si>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</si>
  <si>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</si>
  <si>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</si>
  <si>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</si>
  <si>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</si>
  <si>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</si>
  <si>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</si>
  <si>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</si>
  <si>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</si>
  <si>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</si>
  <si>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</si>
  <si>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</si>
  <si>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</si>
  <si>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</si>
  <si>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</si>
  <si>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</si>
  <si>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</si>
  <si>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</si>
  <si>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</si>
  <si>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</si>
  <si>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</si>
  <si>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</si>
  <si>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</si>
  <si>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</si>
  <si>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</si>
  <si>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</si>
  <si>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</si>
  <si>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</si>
  <si>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</si>
  <si>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</si>
  <si>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</si>
  <si>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</si>
  <si>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</si>
  <si>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</si>
  <si>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</si>
  <si>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</si>
  <si>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</si>
  <si>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</si>
  <si>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</si>
  <si>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</si>
  <si>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</si>
  <si>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</si>
  <si>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</si>
  <si>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</si>
  <si>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</si>
  <si>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</si>
  <si>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</si>
  <si>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</si>
  <si>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</si>
  <si>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</si>
  <si>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</si>
  <si>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</si>
  <si>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</si>
  <si>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</si>
  <si>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 xml:space="preserve">חיים  ראש 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</si>
  <si>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</si>
  <si>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</si>
  <si>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</si>
  <si>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</si>
  <si>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</si>
  <si>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</si>
  <si>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</si>
  <si>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</si>
  <si>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</si>
  <si>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</si>
  <si>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</si>
  <si>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</si>
  <si>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</si>
  <si>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</si>
  <si>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</si>
  <si>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</si>
  <si>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</si>
  <si>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</si>
  <si>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</si>
  <si>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</si>
  <si>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</si>
  <si>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</si>
  <si>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</si>
  <si>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</si>
  <si>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</si>
  <si>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</si>
  <si>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</si>
  <si>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</si>
  <si>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</si>
  <si>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</si>
  <si>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</si>
  <si>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</si>
  <si>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</si>
  <si>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</si>
  <si>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</si>
  <si>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</si>
  <si>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</si>
  <si>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</si>
  <si>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</si>
  <si>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</si>
  <si>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</si>
  <si>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</si>
  <si>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</si>
  <si>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</si>
  <si>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</si>
  <si>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</si>
  <si>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</si>
  <si>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</si>
  <si>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</si>
  <si>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</si>
  <si>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שלמה יורם</t>
  </si>
  <si>
    <t>01/01/2025</t>
  </si>
  <si>
    <t>19/01/2025</t>
  </si>
  <si>
    <t>23/01/2025</t>
  </si>
  <si>
    <t>בורך משה</t>
  </si>
  <si>
    <t>27/11/2024</t>
  </si>
  <si>
    <t>פרדר נתן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</si>
  <si>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</si>
  <si>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</si>
  <si>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</si>
  <si>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</si>
  <si>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</si>
  <si>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</si>
  <si>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</si>
  <si>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</si>
  <si>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</si>
  <si>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</si>
  <si>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</si>
  <si>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מלח אייל</t>
  </si>
  <si>
    <t>03/01/2025</t>
  </si>
  <si>
    <t>ראש חיים</t>
  </si>
  <si>
    <t>17/11/2024</t>
  </si>
  <si>
    <t>21/11/2024</t>
  </si>
  <si>
    <t>אליה אריאל</t>
  </si>
  <si>
    <t>שמייב לאון</t>
  </si>
  <si>
    <t>שווקי אוראל</t>
  </si>
  <si>
    <t>09/10/2024</t>
  </si>
  <si>
    <t>11/10/2024</t>
  </si>
  <si>
    <t>חנגל צדוק צחי</t>
  </si>
  <si>
    <t>27/10/2024</t>
  </si>
  <si>
    <t>28/10/2024</t>
  </si>
  <si>
    <t>25/11/2024</t>
  </si>
  <si>
    <t>בנדרימר דניאל</t>
  </si>
  <si>
    <t>29/10/2024</t>
  </si>
  <si>
    <t>30/10/2024</t>
  </si>
  <si>
    <t>02/12/2024</t>
  </si>
  <si>
    <t>PDF_מנה_0204</t>
  </si>
  <si>
    <t>15/12/2024</t>
  </si>
  <si>
    <t>19/12/2024</t>
  </si>
  <si>
    <t>מרקוביץ' מנפרד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</si>
  <si>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</si>
  <si>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</si>
  <si>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</si>
  <si>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</si>
  <si>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</si>
  <si>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</si>
  <si>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</si>
  <si>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</si>
  <si>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</si>
  <si>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</si>
  <si>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</si>
  <si>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</si>
  <si>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</si>
  <si>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</si>
  <si>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</si>
  <si>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</si>
  <si>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</si>
  <si>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</si>
  <si>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</si>
  <si>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</si>
  <si>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</si>
  <si>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</si>
  <si>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</si>
  <si>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</si>
  <si>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</si>
  <si>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</si>
  <si>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</si>
  <si>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</si>
  <si>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</si>
  <si>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</si>
  <si>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</si>
  <si>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</si>
  <si>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</si>
  <si>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</si>
  <si>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</si>
  <si>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</si>
  <si>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</si>
  <si>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</si>
  <si>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</si>
  <si>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</si>
  <si>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</si>
  <si>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</si>
  <si>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</si>
  <si>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</si>
  <si>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</si>
  <si>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</si>
  <si>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</si>
  <si>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</si>
  <si>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</si>
  <si>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</si>
  <si>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</si>
  <si>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</si>
  <si>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</si>
  <si>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</si>
  <si>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יורם שלמה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</si>
  <si>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</si>
  <si>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</si>
  <si>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</si>
  <si>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</si>
  <si>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</si>
  <si>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</si>
  <si>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</si>
  <si>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</si>
  <si>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</si>
  <si>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</si>
  <si>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</si>
  <si>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</si>
  <si>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</si>
  <si>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</si>
  <si>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</si>
  <si>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</si>
  <si>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</si>
  <si>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</si>
  <si>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</si>
  <si>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</si>
  <si>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</si>
  <si>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חודש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</si>
  <si>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</si>
  <si>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</si>
  <si>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</si>
  <si>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</si>
  <si>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</si>
  <si>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</si>
  <si>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</si>
  <si>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</si>
  <si>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03/2025</t>
  </si>
  <si>
    <t>ממתין לתקבול</t>
  </si>
  <si>
    <t>P0001</t>
  </si>
  <si>
    <t>09/2025</t>
  </si>
  <si>
    <t>P0002</t>
  </si>
  <si>
    <t>01/2025</t>
  </si>
  <si>
    <t>P0003</t>
  </si>
  <si>
    <t>05/2025</t>
  </si>
  <si>
    <t>P0004</t>
  </si>
  <si>
    <t>06/2025</t>
  </si>
  <si>
    <t>P0005</t>
  </si>
  <si>
    <t>07/2025</t>
  </si>
  <si>
    <t>P0006</t>
  </si>
  <si>
    <t>P0007</t>
  </si>
  <si>
    <t>התקבל מלא</t>
  </si>
  <si>
    <t>P0008</t>
  </si>
  <si>
    <t>P0009</t>
  </si>
  <si>
    <t>04/2025</t>
  </si>
  <si>
    <t>P0010, P0011</t>
  </si>
  <si>
    <t>P0012</t>
  </si>
  <si>
    <t>08/2025</t>
  </si>
  <si>
    <t>P0013</t>
  </si>
  <si>
    <t>P0014</t>
  </si>
  <si>
    <t>P0015</t>
  </si>
  <si>
    <t>P0016</t>
  </si>
  <si>
    <t>P0017, P0018</t>
  </si>
  <si>
    <t>P0019</t>
  </si>
  <si>
    <t>P0020, P0021</t>
  </si>
  <si>
    <t>P0022</t>
  </si>
  <si>
    <t>02/2025</t>
  </si>
  <si>
    <t>P0023, P0024</t>
  </si>
  <si>
    <t>P0025</t>
  </si>
  <si>
    <t>P0026, P0027</t>
  </si>
  <si>
    <t>P0028, P0029, P0030</t>
  </si>
  <si>
    <t>P0031, P0032, P0033</t>
  </si>
  <si>
    <t>P0034</t>
  </si>
  <si>
    <t>P0035, P0036, P0037</t>
  </si>
  <si>
    <t>P0038, P0039</t>
  </si>
  <si>
    <t>P0040</t>
  </si>
  <si>
    <t>P0041</t>
  </si>
  <si>
    <t>P0042, P0043, P0044</t>
  </si>
  <si>
    <t>P0045, P0046, P0047</t>
  </si>
  <si>
    <t>P0048, P0049</t>
  </si>
  <si>
    <t>P0050</t>
  </si>
  <si>
    <t>P0051</t>
  </si>
  <si>
    <t>P0052</t>
  </si>
  <si>
    <t>P0053</t>
  </si>
  <si>
    <t>P0054</t>
  </si>
  <si>
    <t>P0055</t>
  </si>
  <si>
    <t>P0056</t>
  </si>
  <si>
    <t>P0057, P0058</t>
  </si>
  <si>
    <t>P0059</t>
  </si>
  <si>
    <t>P0060</t>
  </si>
  <si>
    <t>P0061, P0062</t>
  </si>
  <si>
    <t>P0063, P0064</t>
  </si>
  <si>
    <t>P0065</t>
  </si>
  <si>
    <t>P0066, P0067</t>
  </si>
  <si>
    <t>P0068, P0069</t>
  </si>
  <si>
    <t>P0070, P0071, P0072, P0073</t>
  </si>
  <si>
    <t>P0074, P0075</t>
  </si>
  <si>
    <t>P0076, P0077</t>
  </si>
  <si>
    <t>P0078, P0079, P0080</t>
  </si>
  <si>
    <t>P0081, P0082</t>
  </si>
  <si>
    <t>P0083, P0084, P0085, P0086</t>
  </si>
  <si>
    <t>P0087</t>
  </si>
  <si>
    <t>P0088, P0089, P0090</t>
  </si>
  <si>
    <t>P0091, P0092</t>
  </si>
  <si>
    <t>P0093</t>
  </si>
  <si>
    <t>P0094</t>
  </si>
  <si>
    <t>P0095, P0096, P0097, P0098, P0099</t>
  </si>
  <si>
    <t>P0100, P0101, P0102, P0103</t>
  </si>
  <si>
    <t>P0104, P0105, P0106, P0107, P0108</t>
  </si>
  <si>
    <t>P0109, P0110, P0111, P0112</t>
  </si>
  <si>
    <t>P0113, P0114, P0115, P0116, P0117</t>
  </si>
  <si>
    <t>P0118, P0119, P0120</t>
  </si>
  <si>
    <t>P0121, P0122, P0123</t>
  </si>
  <si>
    <t>P0124, P0125</t>
  </si>
  <si>
    <t>P0126, P0127</t>
  </si>
  <si>
    <t>P0128</t>
  </si>
  <si>
    <t>P0129, P0130</t>
  </si>
  <si>
    <t>P0131, P0132</t>
  </si>
  <si>
    <t>P0133, P0134</t>
  </si>
  <si>
    <t>P0135</t>
  </si>
  <si>
    <t>P0136</t>
  </si>
  <si>
    <t>P0137, P0138, P0139</t>
  </si>
  <si>
    <t>מנה</t>
  </si>
  <si>
    <t>סה"כ כולל ₪</t>
  </si>
  <si>
    <t>סה"כ: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</si>
  <si>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</si>
  <si>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</si>
  <si>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</si>
  <si>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</si>
  <si>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</si>
  <si>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</si>
  <si>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</si>
  <si>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28027738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</si>
  <si>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</si>
  <si>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</si>
  <si>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</si>
  <si>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</si>
  <si>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</si>
  <si>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</si>
  <si>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</si>
  <si>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11915519</t>
  </si>
  <si>
    <t>תעריף נוכחי</t>
  </si>
  <si>
    <t>22201347</t>
  </si>
  <si>
    <t>25147505</t>
  </si>
  <si>
    <t>25155235</t>
  </si>
  <si>
    <t>203661004</t>
  </si>
  <si>
    <t>308280510</t>
  </si>
  <si>
    <t>דור לוי</t>
  </si>
  <si>
    <t>315919936</t>
  </si>
  <si>
    <t>📝 הוראות שימוש: להוספת שינוי שכר - הוסף שורה חדשה עם התעריף החדש ועדכן את 'תקף עד תאריך' בשורה הקודמת</t>
  </si>
  <si>
    <t>מזהה תקופה</t>
  </si>
  <si>
    <t>ימי שישי</t>
  </si>
  <si>
    <t>ימי שבת</t>
  </si>
  <si>
    <t>ימי חג</t>
  </si>
  <si>
    <t>תשלום מעסיק (א-ה)</t>
  </si>
  <si>
    <t>תשלום הפרש סופ"ש</t>
  </si>
  <si>
    <t>פיצוי 20% למעסיק</t>
  </si>
  <si>
    <t>סה"כ צפוי מב"ל</t>
  </si>
  <si>
    <t>תאריך הגשה לביטוח לאומי</t>
  </si>
  <si>
    <t>01/09/2025</t>
  </si>
  <si>
    <t>17/09/2025</t>
  </si>
  <si>
    <t>21/05/2025</t>
  </si>
  <si>
    <t>29/07/2025</t>
  </si>
  <si>
    <t>11/09/2025</t>
  </si>
  <si>
    <t>14/09/2025</t>
  </si>
  <si>
    <t>22/01/2025</t>
  </si>
  <si>
    <t>02/03/2025</t>
  </si>
  <si>
    <t>P0010</t>
  </si>
  <si>
    <t>P0011</t>
  </si>
  <si>
    <t>27/04/2025</t>
  </si>
  <si>
    <t>17/08/2025</t>
  </si>
  <si>
    <t>21/08/2025</t>
  </si>
  <si>
    <t>26/01/2025</t>
  </si>
  <si>
    <t>30/01/2025</t>
  </si>
  <si>
    <t>22/04/2025</t>
  </si>
  <si>
    <t>29/05/2025</t>
  </si>
  <si>
    <t>03/06/2025</t>
  </si>
  <si>
    <t>P0017</t>
  </si>
  <si>
    <t>07/07/2025</t>
  </si>
  <si>
    <t>P0018</t>
  </si>
  <si>
    <t>27/07/2025</t>
  </si>
  <si>
    <t>28/07/2025</t>
  </si>
  <si>
    <t>06/08/2025</t>
  </si>
  <si>
    <t>07/08/2025</t>
  </si>
  <si>
    <t>P0020</t>
  </si>
  <si>
    <t>09/09/2025</t>
  </si>
  <si>
    <t>P0021</t>
  </si>
  <si>
    <t>30/09/2025</t>
  </si>
  <si>
    <t>P0023</t>
  </si>
  <si>
    <t>20/02/2025</t>
  </si>
  <si>
    <t>P0024</t>
  </si>
  <si>
    <t>29/06/2025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</si>
  <si>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</si>
  <si>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</si>
  <si>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</si>
  <si>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</si>
  <si>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</si>
  <si>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</si>
  <si>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</si>
  <si>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</si>
  <si>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P0035</t>
  </si>
  <si>
    <t>05/05/2025</t>
  </si>
  <si>
    <t>P0036</t>
  </si>
  <si>
    <t>P0037</t>
  </si>
  <si>
    <t>P0038</t>
  </si>
  <si>
    <t>P0039</t>
  </si>
  <si>
    <t>P0042</t>
  </si>
  <si>
    <t>21/07/2025</t>
  </si>
  <si>
    <t>P0043</t>
  </si>
  <si>
    <t>23/07/2025</t>
  </si>
  <si>
    <t>24/07/2025</t>
  </si>
  <si>
    <t>P0044</t>
  </si>
  <si>
    <t>30/07/2025</t>
  </si>
  <si>
    <t>P0045</t>
  </si>
  <si>
    <t>04/08/2025</t>
  </si>
  <si>
    <t>P0046</t>
  </si>
  <si>
    <t>P0047</t>
  </si>
  <si>
    <t>12/08/2025</t>
  </si>
  <si>
    <t>P0048</t>
  </si>
  <si>
    <t>15/09/2025</t>
  </si>
  <si>
    <t>16/09/2025</t>
  </si>
  <si>
    <t>P0049</t>
  </si>
  <si>
    <t>21/09/2025</t>
  </si>
  <si>
    <t>16/06/2025</t>
  </si>
  <si>
    <t>23/06/2025</t>
  </si>
  <si>
    <t>20/08/2025</t>
  </si>
  <si>
    <t>24/04/2025</t>
  </si>
  <si>
    <t>P0057</t>
  </si>
  <si>
    <t>20/05/2025</t>
  </si>
  <si>
    <t>P0058</t>
  </si>
  <si>
    <t>26/05/2025</t>
  </si>
  <si>
    <t>30/05/2025</t>
  </si>
  <si>
    <t>18/06/2025</t>
  </si>
  <si>
    <t>22/06/2025</t>
  </si>
  <si>
    <t>22/07/2025</t>
  </si>
  <si>
    <t>P0061</t>
  </si>
  <si>
    <t>05/08/2025</t>
  </si>
  <si>
    <t>P0062</t>
  </si>
  <si>
    <t>19/08/2025</t>
  </si>
  <si>
    <t>P0063</t>
  </si>
  <si>
    <t>P0064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</si>
  <si>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</si>
  <si>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</si>
  <si>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</si>
  <si>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</si>
  <si>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</si>
  <si>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</si>
  <si>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</si>
  <si>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</si>
  <si>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</si>
  <si>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</si>
  <si>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29/01/2025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</si>
  <si>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</si>
  <si>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</si>
  <si>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</si>
  <si>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</si>
  <si>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</si>
  <si>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</si>
  <si>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</si>
  <si>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</si>
  <si>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</si>
  <si>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</si>
  <si>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</si>
  <si>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P0088</t>
  </si>
  <si>
    <t>P0089</t>
  </si>
  <si>
    <t>13/08/2025</t>
  </si>
  <si>
    <t>P0090</t>
  </si>
  <si>
    <t>P0091</t>
  </si>
  <si>
    <t>P0092</t>
  </si>
  <si>
    <t>19/06/2025</t>
  </si>
  <si>
    <t>24/06/2025</t>
  </si>
  <si>
    <t>P0095</t>
  </si>
  <si>
    <t>P0096</t>
  </si>
  <si>
    <t>P0097</t>
  </si>
  <si>
    <t>P0098</t>
  </si>
  <si>
    <t>P0099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</si>
  <si>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</si>
  <si>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</si>
  <si>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</si>
  <si>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</si>
  <si>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</si>
  <si>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</si>
  <si>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</si>
  <si>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</si>
  <si>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P0104</t>
  </si>
  <si>
    <t>P0105</t>
  </si>
  <si>
    <t>P0106</t>
  </si>
  <si>
    <t>P0107</t>
  </si>
  <si>
    <t>28/03/2025</t>
  </si>
  <si>
    <t>P0108</t>
  </si>
  <si>
    <t>P0109</t>
  </si>
  <si>
    <t>06/04/2025</t>
  </si>
  <si>
    <t>P0110</t>
  </si>
  <si>
    <t>P0111</t>
  </si>
  <si>
    <t>P0112</t>
  </si>
  <si>
    <t>29/04/2025</t>
  </si>
  <si>
    <t>P0113</t>
  </si>
  <si>
    <t>06/05/2025</t>
  </si>
  <si>
    <t>P0114</t>
  </si>
  <si>
    <t>18/05/2025</t>
  </si>
  <si>
    <t>P0115</t>
  </si>
  <si>
    <t>P0116</t>
  </si>
  <si>
    <t>P0117</t>
  </si>
  <si>
    <t>P0118</t>
  </si>
  <si>
    <t>04/06/2025</t>
  </si>
  <si>
    <t>P0119</t>
  </si>
  <si>
    <t>08/06/2025</t>
  </si>
  <si>
    <t>P0120</t>
  </si>
  <si>
    <t>P0121</t>
  </si>
  <si>
    <t>16/07/2025</t>
  </si>
  <si>
    <t>P0122</t>
  </si>
  <si>
    <t>P0123</t>
  </si>
  <si>
    <t>P0124</t>
  </si>
  <si>
    <t>P0125</t>
  </si>
  <si>
    <t>18/08/2025</t>
  </si>
  <si>
    <t>P0126</t>
  </si>
  <si>
    <t>03/09/2025</t>
  </si>
  <si>
    <t>04/09/2025</t>
  </si>
  <si>
    <t>P0127</t>
  </si>
  <si>
    <t>P0129</t>
  </si>
  <si>
    <t>P0130</t>
  </si>
  <si>
    <t>P0131</t>
  </si>
  <si>
    <t>10/06/2025</t>
  </si>
  <si>
    <t>P0132</t>
  </si>
  <si>
    <t>15/06/2025</t>
  </si>
  <si>
    <t>P0133</t>
  </si>
  <si>
    <t>P0134</t>
  </si>
  <si>
    <t>11/08/2025</t>
  </si>
  <si>
    <t>07/09/2025</t>
  </si>
  <si>
    <t>P0137</t>
  </si>
  <si>
    <t>P0138</t>
  </si>
  <si>
    <t>09/06/2025</t>
  </si>
  <si>
    <t>P0139</t>
  </si>
  <si>
    <t>28/06/2025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</si>
</sst>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b/>
      <sz val="14"/>
      <color rgb="FF2D5F3F"/>
      <name val="Arial"/>
    </font>
    <font>
      <b/>
      <sz val="12"/>
      <color rgb="FF528163"/>
      <name val="Arial"/>
    </font>
    <font>
      <b/>
      <sz val="11"/>
      <color rgb="FF2D5F3F"/>
      <name val="Arial"/>
    </font>
    <font>
      <b/>
      <sz val="11"/>
      <color rgb="FF528163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b/>
      <sz val="11"/>
      <color rgb="FF27AE60"/>
      <name val="Arial"/>
    </font>
    <font>
      <b/>
      <sz val="14"/>
      <color rgb="FF27AE60"/>
      <name val="Arial"/>
    </font>
    <font>
      <b/>
      <sz val="14"/>
      <name val="Arial"/>
    </font>
    <font>
      <i/>
      <sz val="10"/>
      <color rgb="FF636E72"/>
      <name val="Arial"/>
    </font>
    <font>
      <b/>
      <sz val="11"/>
      <color rgb="FFF39C12"/>
      <name val="Arial"/>
    </font>
    <font>
      <i/>
      <sz val="9"/>
      <color rgb="FF95A5A6"/>
      <name val="Arial"/>
    </font>
    <font>
      <b/>
      <sz val="11"/>
      <color rgb="FFFFFFFF"/>
      <name val="Assistant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2" fillId="5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1" fillId="0" borderId="0" xfId="0" applyFont="1"/>
    <xf numFmtId="0" fontId="0" fillId="6" borderId="1" xfId="0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rightToLeft="1"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0</v>
      </c>
    </row>
    <row r="2" spans="1:1" ht="20.100000000000001" customHeight="1" x14ac:dyDescent="0.2">
      <c r="A2" s="4" t="s">
        <v>1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2</v>
      </c>
    </row>
    <row r="5" spans="1:1" ht="20.100000000000001" customHeight="1" x14ac:dyDescent="0.2">
      <c r="A5" s="5" t="s">
        <v>3</v>
      </c>
    </row>
    <row r="6" spans="1:1" ht="20.100000000000001" customHeight="1" x14ac:dyDescent="0.2">
      <c r="A6" s="5" t="s">
        <v>4</v>
      </c>
    </row>
    <row r="7" spans="1:1" ht="20.100000000000001" customHeight="1" x14ac:dyDescent="0.2">
      <c r="A7" s="5" t="s">
        <v>5</v>
      </c>
    </row>
    <row r="8" spans="1:1" ht="20.100000000000001" customHeight="1" x14ac:dyDescent="0.2">
      <c r="A8" s="5" t="s">
        <v>6</v>
      </c>
    </row>
    <row r="9" spans="1:1" ht="20.100000000000001" customHeight="1" x14ac:dyDescent="0.2">
      <c r="A9" s="5" t="s">
        <v>7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8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9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10</v>
      </c>
    </row>
    <row r="16" spans="1:1" ht="20.100000000000001" customHeight="1" x14ac:dyDescent="0.2">
      <c r="A16" s="5" t="s">
        <v>11</v>
      </c>
    </row>
    <row r="17" spans="1:1" ht="20.100000000000001" customHeight="1" x14ac:dyDescent="0.2">
      <c r="A17" s="5" t="s">
        <v>12</v>
      </c>
    </row>
    <row r="18" spans="1:1" ht="20.100000000000001" customHeight="1" x14ac:dyDescent="0.2">
      <c r="A18" s="5" t="s">
        <v>13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14</v>
      </c>
    </row>
    <row r="21" spans="1:1" ht="20.100000000000001" customHeight="1" x14ac:dyDescent="0.2">
      <c r="A21" s="5" t="s">
        <v>15</v>
      </c>
    </row>
    <row r="22" spans="1:1" ht="20.100000000000001" customHeight="1" x14ac:dyDescent="0.2">
      <c r="A22" s="5" t="s">
        <v>16</v>
      </c>
    </row>
    <row r="23" spans="1:1" ht="20.100000000000001" customHeight="1" x14ac:dyDescent="0.2">
      <c r="A23" s="5" t="s">
        <v>17</v>
      </c>
    </row>
    <row r="24" spans="1:1" ht="20.100000000000001" customHeight="1" x14ac:dyDescent="0.2">
      <c r="A24" s="5" t="s">
        <v>18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19</v>
      </c>
    </row>
    <row r="27" spans="1:1" ht="20.100000000000001" customHeight="1" x14ac:dyDescent="0.2">
      <c r="A27" s="5" t="s">
        <v>20</v>
      </c>
    </row>
    <row r="28" spans="1:1" ht="20.100000000000001" customHeight="1" x14ac:dyDescent="0.2">
      <c r="A28" s="5" t="s">
        <v>21</v>
      </c>
    </row>
    <row r="29" spans="1:1" ht="20.100000000000001" customHeight="1" x14ac:dyDescent="0.2">
      <c r="A29" s="5" t="s">
        <v>22</v>
      </c>
    </row>
    <row r="30" spans="1:1" ht="20.100000000000001" customHeight="1" x14ac:dyDescent="0.2">
      <c r="A30" s="5" t="s">
        <v>23</v>
      </c>
    </row>
    <row r="31" spans="1:1" ht="20.100000000000001" customHeight="1" x14ac:dyDescent="0.2">
      <c r="A31" s="5" t="s">
        <v>24</v>
      </c>
    </row>
    <row r="32" spans="1:1" ht="20.100000000000001" customHeight="1" x14ac:dyDescent="0.2">
      <c r="A32" s="5" t="s">
        <v>25</v>
      </c>
    </row>
    <row r="33" spans="1:1" ht="20.100000000000001" customHeight="1" x14ac:dyDescent="0.2">
      <c r="A33" s="5" t="s">
        <v>26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27</v>
      </c>
    </row>
    <row r="36" spans="1:1" ht="20.100000000000001" customHeight="1" x14ac:dyDescent="0.2">
      <c r="A36" s="5" t="s">
        <v>28</v>
      </c>
    </row>
    <row r="37" spans="1:1" ht="20.100000000000001" customHeight="1" x14ac:dyDescent="0.2">
      <c r="A37" s="5" t="s">
        <v>29</v>
      </c>
    </row>
    <row r="38" spans="1:1" ht="20.100000000000001" customHeight="1" x14ac:dyDescent="0.2">
      <c r="A38" s="5" t="s">
        <v>30</v>
      </c>
    </row>
    <row r="39" spans="1:1" ht="20.100000000000001" customHeight="1" x14ac:dyDescent="0.2">
      <c r="A39" s="5" t="s">
        <v>31</v>
      </c>
    </row>
    <row r="40" spans="1:1" ht="20.100000000000001" customHeight="1" x14ac:dyDescent="0.2">
      <c r="A40" s="5" t="s">
        <v>32</v>
      </c>
    </row>
    <row r="41" spans="1:1" ht="20.100000000000001" customHeight="1" x14ac:dyDescent="0.2">
      <c r="A41" s="5" t="s">
        <v>33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8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34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35</v>
      </c>
    </row>
    <row r="48" spans="1:1" ht="20.100000000000001" customHeight="1" x14ac:dyDescent="0.2">
      <c r="A48" s="5" t="s">
        <v>36</v>
      </c>
    </row>
    <row r="49" spans="1:1" ht="20.100000000000001" customHeight="1" x14ac:dyDescent="0.2">
      <c r="A49" s="5" t="s">
        <v>37</v>
      </c>
    </row>
    <row r="50" spans="1:1" ht="20.100000000000001" customHeight="1" x14ac:dyDescent="0.2">
      <c r="A50" s="5" t="s">
        <v>38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8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39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40</v>
      </c>
    </row>
    <row r="57" spans="1:1" ht="20.100000000000001" customHeight="1" x14ac:dyDescent="0.2">
      <c r="A57" s="5" t="s">
        <v>41</v>
      </c>
    </row>
    <row r="58" spans="1:1" ht="20.100000000000001" customHeight="1" x14ac:dyDescent="0.2">
      <c r="A58" s="5" t="s">
        <v>42</v>
      </c>
    </row>
    <row r="59" spans="1:1" ht="20.100000000000001" customHeight="1" x14ac:dyDescent="0.2">
      <c r="A59" s="5" t="s">
        <v>43</v>
      </c>
    </row>
    <row r="60" spans="1:1" ht="20.100000000000001" customHeight="1" x14ac:dyDescent="0.2">
      <c r="A60" s="5" t="s">
        <v>44</v>
      </c>
    </row>
    <row r="61" spans="1:1" ht="20.100000000000001" customHeight="1" x14ac:dyDescent="0.2">
      <c r="A61" s="5" t="s">
        <v>45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8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46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47</v>
      </c>
    </row>
    <row r="68" spans="1:1" ht="20.100000000000001" customHeight="1" x14ac:dyDescent="0.2">
      <c r="A68" s="5" t="s">
        <v>48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49</v>
      </c>
    </row>
    <row r="71" spans="1:1" ht="20.100000000000001" customHeight="1" x14ac:dyDescent="0.2">
      <c r="A71" s="5" t="s">
        <v>50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51</v>
      </c>
    </row>
    <row r="74" spans="1:1" ht="20.100000000000001" customHeight="1" x14ac:dyDescent="0.2">
      <c r="A74" s="5" t="s">
        <v>52</v>
      </c>
    </row>
    <row r="75" spans="1:1" ht="20.100000000000001" customHeight="1" x14ac:dyDescent="0.2">
      <c r="A75" s="5" t="s">
        <v>53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8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54</v>
      </c>
    </row>
    <row r="80" spans="1:1" ht="20.100000000000001" customHeight="1" x14ac:dyDescent="0.2">
      <c r="A80" s="5" t="s">
        <v>55</v>
      </c>
    </row>
    <row r="81" spans="1:1" ht="20.100000000000001" customHeight="1" x14ac:dyDescent="0.2">
      <c r="A81" s="5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rightToLeft="1" workbookViewId="0">
      <pane ySplit="1" topLeftCell="A2" activePane="bottomLeft" state="frozen"/>
      <selection pane="bottomLeft" activeCell="F2" sqref="F2"/>
    </sheetView>
  </sheetViews>
  <sheetFormatPr defaultRowHeight="14.25" x14ac:dyDescent="0.2"/>
  <cols>
    <col min="1" max="1" width="9.875" bestFit="1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">
      <c r="A2" s="2"/>
      <c r="B2" s="2" t="s">
        <v>67</v>
      </c>
      <c r="C2" s="2" t="s">
        <v>68</v>
      </c>
      <c r="D2" s="2" t="s">
        <v>69</v>
      </c>
      <c r="E2" s="2" t="s">
        <v>70</v>
      </c>
      <c r="F2" s="2"/>
      <c r="G2" s="2">
        <f>F2/22</f>
        <v>0</v>
      </c>
      <c r="H2" s="2"/>
      <c r="I2" s="2"/>
      <c r="J2" s="2" t="s">
        <v>71</v>
      </c>
    </row>
    <row r="3" spans="1:10" x14ac:dyDescent="0.2">
      <c r="A3" s="2">
        <v>211877550</v>
      </c>
      <c r="B3" s="2" t="s">
        <v>67</v>
      </c>
      <c r="C3" s="2" t="s">
        <v>68</v>
      </c>
      <c r="D3" s="2" t="s">
        <v>69</v>
      </c>
      <c r="E3" s="2" t="s">
        <v>70</v>
      </c>
      <c r="F3" s="2">
        <v>18717</v>
      </c>
      <c r="G3" s="2">
        <v>863.72865712967234</v>
      </c>
      <c r="H3" s="2"/>
      <c r="I3" s="2"/>
      <c r="J3" s="2" t="s">
        <v>71</v>
      </c>
    </row>
    <row r="4" spans="1:10" x14ac:dyDescent="0.2">
      <c r="A4" s="2">
        <v>37643772</v>
      </c>
      <c r="B4" s="2" t="s">
        <v>72</v>
      </c>
      <c r="C4" s="2" t="s">
        <v>73</v>
      </c>
      <c r="D4" s="2" t="s">
        <v>74</v>
      </c>
      <c r="E4" s="2" t="s">
        <v>75</v>
      </c>
      <c r="F4" s="2">
        <v>24026</v>
      </c>
      <c r="G4" s="2">
        <v>1108.7217351176739</v>
      </c>
      <c r="H4" s="2"/>
      <c r="I4" s="2"/>
      <c r="J4" s="2" t="s">
        <v>71</v>
      </c>
    </row>
    <row r="5" spans="1:10" x14ac:dyDescent="0.2">
      <c r="A5" s="2">
        <v>28027738</v>
      </c>
      <c r="B5" s="2" t="s">
        <v>76</v>
      </c>
      <c r="C5" s="2" t="s">
        <v>77</v>
      </c>
      <c r="D5" s="2" t="s">
        <v>78</v>
      </c>
      <c r="E5" s="2" t="s">
        <v>70</v>
      </c>
      <c r="F5" s="2">
        <v>20500</v>
      </c>
      <c r="G5" s="2">
        <v>946.00830641439768</v>
      </c>
      <c r="H5" s="2"/>
      <c r="I5" s="2"/>
      <c r="J5" s="2" t="s">
        <v>79</v>
      </c>
    </row>
    <row r="6" spans="1:10" x14ac:dyDescent="0.2">
      <c r="A6" s="2">
        <v>203661004</v>
      </c>
      <c r="B6" s="2" t="s">
        <v>80</v>
      </c>
      <c r="C6" s="2" t="s">
        <v>81</v>
      </c>
      <c r="D6" s="2" t="s">
        <v>82</v>
      </c>
      <c r="E6" s="2" t="s">
        <v>75</v>
      </c>
      <c r="F6" s="2">
        <v>18828</v>
      </c>
      <c r="G6" s="2">
        <v>868.85094600830632</v>
      </c>
      <c r="H6" s="2"/>
      <c r="I6" s="2"/>
      <c r="J6" s="2" t="s">
        <v>71</v>
      </c>
    </row>
    <row r="7" spans="1:10" x14ac:dyDescent="0.2">
      <c r="A7" s="2">
        <v>315919936</v>
      </c>
      <c r="B7" s="2" t="s">
        <v>83</v>
      </c>
      <c r="C7" s="2" t="s">
        <v>84</v>
      </c>
      <c r="D7" s="2" t="s">
        <v>85</v>
      </c>
      <c r="E7" s="2" t="s">
        <v>75</v>
      </c>
      <c r="F7" s="2">
        <v>14532</v>
      </c>
      <c r="G7" s="2">
        <v>670.60452238117205</v>
      </c>
      <c r="H7" s="2"/>
      <c r="I7" s="2"/>
      <c r="J7" s="2" t="s">
        <v>71</v>
      </c>
    </row>
    <row r="8" spans="1:10" x14ac:dyDescent="0.2">
      <c r="A8" s="2">
        <v>69304962</v>
      </c>
      <c r="B8" s="2" t="s">
        <v>86</v>
      </c>
      <c r="C8" s="2" t="s">
        <v>87</v>
      </c>
      <c r="D8" s="2" t="s">
        <v>88</v>
      </c>
      <c r="E8" s="2" t="s">
        <v>75</v>
      </c>
      <c r="F8" s="2">
        <v>20586.599999999999</v>
      </c>
      <c r="G8" s="2">
        <v>950.00461467466528</v>
      </c>
      <c r="H8" s="2"/>
      <c r="I8" s="2"/>
      <c r="J8" s="2" t="s">
        <v>71</v>
      </c>
    </row>
    <row r="9" spans="1:10" x14ac:dyDescent="0.2">
      <c r="A9" s="2">
        <v>25474677</v>
      </c>
      <c r="B9" s="2" t="s">
        <v>89</v>
      </c>
      <c r="C9" s="2" t="s">
        <v>90</v>
      </c>
      <c r="D9" s="2" t="s">
        <v>91</v>
      </c>
      <c r="E9" s="2" t="s">
        <v>92</v>
      </c>
      <c r="F9" s="2">
        <v>27791</v>
      </c>
      <c r="G9" s="2">
        <v>1282.464236271343</v>
      </c>
      <c r="H9" s="2"/>
      <c r="I9" s="2"/>
      <c r="J9" s="2" t="s">
        <v>93</v>
      </c>
    </row>
    <row r="10" spans="1:10" x14ac:dyDescent="0.2">
      <c r="A10" s="2">
        <v>22201347</v>
      </c>
      <c r="B10" s="2" t="s">
        <v>94</v>
      </c>
      <c r="C10" s="2" t="s">
        <v>95</v>
      </c>
      <c r="D10" s="2" t="s">
        <v>96</v>
      </c>
      <c r="E10" s="2" t="s">
        <v>92</v>
      </c>
      <c r="F10" s="2">
        <v>23754</v>
      </c>
      <c r="G10" s="2">
        <v>1096.169820027688</v>
      </c>
      <c r="H10" s="2"/>
      <c r="I10" s="2"/>
      <c r="J10" s="2" t="s">
        <v>71</v>
      </c>
    </row>
    <row r="11" spans="1:10" x14ac:dyDescent="0.2">
      <c r="A11" s="2">
        <v>322131285</v>
      </c>
      <c r="B11" s="2" t="s">
        <v>97</v>
      </c>
      <c r="C11" s="2" t="s">
        <v>98</v>
      </c>
      <c r="D11" s="2" t="s">
        <v>99</v>
      </c>
      <c r="E11" s="2" t="s">
        <v>70</v>
      </c>
      <c r="F11" s="2">
        <v>18077</v>
      </c>
      <c r="G11" s="2">
        <v>834.19473927088131</v>
      </c>
      <c r="H11" s="2"/>
      <c r="I11" s="2"/>
      <c r="J11" s="2" t="s">
        <v>71</v>
      </c>
    </row>
    <row r="12" spans="1:10" x14ac:dyDescent="0.2">
      <c r="A12" s="2">
        <v>209501998</v>
      </c>
      <c r="B12" s="2" t="s">
        <v>100</v>
      </c>
      <c r="C12" s="2" t="s">
        <v>101</v>
      </c>
      <c r="D12" s="2" t="s">
        <v>102</v>
      </c>
      <c r="E12" s="2" t="s">
        <v>92</v>
      </c>
      <c r="F12" s="2">
        <v>15825</v>
      </c>
      <c r="G12" s="2">
        <v>730.27226580526064</v>
      </c>
      <c r="H12" s="2"/>
      <c r="I12" s="2"/>
      <c r="J12" s="2" t="s">
        <v>103</v>
      </c>
    </row>
    <row r="13" spans="1:10" x14ac:dyDescent="0.2">
      <c r="A13" s="2">
        <v>308280510</v>
      </c>
      <c r="B13" s="2" t="s">
        <v>104</v>
      </c>
      <c r="C13" s="2" t="s">
        <v>105</v>
      </c>
      <c r="D13" s="2" t="s">
        <v>106</v>
      </c>
      <c r="E13" s="2" t="s">
        <v>70</v>
      </c>
      <c r="F13" s="2">
        <v>17921</v>
      </c>
      <c r="G13" s="2">
        <v>826.99584679280099</v>
      </c>
      <c r="H13" s="2"/>
      <c r="I13" s="2"/>
      <c r="J13" s="2" t="s">
        <v>71</v>
      </c>
    </row>
    <row r="14" spans="1:10" x14ac:dyDescent="0.2">
      <c r="A14" s="2">
        <v>11915519</v>
      </c>
      <c r="B14" s="2" t="s">
        <v>107</v>
      </c>
      <c r="C14" s="2" t="s">
        <v>108</v>
      </c>
      <c r="D14" s="2" t="s">
        <v>109</v>
      </c>
      <c r="E14" s="2" t="s">
        <v>70</v>
      </c>
      <c r="F14" s="2">
        <v>18822</v>
      </c>
      <c r="G14" s="2">
        <v>868.57406552838017</v>
      </c>
      <c r="H14" s="2"/>
      <c r="I14" s="2"/>
      <c r="J14" s="2" t="s">
        <v>71</v>
      </c>
    </row>
    <row r="15" spans="1:10" x14ac:dyDescent="0.2">
      <c r="A15" s="2">
        <v>25147505</v>
      </c>
      <c r="B15" s="2" t="s">
        <v>110</v>
      </c>
      <c r="C15" s="2" t="s">
        <v>111</v>
      </c>
      <c r="D15" s="2" t="s">
        <v>112</v>
      </c>
      <c r="E15" s="2" t="s">
        <v>70</v>
      </c>
      <c r="F15" s="2">
        <v>20150</v>
      </c>
      <c r="G15" s="2">
        <v>929.85694508537142</v>
      </c>
      <c r="H15" s="2"/>
      <c r="I15" s="2"/>
      <c r="J15" s="2" t="s">
        <v>71</v>
      </c>
    </row>
    <row r="16" spans="1:10" x14ac:dyDescent="0.2">
      <c r="A16" s="2">
        <v>25342445</v>
      </c>
      <c r="B16" s="2" t="s">
        <v>110</v>
      </c>
      <c r="C16" s="2" t="s">
        <v>113</v>
      </c>
      <c r="D16" s="2" t="s">
        <v>114</v>
      </c>
      <c r="E16" s="2" t="s">
        <v>92</v>
      </c>
      <c r="F16" s="2">
        <v>19826</v>
      </c>
      <c r="G16" s="2">
        <v>914.90539916935847</v>
      </c>
      <c r="H16" s="2"/>
      <c r="I16" s="2"/>
      <c r="J16" s="2" t="s">
        <v>71</v>
      </c>
    </row>
    <row r="17" spans="1:10" x14ac:dyDescent="0.2">
      <c r="A17" s="2">
        <v>25155235</v>
      </c>
      <c r="B17" s="2" t="s">
        <v>115</v>
      </c>
      <c r="C17" s="2" t="s">
        <v>116</v>
      </c>
      <c r="D17" s="2" t="s">
        <v>117</v>
      </c>
      <c r="E17" s="2" t="s">
        <v>92</v>
      </c>
      <c r="F17" s="2">
        <v>19825</v>
      </c>
      <c r="G17" s="2">
        <v>914.85925242270412</v>
      </c>
      <c r="H17" s="2"/>
      <c r="I17" s="2"/>
      <c r="J17" s="2" t="s">
        <v>71</v>
      </c>
    </row>
    <row r="18" spans="1:10" x14ac:dyDescent="0.2">
      <c r="A18" s="2">
        <v>315536524</v>
      </c>
      <c r="B18" s="2" t="s">
        <v>118</v>
      </c>
      <c r="C18" s="2" t="s">
        <v>119</v>
      </c>
      <c r="D18" s="2" t="s">
        <v>120</v>
      </c>
      <c r="E18" s="2" t="s">
        <v>70</v>
      </c>
      <c r="F18" s="2">
        <v>17601</v>
      </c>
      <c r="G18" s="2">
        <v>812.22888786340559</v>
      </c>
      <c r="H18" s="2"/>
      <c r="I18" s="2"/>
      <c r="J18" s="2" t="s">
        <v>71</v>
      </c>
    </row>
    <row r="19" spans="1:10" x14ac:dyDescent="0.2">
      <c r="A19">
        <v>32345035</v>
      </c>
      <c r="B19" t="s">
        <v>70</v>
      </c>
      <c r="C19" t="s">
        <v>121</v>
      </c>
      <c r="D19" t="s">
        <v>122</v>
      </c>
      <c r="E19" t="s">
        <v>75</v>
      </c>
      <c r="F19">
        <v>17670</v>
      </c>
      <c r="G19">
        <v>815.41301338255641</v>
      </c>
      <c r="J19" t="s">
        <v>71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81"/>
  <sheetViews>
    <sheetView rightToLeft="1" workbookViewId="0">
      <pane ySplit="1" topLeftCell="A2" activePane="bottomLeft" state="frozen"/>
      <selection pane="bottomLeft" activeCell="I5" sqref="I5"/>
    </sheetView>
  </sheetViews>
  <sheetFormatPr defaultRowHeight="14.25" x14ac:dyDescent="0.2"/>
  <cols>
    <col min="1" max="1" width="9.875" bestFit="1" customWidth="1"/>
    <col min="2" max="12" width="15" customWidth="1"/>
  </cols>
  <sheetData>
    <row r="1" spans="1:12" ht="24.95" customHeight="1" x14ac:dyDescent="0.2">
      <c r="A1" s="8" t="s">
        <v>57</v>
      </c>
      <c r="B1" s="8" t="s">
        <v>123</v>
      </c>
      <c r="C1" s="8" t="s">
        <v>124</v>
      </c>
      <c r="D1" s="8" t="s">
        <v>125</v>
      </c>
      <c r="E1" s="8" t="s">
        <v>126</v>
      </c>
      <c r="F1" s="8" t="s">
        <v>127</v>
      </c>
      <c r="G1" s="8" t="s">
        <v>128</v>
      </c>
      <c r="H1" s="8" t="s">
        <v>129</v>
      </c>
      <c r="I1" s="8" t="s">
        <v>130</v>
      </c>
      <c r="J1" s="8" t="s">
        <v>131</v>
      </c>
      <c r="K1" s="8" t="s">
        <v>132</v>
      </c>
      <c r="L1" s="8" t="s">
        <v>133</v>
      </c>
    </row>
    <row r="2" spans="1:12" ht="15" x14ac:dyDescent="0.2">
      <c r="A2" s="9">
        <v>11915519</v>
      </c>
      <c r="B2" s="9" t="s">
        <v>109</v>
      </c>
      <c r="C2" s="9" t="s">
        <v>134</v>
      </c>
      <c r="D2" s="9" t="s">
        <v>134</v>
      </c>
      <c r="E2" s="9" t="s">
        <v>135</v>
      </c>
      <c r="F2" s="17">
        <v>821</v>
      </c>
      <c r="G2" s="17">
        <v>164</v>
      </c>
      <c r="H2" s="17">
        <v>0</v>
      </c>
      <c r="I2" s="17">
        <v>985</v>
      </c>
      <c r="J2" s="9">
        <v>203</v>
      </c>
      <c r="K2" s="9" t="s">
        <v>136</v>
      </c>
      <c r="L2" s="9" t="s">
        <v>137</v>
      </c>
    </row>
    <row r="3" spans="1:12" ht="15" x14ac:dyDescent="0.2">
      <c r="A3" s="9">
        <v>11915519</v>
      </c>
      <c r="B3" s="9" t="s">
        <v>109</v>
      </c>
      <c r="C3" s="9" t="s">
        <v>138</v>
      </c>
      <c r="D3" s="9" t="s">
        <v>138</v>
      </c>
      <c r="E3" s="9" t="s">
        <v>135</v>
      </c>
      <c r="F3" s="17">
        <v>821</v>
      </c>
      <c r="G3" s="17">
        <v>164</v>
      </c>
      <c r="H3" s="17">
        <v>0</v>
      </c>
      <c r="I3" s="17">
        <v>985</v>
      </c>
      <c r="J3" s="9">
        <v>203</v>
      </c>
      <c r="K3" s="9" t="s">
        <v>136</v>
      </c>
      <c r="L3" s="9" t="s">
        <v>137</v>
      </c>
    </row>
    <row r="4" spans="1:12" ht="15" x14ac:dyDescent="0.2">
      <c r="A4" s="9">
        <v>22201347</v>
      </c>
      <c r="B4" s="9" t="s">
        <v>139</v>
      </c>
      <c r="C4" s="9" t="s">
        <v>140</v>
      </c>
      <c r="D4" s="9" t="s">
        <v>140</v>
      </c>
      <c r="E4" s="9" t="s">
        <v>135</v>
      </c>
      <c r="F4" s="17">
        <v>1051</v>
      </c>
      <c r="G4" s="17">
        <v>210</v>
      </c>
      <c r="H4" s="17">
        <v>0</v>
      </c>
      <c r="I4" s="17">
        <v>1261</v>
      </c>
      <c r="J4" s="9">
        <v>203</v>
      </c>
      <c r="K4" s="9" t="s">
        <v>136</v>
      </c>
      <c r="L4" s="9" t="s">
        <v>137</v>
      </c>
    </row>
    <row r="5" spans="1:12" ht="15" x14ac:dyDescent="0.2">
      <c r="A5" s="9">
        <v>22201347</v>
      </c>
      <c r="B5" s="9" t="s">
        <v>139</v>
      </c>
      <c r="C5" s="9" t="s">
        <v>141</v>
      </c>
      <c r="D5" s="9" t="s">
        <v>142</v>
      </c>
      <c r="E5" s="9" t="s">
        <v>135</v>
      </c>
      <c r="F5" s="17">
        <v>5257</v>
      </c>
      <c r="G5" s="17">
        <v>1051</v>
      </c>
      <c r="H5" s="17">
        <v>0</v>
      </c>
      <c r="I5" s="17">
        <v>6308</v>
      </c>
      <c r="J5" s="9">
        <v>203</v>
      </c>
      <c r="K5" s="9" t="s">
        <v>136</v>
      </c>
      <c r="L5" s="9" t="s">
        <v>137</v>
      </c>
    </row>
    <row r="6" spans="1:12" ht="15" x14ac:dyDescent="0.2">
      <c r="A6" s="9">
        <v>25147505</v>
      </c>
      <c r="B6" s="9" t="s">
        <v>143</v>
      </c>
      <c r="C6" s="9" t="s">
        <v>144</v>
      </c>
      <c r="D6" s="9" t="s">
        <v>144</v>
      </c>
      <c r="E6" s="9" t="s">
        <v>135</v>
      </c>
      <c r="F6" s="17">
        <v>751</v>
      </c>
      <c r="G6" s="17">
        <v>0</v>
      </c>
      <c r="H6" s="17">
        <v>0</v>
      </c>
      <c r="I6" s="17">
        <v>751</v>
      </c>
      <c r="J6" s="9">
        <v>203</v>
      </c>
      <c r="K6" s="9" t="s">
        <v>136</v>
      </c>
      <c r="L6" s="9" t="s">
        <v>137</v>
      </c>
    </row>
    <row r="7" spans="1:12" ht="15" x14ac:dyDescent="0.2">
      <c r="A7" s="9">
        <v>25155235</v>
      </c>
      <c r="B7" s="9" t="s">
        <v>145</v>
      </c>
      <c r="C7" s="9" t="s">
        <v>146</v>
      </c>
      <c r="D7" s="9" t="s">
        <v>146</v>
      </c>
      <c r="E7" s="9" t="s">
        <v>135</v>
      </c>
      <c r="F7" s="17">
        <v>1116</v>
      </c>
      <c r="G7" s="17">
        <v>223</v>
      </c>
      <c r="H7" s="17">
        <v>0</v>
      </c>
      <c r="I7" s="17">
        <v>1339</v>
      </c>
      <c r="J7" s="9">
        <v>203</v>
      </c>
      <c r="K7" s="9" t="s">
        <v>136</v>
      </c>
      <c r="L7" s="9" t="s">
        <v>137</v>
      </c>
    </row>
    <row r="8" spans="1:12" ht="15" x14ac:dyDescent="0.2">
      <c r="A8" s="9">
        <v>25155235</v>
      </c>
      <c r="B8" s="9" t="s">
        <v>145</v>
      </c>
      <c r="C8" s="9" t="s">
        <v>147</v>
      </c>
      <c r="D8" s="9" t="s">
        <v>134</v>
      </c>
      <c r="E8" s="9" t="s">
        <v>135</v>
      </c>
      <c r="F8" s="17">
        <v>2231</v>
      </c>
      <c r="G8" s="17">
        <v>446</v>
      </c>
      <c r="H8" s="17">
        <v>0</v>
      </c>
      <c r="I8" s="17">
        <v>2677</v>
      </c>
      <c r="J8" s="9">
        <v>203</v>
      </c>
      <c r="K8" s="9" t="s">
        <v>136</v>
      </c>
      <c r="L8" s="9" t="s">
        <v>137</v>
      </c>
    </row>
    <row r="9" spans="1:12" ht="15" x14ac:dyDescent="0.2">
      <c r="A9" s="9">
        <v>25155235</v>
      </c>
      <c r="B9" s="9" t="s">
        <v>145</v>
      </c>
      <c r="C9" s="9" t="s">
        <v>148</v>
      </c>
      <c r="D9" s="9" t="s">
        <v>149</v>
      </c>
      <c r="E9" s="9" t="s">
        <v>135</v>
      </c>
      <c r="F9" s="17">
        <v>2231</v>
      </c>
      <c r="G9" s="17">
        <v>446</v>
      </c>
      <c r="H9" s="17">
        <v>0</v>
      </c>
      <c r="I9" s="17">
        <v>2677</v>
      </c>
      <c r="J9" s="9">
        <v>203</v>
      </c>
      <c r="K9" s="9" t="s">
        <v>136</v>
      </c>
      <c r="L9" s="9" t="s">
        <v>137</v>
      </c>
    </row>
    <row r="10" spans="1:12" ht="15" x14ac:dyDescent="0.2">
      <c r="A10" s="9">
        <v>25155235</v>
      </c>
      <c r="B10" s="9" t="s">
        <v>145</v>
      </c>
      <c r="C10" s="9" t="s">
        <v>150</v>
      </c>
      <c r="D10" s="9" t="s">
        <v>151</v>
      </c>
      <c r="E10" s="9" t="s">
        <v>135</v>
      </c>
      <c r="F10" s="17">
        <v>2231</v>
      </c>
      <c r="G10" s="17">
        <v>446</v>
      </c>
      <c r="H10" s="17">
        <v>0</v>
      </c>
      <c r="I10" s="17">
        <v>2677</v>
      </c>
      <c r="J10" s="9">
        <v>203</v>
      </c>
      <c r="K10" s="9" t="s">
        <v>136</v>
      </c>
      <c r="L10" s="9" t="s">
        <v>137</v>
      </c>
    </row>
    <row r="11" spans="1:12" ht="15" x14ac:dyDescent="0.2">
      <c r="A11" s="9">
        <v>25155235</v>
      </c>
      <c r="B11" s="9" t="s">
        <v>145</v>
      </c>
      <c r="C11" s="9" t="s">
        <v>152</v>
      </c>
      <c r="D11" s="9" t="s">
        <v>153</v>
      </c>
      <c r="E11" s="9" t="s">
        <v>135</v>
      </c>
      <c r="F11" s="17">
        <v>2231</v>
      </c>
      <c r="G11" s="17">
        <v>446</v>
      </c>
      <c r="H11" s="17">
        <v>0</v>
      </c>
      <c r="I11" s="17">
        <v>2677</v>
      </c>
      <c r="J11" s="9">
        <v>203</v>
      </c>
      <c r="K11" s="9" t="s">
        <v>136</v>
      </c>
      <c r="L11" s="9" t="s">
        <v>137</v>
      </c>
    </row>
    <row r="12" spans="1:12" ht="15" x14ac:dyDescent="0.2">
      <c r="A12" s="9">
        <v>25155235</v>
      </c>
      <c r="B12" s="9" t="s">
        <v>145</v>
      </c>
      <c r="C12" s="9" t="s">
        <v>138</v>
      </c>
      <c r="D12" s="9" t="s">
        <v>154</v>
      </c>
      <c r="E12" s="9" t="s">
        <v>135</v>
      </c>
      <c r="F12" s="17">
        <v>1116</v>
      </c>
      <c r="G12" s="17">
        <v>446</v>
      </c>
      <c r="H12" s="17">
        <v>0</v>
      </c>
      <c r="I12" s="17">
        <v>1562</v>
      </c>
      <c r="J12" s="9">
        <v>203</v>
      </c>
      <c r="K12" s="9" t="s">
        <v>136</v>
      </c>
      <c r="L12" s="9" t="s">
        <v>137</v>
      </c>
    </row>
    <row r="13" spans="1:12" ht="15" x14ac:dyDescent="0.2">
      <c r="A13" s="9">
        <v>25155235</v>
      </c>
      <c r="B13" s="9" t="s">
        <v>145</v>
      </c>
      <c r="C13" s="9" t="s">
        <v>155</v>
      </c>
      <c r="D13" s="9" t="s">
        <v>155</v>
      </c>
      <c r="E13" s="9" t="s">
        <v>135</v>
      </c>
      <c r="F13" s="17">
        <v>1116</v>
      </c>
      <c r="G13" s="17">
        <v>223</v>
      </c>
      <c r="H13" s="17">
        <v>0</v>
      </c>
      <c r="I13" s="17">
        <v>1339</v>
      </c>
      <c r="J13" s="9">
        <v>203</v>
      </c>
      <c r="K13" s="9" t="s">
        <v>136</v>
      </c>
      <c r="L13" s="9" t="s">
        <v>137</v>
      </c>
    </row>
    <row r="14" spans="1:12" ht="15" x14ac:dyDescent="0.2">
      <c r="A14" s="9">
        <v>25155235</v>
      </c>
      <c r="B14" s="9" t="s">
        <v>145</v>
      </c>
      <c r="C14" s="9" t="s">
        <v>156</v>
      </c>
      <c r="D14" s="9" t="s">
        <v>156</v>
      </c>
      <c r="E14" s="9" t="s">
        <v>135</v>
      </c>
      <c r="F14" s="17">
        <v>1116</v>
      </c>
      <c r="G14" s="17">
        <v>223</v>
      </c>
      <c r="H14" s="17">
        <v>0</v>
      </c>
      <c r="I14" s="17">
        <v>1339</v>
      </c>
      <c r="J14" s="9">
        <v>203</v>
      </c>
      <c r="K14" s="9" t="s">
        <v>136</v>
      </c>
      <c r="L14" s="9" t="s">
        <v>137</v>
      </c>
    </row>
    <row r="15" spans="1:12" ht="15" x14ac:dyDescent="0.2">
      <c r="A15" s="9">
        <v>28027738</v>
      </c>
      <c r="B15" s="9" t="s">
        <v>157</v>
      </c>
      <c r="C15" s="9" t="s">
        <v>140</v>
      </c>
      <c r="D15" s="9" t="s">
        <v>158</v>
      </c>
      <c r="E15" s="9" t="s">
        <v>135</v>
      </c>
      <c r="F15" s="17">
        <v>2206</v>
      </c>
      <c r="G15" s="17">
        <v>556</v>
      </c>
      <c r="H15" s="17">
        <v>0</v>
      </c>
      <c r="I15" s="17">
        <v>2762</v>
      </c>
      <c r="J15" s="9">
        <v>203</v>
      </c>
      <c r="K15" s="9" t="s">
        <v>136</v>
      </c>
      <c r="L15" s="9" t="s">
        <v>137</v>
      </c>
    </row>
    <row r="16" spans="1:12" ht="15" x14ac:dyDescent="0.2">
      <c r="A16" s="9">
        <v>69304962</v>
      </c>
      <c r="B16" s="9" t="s">
        <v>159</v>
      </c>
      <c r="C16" s="9" t="s">
        <v>160</v>
      </c>
      <c r="D16" s="9" t="s">
        <v>161</v>
      </c>
      <c r="E16" s="9" t="s">
        <v>135</v>
      </c>
      <c r="F16" s="17">
        <v>6811</v>
      </c>
      <c r="G16" s="17">
        <v>973</v>
      </c>
      <c r="H16" s="17">
        <v>0</v>
      </c>
      <c r="I16" s="17">
        <v>7784</v>
      </c>
      <c r="J16" s="9">
        <v>203</v>
      </c>
      <c r="K16" s="9" t="s">
        <v>136</v>
      </c>
      <c r="L16" s="9" t="s">
        <v>137</v>
      </c>
    </row>
    <row r="17" spans="1:12" ht="15" x14ac:dyDescent="0.2">
      <c r="A17" s="9">
        <v>203661004</v>
      </c>
      <c r="B17" s="9" t="s">
        <v>162</v>
      </c>
      <c r="C17" s="9" t="s">
        <v>160</v>
      </c>
      <c r="D17" s="9" t="s">
        <v>161</v>
      </c>
      <c r="E17" s="9" t="s">
        <v>135</v>
      </c>
      <c r="F17" s="17">
        <v>4638</v>
      </c>
      <c r="G17" s="17">
        <v>663</v>
      </c>
      <c r="H17" s="17">
        <v>0</v>
      </c>
      <c r="I17" s="17">
        <v>5301</v>
      </c>
      <c r="J17" s="9">
        <v>203</v>
      </c>
      <c r="K17" s="9" t="s">
        <v>136</v>
      </c>
      <c r="L17" s="9" t="s">
        <v>137</v>
      </c>
    </row>
    <row r="18" spans="1:12" ht="15" x14ac:dyDescent="0.2">
      <c r="A18" s="9">
        <v>209501998</v>
      </c>
      <c r="B18" s="9" t="s">
        <v>163</v>
      </c>
      <c r="C18" s="9" t="s">
        <v>144</v>
      </c>
      <c r="D18" s="9" t="s">
        <v>144</v>
      </c>
      <c r="E18" s="9" t="s">
        <v>135</v>
      </c>
      <c r="F18" s="17">
        <v>550</v>
      </c>
      <c r="G18" s="17">
        <v>0</v>
      </c>
      <c r="H18" s="17">
        <v>0</v>
      </c>
      <c r="I18" s="17">
        <v>550</v>
      </c>
      <c r="J18" s="9">
        <v>203</v>
      </c>
      <c r="K18" s="9" t="s">
        <v>136</v>
      </c>
      <c r="L18" s="9" t="s">
        <v>137</v>
      </c>
    </row>
    <row r="19" spans="1:12" ht="15" x14ac:dyDescent="0.2">
      <c r="A19" s="9">
        <v>211877550</v>
      </c>
      <c r="B19" s="9" t="s">
        <v>164</v>
      </c>
      <c r="C19" s="9" t="s">
        <v>160</v>
      </c>
      <c r="D19" s="9" t="s">
        <v>161</v>
      </c>
      <c r="E19" s="9" t="s">
        <v>135</v>
      </c>
      <c r="F19" s="17">
        <v>1010</v>
      </c>
      <c r="G19" s="17">
        <v>606</v>
      </c>
      <c r="H19" s="17">
        <v>0</v>
      </c>
      <c r="I19" s="17">
        <v>1616</v>
      </c>
      <c r="J19" s="9">
        <v>203</v>
      </c>
      <c r="K19" s="9" t="s">
        <v>136</v>
      </c>
      <c r="L19" s="9" t="s">
        <v>137</v>
      </c>
    </row>
    <row r="20" spans="1:12" ht="15" x14ac:dyDescent="0.2">
      <c r="A20" s="9">
        <v>308280510</v>
      </c>
      <c r="B20" s="9" t="s">
        <v>106</v>
      </c>
      <c r="C20" s="9" t="s">
        <v>165</v>
      </c>
      <c r="D20" s="9" t="s">
        <v>166</v>
      </c>
      <c r="E20" s="9" t="s">
        <v>135</v>
      </c>
      <c r="F20" s="17">
        <v>2334</v>
      </c>
      <c r="G20" s="17">
        <v>427</v>
      </c>
      <c r="H20" s="17">
        <v>0</v>
      </c>
      <c r="I20" s="17">
        <v>2761</v>
      </c>
      <c r="J20" s="9">
        <v>203</v>
      </c>
      <c r="K20" s="9" t="s">
        <v>136</v>
      </c>
      <c r="L20" s="9" t="s">
        <v>137</v>
      </c>
    </row>
    <row r="21" spans="1:12" ht="15" x14ac:dyDescent="0.2">
      <c r="A21" s="9">
        <v>315536524</v>
      </c>
      <c r="B21" s="9" t="s">
        <v>167</v>
      </c>
      <c r="C21" s="9" t="s">
        <v>168</v>
      </c>
      <c r="D21" s="9" t="s">
        <v>169</v>
      </c>
      <c r="E21" s="9" t="s">
        <v>135</v>
      </c>
      <c r="F21" s="17">
        <v>1448</v>
      </c>
      <c r="G21" s="17">
        <v>0</v>
      </c>
      <c r="H21" s="17">
        <v>0</v>
      </c>
      <c r="I21" s="17">
        <v>1448</v>
      </c>
      <c r="J21" s="9">
        <v>203</v>
      </c>
      <c r="K21" s="9" t="s">
        <v>136</v>
      </c>
      <c r="L21" s="9" t="s">
        <v>137</v>
      </c>
    </row>
    <row r="22" spans="1:12" ht="15" x14ac:dyDescent="0.2">
      <c r="A22" s="9">
        <v>315536524</v>
      </c>
      <c r="B22" s="9" t="s">
        <v>167</v>
      </c>
      <c r="C22" s="9" t="s">
        <v>170</v>
      </c>
      <c r="D22" s="9" t="s">
        <v>144</v>
      </c>
      <c r="E22" s="9" t="s">
        <v>135</v>
      </c>
      <c r="F22" s="17">
        <v>2063</v>
      </c>
      <c r="G22" s="17">
        <v>0</v>
      </c>
      <c r="H22" s="17">
        <v>0</v>
      </c>
      <c r="I22" s="17">
        <v>2063</v>
      </c>
      <c r="J22" s="9">
        <v>203</v>
      </c>
      <c r="K22" s="9" t="s">
        <v>136</v>
      </c>
      <c r="L22" s="9" t="s">
        <v>137</v>
      </c>
    </row>
    <row r="23" spans="1:12" ht="15" x14ac:dyDescent="0.2">
      <c r="A23" s="9">
        <v>315919936</v>
      </c>
      <c r="B23" s="9" t="s">
        <v>171</v>
      </c>
      <c r="C23" s="9" t="s">
        <v>165</v>
      </c>
      <c r="D23" s="9" t="s">
        <v>165</v>
      </c>
      <c r="E23" s="9" t="s">
        <v>135</v>
      </c>
      <c r="F23" s="17">
        <v>551</v>
      </c>
      <c r="G23" s="17">
        <v>110</v>
      </c>
      <c r="H23" s="17">
        <v>0</v>
      </c>
      <c r="I23" s="17">
        <v>661</v>
      </c>
      <c r="J23" s="9">
        <v>203</v>
      </c>
      <c r="K23" s="9" t="s">
        <v>136</v>
      </c>
      <c r="L23" s="9" t="s">
        <v>137</v>
      </c>
    </row>
    <row r="24" spans="1:12" ht="15" x14ac:dyDescent="0.2">
      <c r="A24" s="9">
        <v>315919936</v>
      </c>
      <c r="B24" s="9" t="s">
        <v>171</v>
      </c>
      <c r="C24" s="9" t="s">
        <v>172</v>
      </c>
      <c r="D24" s="9" t="s">
        <v>172</v>
      </c>
      <c r="E24" s="9" t="s">
        <v>135</v>
      </c>
      <c r="F24" s="17">
        <v>1102</v>
      </c>
      <c r="G24" s="17">
        <v>110</v>
      </c>
      <c r="H24" s="17">
        <v>0</v>
      </c>
      <c r="I24" s="17">
        <v>1212</v>
      </c>
      <c r="J24" s="9">
        <v>203</v>
      </c>
      <c r="K24" s="9" t="s">
        <v>136</v>
      </c>
      <c r="L24" s="9" t="s">
        <v>137</v>
      </c>
    </row>
    <row r="25" spans="1:12" ht="15" x14ac:dyDescent="0.2">
      <c r="A25" s="9">
        <v>315919936</v>
      </c>
      <c r="B25" s="9" t="s">
        <v>171</v>
      </c>
      <c r="C25" s="9" t="s">
        <v>173</v>
      </c>
      <c r="D25" s="9" t="s">
        <v>173</v>
      </c>
      <c r="E25" s="9" t="s">
        <v>135</v>
      </c>
      <c r="F25" s="17">
        <v>1102</v>
      </c>
      <c r="G25" s="17">
        <v>110</v>
      </c>
      <c r="H25" s="17">
        <v>0</v>
      </c>
      <c r="I25" s="17">
        <v>1212</v>
      </c>
      <c r="J25" s="9">
        <v>203</v>
      </c>
      <c r="K25" s="9" t="s">
        <v>136</v>
      </c>
      <c r="L25" s="9" t="s">
        <v>137</v>
      </c>
    </row>
    <row r="26" spans="1:12" ht="15" x14ac:dyDescent="0.2">
      <c r="A26" s="9">
        <v>315919936</v>
      </c>
      <c r="B26" s="9" t="s">
        <v>171</v>
      </c>
      <c r="C26" s="9" t="s">
        <v>160</v>
      </c>
      <c r="D26" s="9" t="s">
        <v>161</v>
      </c>
      <c r="E26" s="9" t="s">
        <v>135</v>
      </c>
      <c r="F26" s="17">
        <v>2718</v>
      </c>
      <c r="G26" s="17">
        <v>544</v>
      </c>
      <c r="H26" s="17">
        <v>0</v>
      </c>
      <c r="I26" s="17">
        <v>3262</v>
      </c>
      <c r="J26" s="9">
        <v>203</v>
      </c>
      <c r="K26" s="9" t="s">
        <v>136</v>
      </c>
      <c r="L26" s="9" t="s">
        <v>137</v>
      </c>
    </row>
    <row r="27" spans="1:12" ht="15" x14ac:dyDescent="0.2">
      <c r="A27" s="9">
        <v>315919936</v>
      </c>
      <c r="B27" s="9" t="s">
        <v>171</v>
      </c>
      <c r="C27" s="9" t="s">
        <v>174</v>
      </c>
      <c r="D27" s="9" t="s">
        <v>174</v>
      </c>
      <c r="E27" s="9" t="s">
        <v>135</v>
      </c>
      <c r="F27" s="17">
        <v>97</v>
      </c>
      <c r="G27" s="17">
        <v>0</v>
      </c>
      <c r="H27" s="17">
        <v>0</v>
      </c>
      <c r="I27" s="17">
        <v>97</v>
      </c>
      <c r="J27" s="9">
        <v>204</v>
      </c>
      <c r="K27" s="9" t="s">
        <v>136</v>
      </c>
      <c r="L27" s="9" t="s">
        <v>175</v>
      </c>
    </row>
    <row r="28" spans="1:12" ht="15" x14ac:dyDescent="0.2">
      <c r="A28" s="9">
        <v>315919936</v>
      </c>
      <c r="B28" s="9" t="s">
        <v>171</v>
      </c>
      <c r="C28" s="9" t="s">
        <v>176</v>
      </c>
      <c r="D28" s="9" t="s">
        <v>177</v>
      </c>
      <c r="E28" s="9" t="s">
        <v>135</v>
      </c>
      <c r="F28" s="17">
        <v>484</v>
      </c>
      <c r="G28" s="17">
        <v>0</v>
      </c>
      <c r="H28" s="17">
        <v>0</v>
      </c>
      <c r="I28" s="17">
        <v>484</v>
      </c>
      <c r="J28" s="9">
        <v>204</v>
      </c>
      <c r="K28" s="9" t="s">
        <v>136</v>
      </c>
      <c r="L28" s="9" t="s">
        <v>175</v>
      </c>
    </row>
    <row r="29" spans="1:12" ht="15" hidden="1" x14ac:dyDescent="0.2">
      <c r="A29" s="9">
        <v>11915519</v>
      </c>
      <c r="B29" s="9" t="s">
        <v>178</v>
      </c>
      <c r="C29" s="9" t="s">
        <v>179</v>
      </c>
      <c r="D29" s="9" t="s">
        <v>180</v>
      </c>
      <c r="E29" s="9" t="s">
        <v>135</v>
      </c>
      <c r="F29" s="17">
        <v>7184</v>
      </c>
      <c r="G29" s="17">
        <v>1217</v>
      </c>
      <c r="H29" s="17">
        <v>0</v>
      </c>
      <c r="I29" s="17">
        <v>8401</v>
      </c>
      <c r="J29" s="9">
        <v>408</v>
      </c>
      <c r="K29" s="9" t="s">
        <v>181</v>
      </c>
      <c r="L29" s="9" t="s">
        <v>182</v>
      </c>
    </row>
    <row r="30" spans="1:12" ht="15" hidden="1" x14ac:dyDescent="0.2">
      <c r="A30" s="9">
        <v>11915519</v>
      </c>
      <c r="B30" s="9" t="s">
        <v>178</v>
      </c>
      <c r="C30" s="9" t="s">
        <v>183</v>
      </c>
      <c r="D30" s="9" t="s">
        <v>184</v>
      </c>
      <c r="E30" s="9" t="s">
        <v>135</v>
      </c>
      <c r="F30" s="17">
        <v>2873</v>
      </c>
      <c r="G30" s="17">
        <v>481</v>
      </c>
      <c r="H30" s="17">
        <v>0</v>
      </c>
      <c r="I30" s="17">
        <v>3354</v>
      </c>
      <c r="J30" s="9">
        <v>408</v>
      </c>
      <c r="K30" s="9" t="s">
        <v>181</v>
      </c>
      <c r="L30" s="9" t="s">
        <v>182</v>
      </c>
    </row>
    <row r="31" spans="1:12" ht="15" hidden="1" x14ac:dyDescent="0.2">
      <c r="A31" s="9">
        <v>11915519</v>
      </c>
      <c r="B31" s="9" t="s">
        <v>178</v>
      </c>
      <c r="C31" s="9" t="s">
        <v>185</v>
      </c>
      <c r="D31" s="9" t="s">
        <v>185</v>
      </c>
      <c r="E31" s="9" t="s">
        <v>135</v>
      </c>
      <c r="F31" s="17">
        <v>1437</v>
      </c>
      <c r="G31" s="17">
        <v>240</v>
      </c>
      <c r="H31" s="17">
        <v>0</v>
      </c>
      <c r="I31" s="17">
        <v>1677</v>
      </c>
      <c r="J31" s="9">
        <v>408</v>
      </c>
      <c r="K31" s="9" t="s">
        <v>181</v>
      </c>
      <c r="L31" s="9" t="s">
        <v>182</v>
      </c>
    </row>
    <row r="32" spans="1:12" ht="15" hidden="1" x14ac:dyDescent="0.2">
      <c r="A32" s="9">
        <v>22201347</v>
      </c>
      <c r="B32" s="9" t="s">
        <v>139</v>
      </c>
      <c r="C32" s="9" t="s">
        <v>186</v>
      </c>
      <c r="D32" s="9" t="s">
        <v>186</v>
      </c>
      <c r="E32" s="9" t="s">
        <v>135</v>
      </c>
      <c r="F32" s="17">
        <v>1174</v>
      </c>
      <c r="G32" s="17">
        <v>235</v>
      </c>
      <c r="H32" s="17">
        <v>0</v>
      </c>
      <c r="I32" s="17">
        <v>1409</v>
      </c>
      <c r="J32" s="9">
        <v>408</v>
      </c>
      <c r="K32" s="9" t="s">
        <v>181</v>
      </c>
      <c r="L32" s="9" t="s">
        <v>182</v>
      </c>
    </row>
    <row r="33" spans="1:12" ht="15" hidden="1" x14ac:dyDescent="0.2">
      <c r="A33" s="9">
        <v>22201347</v>
      </c>
      <c r="B33" s="9" t="s">
        <v>139</v>
      </c>
      <c r="C33" s="9" t="s">
        <v>187</v>
      </c>
      <c r="D33" s="9" t="s">
        <v>188</v>
      </c>
      <c r="E33" s="9" t="s">
        <v>135</v>
      </c>
      <c r="F33" s="17">
        <v>3287</v>
      </c>
      <c r="G33" s="17">
        <v>470</v>
      </c>
      <c r="H33" s="17">
        <v>0</v>
      </c>
      <c r="I33" s="17">
        <v>3757</v>
      </c>
      <c r="J33" s="9">
        <v>408</v>
      </c>
      <c r="K33" s="9" t="s">
        <v>181</v>
      </c>
      <c r="L33" s="9" t="s">
        <v>182</v>
      </c>
    </row>
    <row r="34" spans="1:12" ht="15" hidden="1" x14ac:dyDescent="0.2">
      <c r="A34" s="9">
        <v>22201347</v>
      </c>
      <c r="B34" s="9" t="s">
        <v>139</v>
      </c>
      <c r="C34" s="9" t="s">
        <v>189</v>
      </c>
      <c r="D34" s="9" t="s">
        <v>189</v>
      </c>
      <c r="E34" s="9" t="s">
        <v>135</v>
      </c>
      <c r="F34" s="17">
        <v>1174</v>
      </c>
      <c r="G34" s="17">
        <v>235</v>
      </c>
      <c r="H34" s="17">
        <v>0</v>
      </c>
      <c r="I34" s="17">
        <v>1409</v>
      </c>
      <c r="J34" s="9">
        <v>408</v>
      </c>
      <c r="K34" s="9" t="s">
        <v>181</v>
      </c>
      <c r="L34" s="9" t="s">
        <v>182</v>
      </c>
    </row>
    <row r="35" spans="1:12" ht="15" hidden="1" x14ac:dyDescent="0.2">
      <c r="A35" s="9">
        <v>22201347</v>
      </c>
      <c r="B35" s="9" t="s">
        <v>139</v>
      </c>
      <c r="C35" s="9" t="s">
        <v>190</v>
      </c>
      <c r="D35" s="9" t="s">
        <v>190</v>
      </c>
      <c r="E35" s="9" t="s">
        <v>135</v>
      </c>
      <c r="F35" s="17">
        <v>1233</v>
      </c>
      <c r="G35" s="17">
        <v>247</v>
      </c>
      <c r="H35" s="17">
        <v>0</v>
      </c>
      <c r="I35" s="17">
        <v>1480</v>
      </c>
      <c r="J35" s="9">
        <v>408</v>
      </c>
      <c r="K35" s="9" t="s">
        <v>181</v>
      </c>
      <c r="L35" s="9" t="s">
        <v>182</v>
      </c>
    </row>
    <row r="36" spans="1:12" ht="15" hidden="1" x14ac:dyDescent="0.2">
      <c r="A36" s="9">
        <v>22201347</v>
      </c>
      <c r="B36" s="9" t="s">
        <v>139</v>
      </c>
      <c r="C36" s="9" t="s">
        <v>191</v>
      </c>
      <c r="D36" s="9" t="s">
        <v>191</v>
      </c>
      <c r="E36" s="9" t="s">
        <v>135</v>
      </c>
      <c r="F36" s="17">
        <v>1233</v>
      </c>
      <c r="G36" s="17">
        <v>247</v>
      </c>
      <c r="H36" s="17">
        <v>0</v>
      </c>
      <c r="I36" s="17">
        <v>1480</v>
      </c>
      <c r="J36" s="9">
        <v>408</v>
      </c>
      <c r="K36" s="9" t="s">
        <v>181</v>
      </c>
      <c r="L36" s="9" t="s">
        <v>182</v>
      </c>
    </row>
    <row r="37" spans="1:12" ht="15" hidden="1" x14ac:dyDescent="0.2">
      <c r="A37" s="9">
        <v>22201347</v>
      </c>
      <c r="B37" s="9" t="s">
        <v>139</v>
      </c>
      <c r="C37" s="9" t="s">
        <v>192</v>
      </c>
      <c r="D37" s="9" t="s">
        <v>183</v>
      </c>
      <c r="E37" s="9" t="s">
        <v>135</v>
      </c>
      <c r="F37" s="17">
        <v>2466</v>
      </c>
      <c r="G37" s="17">
        <v>493</v>
      </c>
      <c r="H37" s="17">
        <v>0</v>
      </c>
      <c r="I37" s="17">
        <v>2959</v>
      </c>
      <c r="J37" s="9">
        <v>408</v>
      </c>
      <c r="K37" s="9" t="s">
        <v>181</v>
      </c>
      <c r="L37" s="9" t="s">
        <v>182</v>
      </c>
    </row>
    <row r="38" spans="1:12" ht="15" hidden="1" x14ac:dyDescent="0.2">
      <c r="A38" s="9">
        <v>22201347</v>
      </c>
      <c r="B38" s="9" t="s">
        <v>139</v>
      </c>
      <c r="C38" s="9" t="s">
        <v>193</v>
      </c>
      <c r="D38" s="9" t="s">
        <v>194</v>
      </c>
      <c r="E38" s="9" t="s">
        <v>135</v>
      </c>
      <c r="F38" s="17">
        <v>2466</v>
      </c>
      <c r="G38" s="17">
        <v>493</v>
      </c>
      <c r="H38" s="17">
        <v>0</v>
      </c>
      <c r="I38" s="17">
        <v>2959</v>
      </c>
      <c r="J38" s="9">
        <v>408</v>
      </c>
      <c r="K38" s="9" t="s">
        <v>181</v>
      </c>
      <c r="L38" s="9" t="s">
        <v>182</v>
      </c>
    </row>
    <row r="39" spans="1:12" ht="15" hidden="1" x14ac:dyDescent="0.2">
      <c r="A39" s="9">
        <v>25147505</v>
      </c>
      <c r="B39" s="9" t="s">
        <v>143</v>
      </c>
      <c r="C39" s="9" t="s">
        <v>195</v>
      </c>
      <c r="D39" s="9" t="s">
        <v>195</v>
      </c>
      <c r="E39" s="9" t="s">
        <v>135</v>
      </c>
      <c r="F39" s="17">
        <v>1107</v>
      </c>
      <c r="G39" s="17">
        <v>158</v>
      </c>
      <c r="H39" s="17">
        <v>0</v>
      </c>
      <c r="I39" s="17">
        <v>1265</v>
      </c>
      <c r="J39" s="9">
        <v>408</v>
      </c>
      <c r="K39" s="9" t="s">
        <v>181</v>
      </c>
      <c r="L39" s="9" t="s">
        <v>182</v>
      </c>
    </row>
    <row r="40" spans="1:12" ht="15" hidden="1" x14ac:dyDescent="0.2">
      <c r="A40" s="9">
        <v>11915519</v>
      </c>
      <c r="B40" s="9" t="s">
        <v>109</v>
      </c>
      <c r="C40" s="9" t="s">
        <v>196</v>
      </c>
      <c r="D40" s="9" t="s">
        <v>196</v>
      </c>
      <c r="E40" s="9" t="s">
        <v>135</v>
      </c>
      <c r="F40" s="17">
        <v>1251</v>
      </c>
      <c r="G40" s="17">
        <v>250</v>
      </c>
      <c r="H40" s="17">
        <v>0</v>
      </c>
      <c r="I40" s="17">
        <v>1501</v>
      </c>
      <c r="J40" s="9">
        <v>802</v>
      </c>
      <c r="K40" s="9" t="s">
        <v>197</v>
      </c>
      <c r="L40" s="9" t="s">
        <v>198</v>
      </c>
    </row>
    <row r="41" spans="1:12" ht="15" hidden="1" x14ac:dyDescent="0.2">
      <c r="A41" s="9">
        <v>11915519</v>
      </c>
      <c r="B41" s="9" t="s">
        <v>109</v>
      </c>
      <c r="C41" s="9" t="s">
        <v>199</v>
      </c>
      <c r="D41" s="9" t="s">
        <v>199</v>
      </c>
      <c r="E41" s="9" t="s">
        <v>135</v>
      </c>
      <c r="F41" s="17">
        <v>1251</v>
      </c>
      <c r="G41" s="17">
        <v>250</v>
      </c>
      <c r="H41" s="17">
        <v>0</v>
      </c>
      <c r="I41" s="17">
        <v>1501</v>
      </c>
      <c r="J41" s="9">
        <v>802</v>
      </c>
      <c r="K41" s="9" t="s">
        <v>197</v>
      </c>
      <c r="L41" s="9" t="s">
        <v>198</v>
      </c>
    </row>
    <row r="42" spans="1:12" ht="15" hidden="1" x14ac:dyDescent="0.2">
      <c r="A42" s="9">
        <v>11915519</v>
      </c>
      <c r="B42" s="9" t="s">
        <v>109</v>
      </c>
      <c r="C42" s="9" t="s">
        <v>200</v>
      </c>
      <c r="D42" s="9" t="s">
        <v>200</v>
      </c>
      <c r="E42" s="9" t="s">
        <v>135</v>
      </c>
      <c r="F42" s="17">
        <v>891</v>
      </c>
      <c r="G42" s="17">
        <v>178</v>
      </c>
      <c r="H42" s="17">
        <v>0</v>
      </c>
      <c r="I42" s="17">
        <v>1069</v>
      </c>
      <c r="J42" s="9">
        <v>802</v>
      </c>
      <c r="K42" s="9" t="s">
        <v>197</v>
      </c>
      <c r="L42" s="9" t="s">
        <v>198</v>
      </c>
    </row>
    <row r="43" spans="1:12" ht="15" hidden="1" x14ac:dyDescent="0.2">
      <c r="A43" s="9">
        <v>11915519</v>
      </c>
      <c r="B43" s="9" t="s">
        <v>109</v>
      </c>
      <c r="C43" s="9" t="s">
        <v>201</v>
      </c>
      <c r="D43" s="9" t="s">
        <v>201</v>
      </c>
      <c r="E43" s="9" t="s">
        <v>135</v>
      </c>
      <c r="F43" s="17">
        <v>891</v>
      </c>
      <c r="G43" s="17">
        <v>178</v>
      </c>
      <c r="H43" s="17">
        <v>0</v>
      </c>
      <c r="I43" s="17">
        <v>1069</v>
      </c>
      <c r="J43" s="9">
        <v>802</v>
      </c>
      <c r="K43" s="9" t="s">
        <v>197</v>
      </c>
      <c r="L43" s="9" t="s">
        <v>198</v>
      </c>
    </row>
    <row r="44" spans="1:12" ht="15" hidden="1" x14ac:dyDescent="0.2">
      <c r="A44" s="9">
        <v>11915519</v>
      </c>
      <c r="B44" s="9" t="s">
        <v>109</v>
      </c>
      <c r="C44" s="9" t="s">
        <v>202</v>
      </c>
      <c r="D44" s="9" t="s">
        <v>202</v>
      </c>
      <c r="E44" s="9" t="s">
        <v>135</v>
      </c>
      <c r="F44" s="17">
        <v>891</v>
      </c>
      <c r="G44" s="17">
        <v>178</v>
      </c>
      <c r="H44" s="17">
        <v>0</v>
      </c>
      <c r="I44" s="17">
        <v>1069</v>
      </c>
      <c r="J44" s="9">
        <v>802</v>
      </c>
      <c r="K44" s="9" t="s">
        <v>197</v>
      </c>
      <c r="L44" s="9" t="s">
        <v>198</v>
      </c>
    </row>
    <row r="45" spans="1:12" ht="15" hidden="1" x14ac:dyDescent="0.2">
      <c r="A45" s="9">
        <v>11915519</v>
      </c>
      <c r="B45" s="9" t="s">
        <v>109</v>
      </c>
      <c r="C45" s="9" t="s">
        <v>203</v>
      </c>
      <c r="D45" s="9" t="s">
        <v>203</v>
      </c>
      <c r="E45" s="9" t="s">
        <v>135</v>
      </c>
      <c r="F45" s="17">
        <v>891</v>
      </c>
      <c r="G45" s="17">
        <v>178</v>
      </c>
      <c r="H45" s="17">
        <v>0</v>
      </c>
      <c r="I45" s="17">
        <v>1069</v>
      </c>
      <c r="J45" s="9">
        <v>802</v>
      </c>
      <c r="K45" s="9" t="s">
        <v>197</v>
      </c>
      <c r="L45" s="9" t="s">
        <v>198</v>
      </c>
    </row>
    <row r="46" spans="1:12" ht="15" hidden="1" x14ac:dyDescent="0.2">
      <c r="A46" s="9">
        <v>11915519</v>
      </c>
      <c r="B46" s="9" t="s">
        <v>109</v>
      </c>
      <c r="C46" s="9" t="s">
        <v>204</v>
      </c>
      <c r="D46" s="9" t="s">
        <v>205</v>
      </c>
      <c r="E46" s="9" t="s">
        <v>135</v>
      </c>
      <c r="F46" s="17">
        <v>6234</v>
      </c>
      <c r="G46" s="17">
        <v>1247</v>
      </c>
      <c r="H46" s="17">
        <v>0</v>
      </c>
      <c r="I46" s="17">
        <v>7481</v>
      </c>
      <c r="J46" s="9">
        <v>802</v>
      </c>
      <c r="K46" s="9" t="s">
        <v>197</v>
      </c>
      <c r="L46" s="9" t="s">
        <v>198</v>
      </c>
    </row>
    <row r="47" spans="1:12" ht="15" hidden="1" x14ac:dyDescent="0.2">
      <c r="A47" s="9">
        <v>11915519</v>
      </c>
      <c r="B47" s="9" t="s">
        <v>109</v>
      </c>
      <c r="C47" s="9" t="s">
        <v>206</v>
      </c>
      <c r="D47" s="9" t="s">
        <v>207</v>
      </c>
      <c r="E47" s="9" t="s">
        <v>135</v>
      </c>
      <c r="F47" s="17">
        <v>26717</v>
      </c>
      <c r="G47" s="17">
        <v>5333</v>
      </c>
      <c r="H47" s="17">
        <v>0</v>
      </c>
      <c r="I47" s="17">
        <v>32050</v>
      </c>
      <c r="J47" s="9">
        <v>802</v>
      </c>
      <c r="K47" s="9" t="s">
        <v>197</v>
      </c>
      <c r="L47" s="9" t="s">
        <v>198</v>
      </c>
    </row>
    <row r="48" spans="1:12" ht="15" hidden="1" x14ac:dyDescent="0.2">
      <c r="A48" s="9">
        <v>11915519</v>
      </c>
      <c r="B48" s="9" t="s">
        <v>109</v>
      </c>
      <c r="C48" s="9" t="s">
        <v>208</v>
      </c>
      <c r="D48" s="9" t="s">
        <v>209</v>
      </c>
      <c r="E48" s="9" t="s">
        <v>135</v>
      </c>
      <c r="F48" s="17">
        <v>27607</v>
      </c>
      <c r="G48" s="17">
        <v>5448</v>
      </c>
      <c r="H48" s="17">
        <v>0</v>
      </c>
      <c r="I48" s="17">
        <v>33055</v>
      </c>
      <c r="J48" s="9">
        <v>802</v>
      </c>
      <c r="K48" s="9" t="s">
        <v>197</v>
      </c>
      <c r="L48" s="9" t="s">
        <v>198</v>
      </c>
    </row>
    <row r="49" spans="1:12" ht="15" hidden="1" x14ac:dyDescent="0.2">
      <c r="A49" s="9">
        <v>22201347</v>
      </c>
      <c r="B49" s="9" t="s">
        <v>139</v>
      </c>
      <c r="C49" s="9" t="s">
        <v>210</v>
      </c>
      <c r="D49" s="9" t="s">
        <v>211</v>
      </c>
      <c r="E49" s="9" t="s">
        <v>135</v>
      </c>
      <c r="F49" s="17">
        <v>3798</v>
      </c>
      <c r="G49" s="17">
        <v>760</v>
      </c>
      <c r="H49" s="17">
        <v>0</v>
      </c>
      <c r="I49" s="17">
        <v>4558</v>
      </c>
      <c r="J49" s="9">
        <v>802</v>
      </c>
      <c r="K49" s="9" t="s">
        <v>197</v>
      </c>
      <c r="L49" s="9" t="s">
        <v>198</v>
      </c>
    </row>
    <row r="50" spans="1:12" ht="15" hidden="1" x14ac:dyDescent="0.2">
      <c r="A50" s="9">
        <v>22201347</v>
      </c>
      <c r="B50" s="9" t="s">
        <v>139</v>
      </c>
      <c r="C50" s="9" t="s">
        <v>212</v>
      </c>
      <c r="D50" s="9" t="s">
        <v>213</v>
      </c>
      <c r="E50" s="9" t="s">
        <v>135</v>
      </c>
      <c r="F50" s="17">
        <v>2532</v>
      </c>
      <c r="G50" s="17">
        <v>506</v>
      </c>
      <c r="H50" s="17">
        <v>0</v>
      </c>
      <c r="I50" s="17">
        <v>3038</v>
      </c>
      <c r="J50" s="9">
        <v>802</v>
      </c>
      <c r="K50" s="9" t="s">
        <v>197</v>
      </c>
      <c r="L50" s="9" t="s">
        <v>198</v>
      </c>
    </row>
    <row r="51" spans="1:12" ht="15" hidden="1" x14ac:dyDescent="0.2">
      <c r="A51" s="9">
        <v>22201347</v>
      </c>
      <c r="B51" s="9" t="s">
        <v>139</v>
      </c>
      <c r="C51" s="9" t="s">
        <v>200</v>
      </c>
      <c r="D51" s="9" t="s">
        <v>214</v>
      </c>
      <c r="E51" s="9" t="s">
        <v>135</v>
      </c>
      <c r="F51" s="17">
        <v>5014</v>
      </c>
      <c r="G51" s="17">
        <v>1254</v>
      </c>
      <c r="H51" s="17">
        <v>0</v>
      </c>
      <c r="I51" s="17">
        <v>6268</v>
      </c>
      <c r="J51" s="9">
        <v>802</v>
      </c>
      <c r="K51" s="9" t="s">
        <v>197</v>
      </c>
      <c r="L51" s="9" t="s">
        <v>198</v>
      </c>
    </row>
    <row r="52" spans="1:12" ht="15" hidden="1" x14ac:dyDescent="0.2">
      <c r="A52" s="9">
        <v>22201347</v>
      </c>
      <c r="B52" s="9" t="s">
        <v>139</v>
      </c>
      <c r="C52" s="9" t="s">
        <v>202</v>
      </c>
      <c r="D52" s="9" t="s">
        <v>202</v>
      </c>
      <c r="E52" s="9" t="s">
        <v>135</v>
      </c>
      <c r="F52" s="17">
        <v>1254</v>
      </c>
      <c r="G52" s="17">
        <v>251</v>
      </c>
      <c r="H52" s="17">
        <v>0</v>
      </c>
      <c r="I52" s="17">
        <v>1505</v>
      </c>
      <c r="J52" s="9">
        <v>802</v>
      </c>
      <c r="K52" s="9" t="s">
        <v>197</v>
      </c>
      <c r="L52" s="9" t="s">
        <v>198</v>
      </c>
    </row>
    <row r="53" spans="1:12" ht="15" hidden="1" x14ac:dyDescent="0.2">
      <c r="A53" s="9">
        <v>22201347</v>
      </c>
      <c r="B53" s="9" t="s">
        <v>139</v>
      </c>
      <c r="C53" s="9" t="s">
        <v>215</v>
      </c>
      <c r="D53" s="9" t="s">
        <v>215</v>
      </c>
      <c r="E53" s="9" t="s">
        <v>135</v>
      </c>
      <c r="F53" s="17">
        <v>1254</v>
      </c>
      <c r="G53" s="17">
        <v>251</v>
      </c>
      <c r="H53" s="17">
        <v>0</v>
      </c>
      <c r="I53" s="17">
        <v>1505</v>
      </c>
      <c r="J53" s="9">
        <v>802</v>
      </c>
      <c r="K53" s="9" t="s">
        <v>197</v>
      </c>
      <c r="L53" s="9" t="s">
        <v>198</v>
      </c>
    </row>
    <row r="54" spans="1:12" ht="15" hidden="1" x14ac:dyDescent="0.2">
      <c r="A54" s="9">
        <v>22201347</v>
      </c>
      <c r="B54" s="9" t="s">
        <v>139</v>
      </c>
      <c r="C54" s="9" t="s">
        <v>216</v>
      </c>
      <c r="D54" s="9" t="s">
        <v>216</v>
      </c>
      <c r="E54" s="9" t="s">
        <v>135</v>
      </c>
      <c r="F54" s="17">
        <v>1294</v>
      </c>
      <c r="G54" s="17">
        <v>259</v>
      </c>
      <c r="H54" s="17">
        <v>0</v>
      </c>
      <c r="I54" s="17">
        <v>1553</v>
      </c>
      <c r="J54" s="9">
        <v>802</v>
      </c>
      <c r="K54" s="9" t="s">
        <v>197</v>
      </c>
      <c r="L54" s="9" t="s">
        <v>198</v>
      </c>
    </row>
    <row r="55" spans="1:12" ht="15" hidden="1" x14ac:dyDescent="0.2">
      <c r="A55" s="9">
        <v>22201347</v>
      </c>
      <c r="B55" s="9" t="s">
        <v>139</v>
      </c>
      <c r="C55" s="9" t="s">
        <v>217</v>
      </c>
      <c r="D55" s="9" t="s">
        <v>218</v>
      </c>
      <c r="E55" s="9" t="s">
        <v>135</v>
      </c>
      <c r="F55" s="17">
        <v>2587</v>
      </c>
      <c r="G55" s="17">
        <v>517</v>
      </c>
      <c r="H55" s="17">
        <v>0</v>
      </c>
      <c r="I55" s="17">
        <v>3104</v>
      </c>
      <c r="J55" s="9">
        <v>802</v>
      </c>
      <c r="K55" s="9" t="s">
        <v>197</v>
      </c>
      <c r="L55" s="9" t="s">
        <v>198</v>
      </c>
    </row>
    <row r="56" spans="1:12" ht="15" hidden="1" x14ac:dyDescent="0.2">
      <c r="A56" s="9">
        <v>25147505</v>
      </c>
      <c r="B56" s="9" t="s">
        <v>143</v>
      </c>
      <c r="C56" s="9" t="s">
        <v>219</v>
      </c>
      <c r="D56" s="9" t="s">
        <v>219</v>
      </c>
      <c r="E56" s="9" t="s">
        <v>135</v>
      </c>
      <c r="F56" s="17">
        <v>812</v>
      </c>
      <c r="G56" s="17">
        <v>162</v>
      </c>
      <c r="H56" s="17">
        <v>0</v>
      </c>
      <c r="I56" s="17">
        <v>974</v>
      </c>
      <c r="J56" s="9">
        <v>802</v>
      </c>
      <c r="K56" s="9" t="s">
        <v>197</v>
      </c>
      <c r="L56" s="9" t="s">
        <v>198</v>
      </c>
    </row>
    <row r="57" spans="1:12" ht="15" hidden="1" x14ac:dyDescent="0.2">
      <c r="A57" s="9">
        <v>25147505</v>
      </c>
      <c r="B57" s="9" t="s">
        <v>143</v>
      </c>
      <c r="C57" s="9" t="s">
        <v>220</v>
      </c>
      <c r="D57" s="9" t="s">
        <v>221</v>
      </c>
      <c r="E57" s="9" t="s">
        <v>135</v>
      </c>
      <c r="F57" s="17">
        <v>1623</v>
      </c>
      <c r="G57" s="17">
        <v>325</v>
      </c>
      <c r="H57" s="17">
        <v>0</v>
      </c>
      <c r="I57" s="17">
        <v>1948</v>
      </c>
      <c r="J57" s="9">
        <v>802</v>
      </c>
      <c r="K57" s="9" t="s">
        <v>197</v>
      </c>
      <c r="L57" s="9" t="s">
        <v>198</v>
      </c>
    </row>
    <row r="58" spans="1:12" ht="15" hidden="1" x14ac:dyDescent="0.2">
      <c r="A58" s="9">
        <v>25147505</v>
      </c>
      <c r="B58" s="9" t="s">
        <v>143</v>
      </c>
      <c r="C58" s="9" t="s">
        <v>222</v>
      </c>
      <c r="D58" s="9" t="s">
        <v>222</v>
      </c>
      <c r="E58" s="9" t="s">
        <v>135</v>
      </c>
      <c r="F58" s="17">
        <v>812</v>
      </c>
      <c r="G58" s="17">
        <v>162</v>
      </c>
      <c r="H58" s="17">
        <v>0</v>
      </c>
      <c r="I58" s="17">
        <v>974</v>
      </c>
      <c r="J58" s="9">
        <v>802</v>
      </c>
      <c r="K58" s="9" t="s">
        <v>197</v>
      </c>
      <c r="L58" s="9" t="s">
        <v>198</v>
      </c>
    </row>
    <row r="59" spans="1:12" ht="15" hidden="1" x14ac:dyDescent="0.2">
      <c r="A59" s="9">
        <v>25147505</v>
      </c>
      <c r="B59" s="9" t="s">
        <v>143</v>
      </c>
      <c r="C59" s="9" t="s">
        <v>223</v>
      </c>
      <c r="D59" s="9" t="s">
        <v>223</v>
      </c>
      <c r="E59" s="9" t="s">
        <v>135</v>
      </c>
      <c r="F59" s="17">
        <v>813</v>
      </c>
      <c r="G59" s="17">
        <v>163</v>
      </c>
      <c r="H59" s="17">
        <v>0</v>
      </c>
      <c r="I59" s="17">
        <v>976</v>
      </c>
      <c r="J59" s="9">
        <v>802</v>
      </c>
      <c r="K59" s="9" t="s">
        <v>197</v>
      </c>
      <c r="L59" s="9" t="s">
        <v>198</v>
      </c>
    </row>
    <row r="60" spans="1:12" ht="15" hidden="1" x14ac:dyDescent="0.2">
      <c r="A60" s="9">
        <v>25147505</v>
      </c>
      <c r="B60" s="9" t="s">
        <v>143</v>
      </c>
      <c r="C60" s="9" t="s">
        <v>200</v>
      </c>
      <c r="D60" s="9" t="s">
        <v>200</v>
      </c>
      <c r="E60" s="9" t="s">
        <v>135</v>
      </c>
      <c r="F60" s="17">
        <v>805</v>
      </c>
      <c r="G60" s="17">
        <v>161</v>
      </c>
      <c r="H60" s="17">
        <v>0</v>
      </c>
      <c r="I60" s="17">
        <v>966</v>
      </c>
      <c r="J60" s="9">
        <v>802</v>
      </c>
      <c r="K60" s="9" t="s">
        <v>197</v>
      </c>
      <c r="L60" s="9" t="s">
        <v>198</v>
      </c>
    </row>
    <row r="61" spans="1:12" ht="15" hidden="1" x14ac:dyDescent="0.2">
      <c r="A61" s="9">
        <v>25147505</v>
      </c>
      <c r="B61" s="9" t="s">
        <v>143</v>
      </c>
      <c r="C61" s="9" t="s">
        <v>202</v>
      </c>
      <c r="D61" s="9" t="s">
        <v>224</v>
      </c>
      <c r="E61" s="9" t="s">
        <v>135</v>
      </c>
      <c r="F61" s="17">
        <v>3221</v>
      </c>
      <c r="G61" s="17">
        <v>644</v>
      </c>
      <c r="H61" s="17">
        <v>0</v>
      </c>
      <c r="I61" s="17">
        <v>3865</v>
      </c>
      <c r="J61" s="9">
        <v>802</v>
      </c>
      <c r="K61" s="9" t="s">
        <v>197</v>
      </c>
      <c r="L61" s="9" t="s">
        <v>198</v>
      </c>
    </row>
    <row r="62" spans="1:12" ht="15" hidden="1" x14ac:dyDescent="0.2">
      <c r="A62" s="9">
        <v>25147505</v>
      </c>
      <c r="B62" s="9" t="s">
        <v>143</v>
      </c>
      <c r="C62" s="9" t="s">
        <v>225</v>
      </c>
      <c r="D62" s="9" t="s">
        <v>226</v>
      </c>
      <c r="E62" s="9" t="s">
        <v>135</v>
      </c>
      <c r="F62" s="17">
        <v>3221</v>
      </c>
      <c r="G62" s="17">
        <v>644</v>
      </c>
      <c r="H62" s="17">
        <v>0</v>
      </c>
      <c r="I62" s="17">
        <v>3865</v>
      </c>
      <c r="J62" s="9">
        <v>802</v>
      </c>
      <c r="K62" s="9" t="s">
        <v>197</v>
      </c>
      <c r="L62" s="9" t="s">
        <v>198</v>
      </c>
    </row>
    <row r="63" spans="1:12" ht="15" hidden="1" x14ac:dyDescent="0.2">
      <c r="A63" s="9">
        <v>25147505</v>
      </c>
      <c r="B63" s="9" t="s">
        <v>143</v>
      </c>
      <c r="C63" s="9" t="s">
        <v>204</v>
      </c>
      <c r="D63" s="9" t="s">
        <v>227</v>
      </c>
      <c r="E63" s="9" t="s">
        <v>135</v>
      </c>
      <c r="F63" s="17">
        <v>2415</v>
      </c>
      <c r="G63" s="17">
        <v>483</v>
      </c>
      <c r="H63" s="17">
        <v>0</v>
      </c>
      <c r="I63" s="17">
        <v>2898</v>
      </c>
      <c r="J63" s="9">
        <v>802</v>
      </c>
      <c r="K63" s="9" t="s">
        <v>197</v>
      </c>
      <c r="L63" s="9" t="s">
        <v>198</v>
      </c>
    </row>
    <row r="64" spans="1:12" ht="15" hidden="1" x14ac:dyDescent="0.2">
      <c r="A64" s="9">
        <v>25147505</v>
      </c>
      <c r="B64" s="9" t="s">
        <v>143</v>
      </c>
      <c r="C64" s="9" t="s">
        <v>228</v>
      </c>
      <c r="D64" s="9" t="s">
        <v>228</v>
      </c>
      <c r="E64" s="9" t="s">
        <v>135</v>
      </c>
      <c r="F64" s="17">
        <v>775</v>
      </c>
      <c r="G64" s="17">
        <v>155</v>
      </c>
      <c r="H64" s="17">
        <v>0</v>
      </c>
      <c r="I64" s="17">
        <v>930</v>
      </c>
      <c r="J64" s="9">
        <v>802</v>
      </c>
      <c r="K64" s="9" t="s">
        <v>197</v>
      </c>
      <c r="L64" s="9" t="s">
        <v>198</v>
      </c>
    </row>
    <row r="65" spans="1:12" ht="15" hidden="1" x14ac:dyDescent="0.2">
      <c r="A65" s="9">
        <v>25155235</v>
      </c>
      <c r="B65" s="9" t="s">
        <v>145</v>
      </c>
      <c r="C65" s="9" t="s">
        <v>229</v>
      </c>
      <c r="D65" s="9" t="s">
        <v>230</v>
      </c>
      <c r="E65" s="9" t="s">
        <v>135</v>
      </c>
      <c r="F65" s="17">
        <v>4722</v>
      </c>
      <c r="G65" s="17">
        <v>472</v>
      </c>
      <c r="H65" s="17">
        <v>0</v>
      </c>
      <c r="I65" s="17">
        <v>5194</v>
      </c>
      <c r="J65" s="9">
        <v>802</v>
      </c>
      <c r="K65" s="9" t="s">
        <v>197</v>
      </c>
      <c r="L65" s="9" t="s">
        <v>198</v>
      </c>
    </row>
    <row r="66" spans="1:12" ht="15" hidden="1" x14ac:dyDescent="0.2">
      <c r="A66" s="9">
        <v>25155235</v>
      </c>
      <c r="B66" s="9" t="s">
        <v>145</v>
      </c>
      <c r="C66" s="9" t="s">
        <v>231</v>
      </c>
      <c r="D66" s="9" t="s">
        <v>232</v>
      </c>
      <c r="E66" s="9" t="s">
        <v>135</v>
      </c>
      <c r="F66" s="17">
        <v>4722</v>
      </c>
      <c r="G66" s="17">
        <v>472</v>
      </c>
      <c r="H66" s="17">
        <v>0</v>
      </c>
      <c r="I66" s="17">
        <v>5194</v>
      </c>
      <c r="J66" s="9">
        <v>802</v>
      </c>
      <c r="K66" s="9" t="s">
        <v>197</v>
      </c>
      <c r="L66" s="9" t="s">
        <v>198</v>
      </c>
    </row>
    <row r="67" spans="1:12" ht="15" hidden="1" x14ac:dyDescent="0.2">
      <c r="A67" s="9">
        <v>25155235</v>
      </c>
      <c r="B67" s="9" t="s">
        <v>145</v>
      </c>
      <c r="C67" s="9" t="s">
        <v>191</v>
      </c>
      <c r="D67" s="9" t="s">
        <v>192</v>
      </c>
      <c r="E67" s="9" t="s">
        <v>135</v>
      </c>
      <c r="F67" s="17">
        <v>2361</v>
      </c>
      <c r="G67" s="17">
        <v>472</v>
      </c>
      <c r="H67" s="17">
        <v>0</v>
      </c>
      <c r="I67" s="17">
        <v>2833</v>
      </c>
      <c r="J67" s="9">
        <v>802</v>
      </c>
      <c r="K67" s="9" t="s">
        <v>197</v>
      </c>
      <c r="L67" s="9" t="s">
        <v>198</v>
      </c>
    </row>
    <row r="68" spans="1:12" ht="15" hidden="1" x14ac:dyDescent="0.2">
      <c r="A68" s="9">
        <v>22201347</v>
      </c>
      <c r="B68" s="9" t="s">
        <v>233</v>
      </c>
      <c r="C68" s="9" t="s">
        <v>191</v>
      </c>
      <c r="D68" s="9" t="s">
        <v>183</v>
      </c>
      <c r="E68" s="16" t="s">
        <v>234</v>
      </c>
      <c r="F68" s="17">
        <v>0</v>
      </c>
      <c r="G68" s="17">
        <v>0</v>
      </c>
      <c r="H68" s="17">
        <v>1999</v>
      </c>
      <c r="I68" s="17">
        <v>2031</v>
      </c>
      <c r="J68" s="9">
        <v>610</v>
      </c>
      <c r="K68" s="9" t="s">
        <v>235</v>
      </c>
      <c r="L68" s="9" t="s">
        <v>236</v>
      </c>
    </row>
    <row r="69" spans="1:12" ht="15" hidden="1" x14ac:dyDescent="0.2">
      <c r="A69" s="9">
        <v>25147505</v>
      </c>
      <c r="B69" s="9" t="s">
        <v>112</v>
      </c>
      <c r="C69" s="9" t="s">
        <v>149</v>
      </c>
      <c r="D69" s="9" t="s">
        <v>149</v>
      </c>
      <c r="E69" s="16" t="s">
        <v>234</v>
      </c>
      <c r="F69" s="17">
        <v>0</v>
      </c>
      <c r="G69" s="17">
        <v>0</v>
      </c>
      <c r="H69" s="17">
        <v>305</v>
      </c>
      <c r="I69" s="17">
        <v>307</v>
      </c>
      <c r="J69" s="9">
        <v>410</v>
      </c>
      <c r="K69" s="9" t="s">
        <v>237</v>
      </c>
      <c r="L69" s="9" t="s">
        <v>238</v>
      </c>
    </row>
    <row r="70" spans="1:12" ht="15" hidden="1" x14ac:dyDescent="0.2">
      <c r="A70" s="9">
        <v>25155235</v>
      </c>
      <c r="B70" s="9" t="s">
        <v>117</v>
      </c>
      <c r="C70" s="9" t="s">
        <v>146</v>
      </c>
      <c r="D70" s="9" t="s">
        <v>151</v>
      </c>
      <c r="E70" s="16" t="s">
        <v>234</v>
      </c>
      <c r="F70" s="17">
        <v>0</v>
      </c>
      <c r="G70" s="17">
        <v>0</v>
      </c>
      <c r="H70" s="17">
        <v>0</v>
      </c>
      <c r="I70" s="17">
        <v>0</v>
      </c>
      <c r="J70" s="9">
        <v>410</v>
      </c>
      <c r="K70" s="9" t="s">
        <v>237</v>
      </c>
      <c r="L70" s="9" t="s">
        <v>238</v>
      </c>
    </row>
    <row r="71" spans="1:12" ht="15" hidden="1" x14ac:dyDescent="0.2">
      <c r="A71" s="9">
        <v>25155235</v>
      </c>
      <c r="B71" s="9" t="s">
        <v>117</v>
      </c>
      <c r="C71" s="9" t="s">
        <v>152</v>
      </c>
      <c r="D71" s="9" t="s">
        <v>154</v>
      </c>
      <c r="E71" s="16" t="s">
        <v>234</v>
      </c>
      <c r="F71" s="17">
        <v>0</v>
      </c>
      <c r="G71" s="17">
        <v>0</v>
      </c>
      <c r="H71" s="17">
        <v>1785</v>
      </c>
      <c r="I71" s="17">
        <v>1795</v>
      </c>
      <c r="J71" s="9">
        <v>410</v>
      </c>
      <c r="K71" s="9" t="s">
        <v>237</v>
      </c>
      <c r="L71" s="9" t="s">
        <v>238</v>
      </c>
    </row>
    <row r="72" spans="1:12" ht="15" hidden="1" x14ac:dyDescent="0.2">
      <c r="A72" s="9">
        <v>28027738</v>
      </c>
      <c r="B72" s="9" t="s">
        <v>78</v>
      </c>
      <c r="C72" s="9" t="s">
        <v>239</v>
      </c>
      <c r="D72" s="9" t="s">
        <v>158</v>
      </c>
      <c r="E72" s="16" t="s">
        <v>234</v>
      </c>
      <c r="F72" s="17">
        <v>0</v>
      </c>
      <c r="G72" s="17">
        <v>0</v>
      </c>
      <c r="H72" s="17">
        <v>0</v>
      </c>
      <c r="I72" s="17">
        <v>0</v>
      </c>
      <c r="J72" s="9">
        <v>410</v>
      </c>
      <c r="K72" s="9" t="s">
        <v>237</v>
      </c>
      <c r="L72" s="9" t="s">
        <v>238</v>
      </c>
    </row>
    <row r="73" spans="1:12" ht="15" hidden="1" x14ac:dyDescent="0.2">
      <c r="A73" s="9">
        <v>22201347</v>
      </c>
      <c r="B73" s="9" t="s">
        <v>233</v>
      </c>
      <c r="C73" s="9" t="s">
        <v>240</v>
      </c>
      <c r="D73" s="9" t="s">
        <v>241</v>
      </c>
      <c r="E73" s="16" t="s">
        <v>234</v>
      </c>
      <c r="F73" s="17">
        <v>0</v>
      </c>
      <c r="G73" s="17">
        <v>0</v>
      </c>
      <c r="H73" s="17">
        <v>0</v>
      </c>
      <c r="I73" s="17">
        <v>0</v>
      </c>
      <c r="J73" s="9">
        <v>510</v>
      </c>
      <c r="K73" s="9" t="s">
        <v>242</v>
      </c>
      <c r="L73" s="9" t="s">
        <v>243</v>
      </c>
    </row>
    <row r="74" spans="1:12" ht="15" hidden="1" x14ac:dyDescent="0.2">
      <c r="A74" s="9">
        <v>22201347</v>
      </c>
      <c r="B74" s="9" t="s">
        <v>233</v>
      </c>
      <c r="C74" s="9" t="s">
        <v>244</v>
      </c>
      <c r="D74" s="9" t="s">
        <v>245</v>
      </c>
      <c r="E74" s="16" t="s">
        <v>234</v>
      </c>
      <c r="F74" s="17">
        <v>0</v>
      </c>
      <c r="G74" s="17">
        <v>0</v>
      </c>
      <c r="H74" s="17">
        <v>1308</v>
      </c>
      <c r="I74" s="17">
        <v>1320</v>
      </c>
      <c r="J74" s="9">
        <v>510</v>
      </c>
      <c r="K74" s="9" t="s">
        <v>242</v>
      </c>
      <c r="L74" s="9" t="s">
        <v>243</v>
      </c>
    </row>
    <row r="75" spans="1:12" ht="15" hidden="1" x14ac:dyDescent="0.2">
      <c r="A75" s="9">
        <v>22201347</v>
      </c>
      <c r="B75" s="9" t="s">
        <v>233</v>
      </c>
      <c r="C75" s="9" t="s">
        <v>246</v>
      </c>
      <c r="D75" s="9" t="s">
        <v>246</v>
      </c>
      <c r="E75" s="16" t="s">
        <v>234</v>
      </c>
      <c r="F75" s="17">
        <v>0</v>
      </c>
      <c r="G75" s="17">
        <v>0</v>
      </c>
      <c r="H75" s="17">
        <v>654</v>
      </c>
      <c r="I75" s="17">
        <v>660</v>
      </c>
      <c r="J75" s="9">
        <v>510</v>
      </c>
      <c r="K75" s="9" t="s">
        <v>242</v>
      </c>
      <c r="L75" s="9" t="s">
        <v>243</v>
      </c>
    </row>
    <row r="76" spans="1:12" ht="15" hidden="1" x14ac:dyDescent="0.2">
      <c r="A76" s="9">
        <v>22201347</v>
      </c>
      <c r="B76" s="9" t="s">
        <v>233</v>
      </c>
      <c r="C76" s="9" t="s">
        <v>247</v>
      </c>
      <c r="D76" s="9" t="s">
        <v>248</v>
      </c>
      <c r="E76" s="16" t="s">
        <v>234</v>
      </c>
      <c r="F76" s="17">
        <v>0</v>
      </c>
      <c r="G76" s="17">
        <v>0</v>
      </c>
      <c r="H76" s="17">
        <v>3269</v>
      </c>
      <c r="I76" s="17">
        <v>3298</v>
      </c>
      <c r="J76" s="9">
        <v>510</v>
      </c>
      <c r="K76" s="9" t="s">
        <v>242</v>
      </c>
      <c r="L76" s="9" t="s">
        <v>243</v>
      </c>
    </row>
    <row r="77" spans="1:12" ht="15" hidden="1" x14ac:dyDescent="0.2">
      <c r="A77" s="9">
        <v>22201347</v>
      </c>
      <c r="B77" s="9" t="s">
        <v>233</v>
      </c>
      <c r="C77" s="9" t="s">
        <v>249</v>
      </c>
      <c r="D77" s="9" t="s">
        <v>250</v>
      </c>
      <c r="E77" s="16" t="s">
        <v>234</v>
      </c>
      <c r="F77" s="17">
        <v>0</v>
      </c>
      <c r="G77" s="17">
        <v>0</v>
      </c>
      <c r="H77" s="17">
        <v>3269</v>
      </c>
      <c r="I77" s="17">
        <v>3282</v>
      </c>
      <c r="J77" s="9">
        <v>510</v>
      </c>
      <c r="K77" s="9" t="s">
        <v>242</v>
      </c>
      <c r="L77" s="9" t="s">
        <v>243</v>
      </c>
    </row>
    <row r="78" spans="1:12" ht="15" hidden="1" x14ac:dyDescent="0.2">
      <c r="A78" s="9">
        <v>22201347</v>
      </c>
      <c r="B78" s="9" t="s">
        <v>233</v>
      </c>
      <c r="C78" s="9" t="s">
        <v>251</v>
      </c>
      <c r="D78" s="9" t="s">
        <v>252</v>
      </c>
      <c r="E78" s="16" t="s">
        <v>234</v>
      </c>
      <c r="F78" s="17">
        <v>0</v>
      </c>
      <c r="G78" s="17">
        <v>0</v>
      </c>
      <c r="H78" s="17">
        <v>2615</v>
      </c>
      <c r="I78" s="17">
        <v>2626</v>
      </c>
      <c r="J78" s="9">
        <v>510</v>
      </c>
      <c r="K78" s="9" t="s">
        <v>242</v>
      </c>
      <c r="L78" s="9" t="s">
        <v>243</v>
      </c>
    </row>
    <row r="79" spans="1:12" ht="15" hidden="1" x14ac:dyDescent="0.2">
      <c r="A79" s="9">
        <v>22201347</v>
      </c>
      <c r="B79" s="9" t="s">
        <v>233</v>
      </c>
      <c r="C79" s="9" t="s">
        <v>160</v>
      </c>
      <c r="D79" s="9" t="s">
        <v>161</v>
      </c>
      <c r="E79" s="16" t="s">
        <v>234</v>
      </c>
      <c r="F79" s="17">
        <v>0</v>
      </c>
      <c r="G79" s="17">
        <v>0</v>
      </c>
      <c r="H79" s="17">
        <v>3269</v>
      </c>
      <c r="I79" s="17">
        <v>3282</v>
      </c>
      <c r="J79" s="9">
        <v>510</v>
      </c>
      <c r="K79" s="9" t="s">
        <v>242</v>
      </c>
      <c r="L79" s="9" t="s">
        <v>243</v>
      </c>
    </row>
    <row r="80" spans="1:12" ht="15" hidden="1" x14ac:dyDescent="0.2">
      <c r="A80" s="9">
        <v>22201347</v>
      </c>
      <c r="B80" s="9" t="s">
        <v>233</v>
      </c>
      <c r="C80" s="9" t="s">
        <v>253</v>
      </c>
      <c r="D80" s="9" t="s">
        <v>254</v>
      </c>
      <c r="E80" s="16" t="s">
        <v>234</v>
      </c>
      <c r="F80" s="17">
        <v>0</v>
      </c>
      <c r="G80" s="17">
        <v>0</v>
      </c>
      <c r="H80" s="17">
        <v>654</v>
      </c>
      <c r="I80" s="17">
        <v>659</v>
      </c>
      <c r="J80" s="9">
        <v>510</v>
      </c>
      <c r="K80" s="9" t="s">
        <v>242</v>
      </c>
      <c r="L80" s="9" t="s">
        <v>243</v>
      </c>
    </row>
    <row r="81" spans="1:12" ht="15" hidden="1" x14ac:dyDescent="0.2">
      <c r="A81" s="9">
        <v>22201347</v>
      </c>
      <c r="B81" s="9" t="s">
        <v>233</v>
      </c>
      <c r="C81" s="9" t="s">
        <v>176</v>
      </c>
      <c r="D81" s="9" t="s">
        <v>177</v>
      </c>
      <c r="E81" s="16" t="s">
        <v>234</v>
      </c>
      <c r="F81" s="17">
        <v>0</v>
      </c>
      <c r="G81" s="17">
        <v>0</v>
      </c>
      <c r="H81" s="17">
        <v>3269</v>
      </c>
      <c r="I81" s="17">
        <v>3295</v>
      </c>
      <c r="J81" s="9">
        <v>510</v>
      </c>
      <c r="K81" s="9" t="s">
        <v>242</v>
      </c>
      <c r="L81" s="9" t="s">
        <v>243</v>
      </c>
    </row>
  </sheetData>
  <autoFilter ref="A1:L81" xr:uid="{00000000-0009-0000-0000-000002000000}">
    <filterColumn colId="10">
      <filters>
        <filter val="09/02/2025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75"/>
  <sheetViews>
    <sheetView rightToLeft="1" tabSelected="1" workbookViewId="0">
      <pane ySplit="1" topLeftCell="A2" activePane="bottomLeft" state="frozen"/>
      <selection pane="bottomLeft" activeCell="L4" sqref="L4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7" customWidth="1"/>
    <col min="11" max="11" width="15" customWidth="1"/>
    <col min="12" max="12" width="35" customWidth="1"/>
  </cols>
  <sheetData>
    <row r="1" spans="1:12" ht="24.95" customHeight="1" x14ac:dyDescent="0.2">
      <c r="A1" s="8" t="s">
        <v>123</v>
      </c>
      <c r="B1" s="8" t="s">
        <v>61</v>
      </c>
      <c r="C1" s="8" t="s">
        <v>255</v>
      </c>
      <c r="D1" s="8" t="s">
        <v>256</v>
      </c>
      <c r="E1" s="8" t="s">
        <v>257</v>
      </c>
      <c r="F1" s="8" t="s">
        <v>258</v>
      </c>
      <c r="G1" s="8" t="s">
        <v>259</v>
      </c>
      <c r="H1" s="8" t="s">
        <v>260</v>
      </c>
      <c r="I1" s="8" t="s">
        <v>261</v>
      </c>
      <c r="J1" s="8" t="s">
        <v>262</v>
      </c>
      <c r="K1" s="8" t="s">
        <v>66</v>
      </c>
      <c r="L1" s="8" t="s">
        <v>263</v>
      </c>
    </row>
    <row r="2" spans="1:12" ht="15" hidden="1" x14ac:dyDescent="0.2">
      <c r="A2" s="9" t="s">
        <v>69</v>
      </c>
      <c r="B2" s="9" t="s">
        <v>70</v>
      </c>
      <c r="C2" s="9" t="s">
        <v>264</v>
      </c>
      <c r="D2" s="10">
        <f>COUNTIFS('2️⃣ תקופות מילואים'!$B:$B,A2,'2️⃣ תקופות מילואים'!$F:$F,C2)</f>
        <v>1</v>
      </c>
      <c r="E2" s="10">
        <f>SUMIFS('2️⃣ תקופות מילואים'!$G:$G,'2️⃣ תקופות מילואים'!$B:$B,A2,'2️⃣ תקופות מילואים'!$F:$F,C2)</f>
        <v>1</v>
      </c>
      <c r="F2" s="10">
        <f>SUMIFS('2️⃣ תקופות מילואים'!$H:$H,'2️⃣ תקופות מילואים'!$B:$B,A2,'2️⃣ תקופות מילואים'!$F:$F,C2)</f>
        <v>1</v>
      </c>
      <c r="G2" s="9">
        <f>SUMIFS('2️⃣ תקופות מילואים'!$I:$I,'2️⃣ תקופות מילואים'!$B:$B,A2,'2️⃣ תקופות מילואים'!$F:$F,C2)+SUMIFS('2️⃣ תקופות מילואים'!$J:$J,'2️⃣ תקופות מילואים'!$B:$B,A2,'2️⃣ תקופות מילואים'!$F:$F,C2)+SUMIFS('2️⃣ תקופות מילואים'!$K:$K,'2️⃣ תקופות מילואים'!$B:$B,A2,'2️⃣ תקופות מילואים'!$F:$F,C2)</f>
        <v>0</v>
      </c>
      <c r="H2" s="9">
        <f>SUMIFS('2️⃣ תקופות מילואים'!$P:$P,'2️⃣ תקופות מילואים'!$B:$B,A2,'2️⃣ תקופות מילואים'!$F:$F,C2)</f>
        <v>172.74573142593448</v>
      </c>
      <c r="I2" s="9">
        <f>SUMIFS('3️⃣ תשלומי ב"ל'!$I:$I,'3️⃣ תשלומי ב"ל'!$B:$B,A2)</f>
        <v>0</v>
      </c>
      <c r="J2" s="9"/>
      <c r="K2" s="11" t="s">
        <v>265</v>
      </c>
      <c r="L2" s="9" t="s">
        <v>266</v>
      </c>
    </row>
    <row r="3" spans="1:12" ht="15" hidden="1" x14ac:dyDescent="0.2">
      <c r="A3" s="9" t="s">
        <v>74</v>
      </c>
      <c r="B3" s="9" t="s">
        <v>75</v>
      </c>
      <c r="C3" s="9" t="s">
        <v>267</v>
      </c>
      <c r="D3" s="10">
        <f>COUNTIFS('2️⃣ תקופות מילואים'!$B:$B,A3,'2️⃣ תקופות מילואים'!$F:$F,C3)</f>
        <v>1</v>
      </c>
      <c r="E3" s="10">
        <f>SUMIFS('2️⃣ תקופות מילואים'!$G:$G,'2️⃣ תקופות מילואים'!$B:$B,A3,'2️⃣ תקופות מילואים'!$F:$F,C3)</f>
        <v>17</v>
      </c>
      <c r="F3" s="10">
        <f>SUMIFS('2️⃣ תקופות מילואים'!$H:$H,'2️⃣ תקופות מילואים'!$B:$B,A3,'2️⃣ תקופות מילואים'!$F:$F,C3)</f>
        <v>13</v>
      </c>
      <c r="G3" s="9">
        <f>SUMIFS('2️⃣ תקופות מילואים'!$I:$I,'2️⃣ תקופות מילואים'!$B:$B,A3,'2️⃣ תקופות מילואים'!$F:$F,C3)+SUMIFS('2️⃣ תקופות מילואים'!$J:$J,'2️⃣ תקופות מילואים'!$B:$B,A3,'2️⃣ תקופות מילואים'!$F:$F,C3)+SUMIFS('2️⃣ תקופות מילואים'!$K:$K,'2️⃣ תקופות מילואים'!$B:$B,A3,'2️⃣ תקופות מילואים'!$F:$F,C3)</f>
        <v>4</v>
      </c>
      <c r="H3" s="9">
        <f>SUMIFS('2️⃣ תקופות מילואים'!$P:$P,'2️⃣ תקופות מילואים'!$B:$B,A3,'2️⃣ תקופות מילואים'!$F:$F,C3)</f>
        <v>7317.5634517766484</v>
      </c>
      <c r="I3" s="9">
        <f>SUMIFS('3️⃣ תשלומי ב"ל'!$I:$I,'3️⃣ תשלומי ב"ל'!$B:$B,A3)</f>
        <v>0</v>
      </c>
      <c r="J3" s="9"/>
      <c r="K3" s="11" t="s">
        <v>265</v>
      </c>
      <c r="L3" s="9" t="s">
        <v>268</v>
      </c>
    </row>
    <row r="4" spans="1:12" ht="15" x14ac:dyDescent="0.2">
      <c r="A4" s="9" t="s">
        <v>78</v>
      </c>
      <c r="B4" s="9" t="s">
        <v>70</v>
      </c>
      <c r="C4" s="9" t="s">
        <v>269</v>
      </c>
      <c r="D4" s="10">
        <f>COUNTIFS('2️⃣ תקופות מילואים'!$B:$B,A4,'2️⃣ תקופות מילואים'!$F:$F,C4)</f>
        <v>1</v>
      </c>
      <c r="E4" s="10">
        <f>SUMIFS('2️⃣ תקופות מילואים'!$G:$G,'2️⃣ תקופות מילואים'!$B:$B,A4,'2️⃣ תקופות מילואים'!$F:$F,C4)</f>
        <v>3</v>
      </c>
      <c r="F4" s="10">
        <f>SUMIFS('2️⃣ תקופות מילואים'!$H:$H,'2️⃣ תקופות מילואים'!$B:$B,A4,'2️⃣ תקופות מילואים'!$F:$F,C4)</f>
        <v>3</v>
      </c>
      <c r="G4" s="9">
        <f>SUMIFS('2️⃣ תקופות מילואים'!$I:$I,'2️⃣ תקופות מילואים'!$B:$B,A4,'2️⃣ תקופות מילואים'!$F:$F,C4)+SUMIFS('2️⃣ תקופות מילואים'!$J:$J,'2️⃣ תקופות מילואים'!$B:$B,A4,'2️⃣ תקופות מילואים'!$F:$F,C4)+SUMIFS('2️⃣ תקופות מילואים'!$K:$K,'2️⃣ תקופות מילואים'!$B:$B,A4,'2️⃣ תקופות מילואים'!$F:$F,C4)</f>
        <v>0</v>
      </c>
      <c r="H4" s="9">
        <f>SUMIFS('2️⃣ תקופות מילואים'!$P:$P,'2️⃣ תקופות מילואים'!$B:$B,A4,'2️⃣ תקופות מילואים'!$F:$F,C4)</f>
        <v>567.60498384863865</v>
      </c>
      <c r="I4" s="9">
        <f>SUMIFS('3️⃣ תשלומי ב"ל'!$I:$I,'3️⃣ תשלומי ב"ל'!$B:$B,A4)</f>
        <v>0</v>
      </c>
      <c r="J4" s="9"/>
      <c r="K4" s="11" t="s">
        <v>265</v>
      </c>
      <c r="L4" s="9" t="s">
        <v>270</v>
      </c>
    </row>
    <row r="5" spans="1:12" ht="15" hidden="1" x14ac:dyDescent="0.2">
      <c r="A5" s="9" t="s">
        <v>78</v>
      </c>
      <c r="B5" s="9" t="s">
        <v>70</v>
      </c>
      <c r="C5" s="9" t="s">
        <v>271</v>
      </c>
      <c r="D5" s="10">
        <f>COUNTIFS('2️⃣ תקופות מילואים'!$B:$B,A5,'2️⃣ תקופות מילואים'!$F:$F,C5)</f>
        <v>1</v>
      </c>
      <c r="E5" s="10">
        <f>SUMIFS('2️⃣ תקופות מילואים'!$G:$G,'2️⃣ תקופות מילואים'!$B:$B,A5,'2️⃣ תקופות מילואים'!$F:$F,C5)</f>
        <v>3</v>
      </c>
      <c r="F5" s="10">
        <f>SUMIFS('2️⃣ תקופות מילואים'!$H:$H,'2️⃣ תקופות מילואים'!$B:$B,A5,'2️⃣ תקופות מילואים'!$F:$F,C5)</f>
        <v>3</v>
      </c>
      <c r="G5" s="9">
        <f>SUMIFS('2️⃣ תקופות מילואים'!$I:$I,'2️⃣ תקופות מילואים'!$B:$B,A5,'2️⃣ תקופות מילואים'!$F:$F,C5)+SUMIFS('2️⃣ תקופות מילואים'!$J:$J,'2️⃣ תקופות מילואים'!$B:$B,A5,'2️⃣ תקופות מילואים'!$F:$F,C5)+SUMIFS('2️⃣ תקופות מילואים'!$K:$K,'2️⃣ תקופות מילואים'!$B:$B,A5,'2️⃣ תקופות מילואים'!$F:$F,C5)</f>
        <v>0</v>
      </c>
      <c r="H5" s="9">
        <f>SUMIFS('2️⃣ תקופות מילואים'!$P:$P,'2️⃣ תקופות מילואים'!$B:$B,A5,'2️⃣ תקופות מילואים'!$F:$F,C5)</f>
        <v>567.60498384863865</v>
      </c>
      <c r="I5" s="9">
        <f>SUMIFS('3️⃣ תשלומי ב"ל'!$I:$I,'3️⃣ תשלומי ב"ל'!$B:$B,A5)</f>
        <v>0</v>
      </c>
      <c r="J5" s="9"/>
      <c r="K5" s="11" t="s">
        <v>265</v>
      </c>
      <c r="L5" s="9" t="s">
        <v>272</v>
      </c>
    </row>
    <row r="6" spans="1:12" ht="15" hidden="1" x14ac:dyDescent="0.2">
      <c r="A6" s="9" t="s">
        <v>78</v>
      </c>
      <c r="B6" s="9" t="s">
        <v>70</v>
      </c>
      <c r="C6" s="9" t="s">
        <v>273</v>
      </c>
      <c r="D6" s="10">
        <f>COUNTIFS('2️⃣ תקופות מילואים'!$B:$B,A6,'2️⃣ תקופות מילואים'!$F:$F,C6)</f>
        <v>1</v>
      </c>
      <c r="E6" s="10">
        <f>SUMIFS('2️⃣ תקופות מילואים'!$G:$G,'2️⃣ תקופות מילואים'!$B:$B,A6,'2️⃣ תקופות מילואים'!$F:$F,C6)</f>
        <v>15</v>
      </c>
      <c r="F6" s="10">
        <f>SUMIFS('2️⃣ תקופות מילואים'!$H:$H,'2️⃣ תקופות מילואים'!$B:$B,A6,'2️⃣ תקופות מילואים'!$F:$F,C6)</f>
        <v>11</v>
      </c>
      <c r="G6" s="9">
        <f>SUMIFS('2️⃣ תקופות מילואים'!$I:$I,'2️⃣ תקופות מילואים'!$B:$B,A6,'2️⃣ תקופות מילואים'!$F:$F,C6)+SUMIFS('2️⃣ תקופות מילואים'!$J:$J,'2️⃣ תקופות מילואים'!$B:$B,A6,'2️⃣ תקופות מילואים'!$F:$F,C6)+SUMIFS('2️⃣ תקופות מילואים'!$K:$K,'2️⃣ תקופות מילואים'!$B:$B,A6,'2️⃣ תקופות מילואים'!$F:$F,C6)</f>
        <v>4</v>
      </c>
      <c r="H6" s="9">
        <f>SUMIFS('2️⃣ תקופות מילואים'!$P:$P,'2️⃣ תקופות מילואים'!$B:$B,A6,'2️⃣ תקופות מילואים'!$F:$F,C6)</f>
        <v>5865.251499769266</v>
      </c>
      <c r="I6" s="9">
        <f>SUMIFS('3️⃣ תשלומי ב"ל'!$I:$I,'3️⃣ תשלומי ב"ל'!$B:$B,A6)</f>
        <v>0</v>
      </c>
      <c r="J6" s="9"/>
      <c r="K6" s="11" t="s">
        <v>265</v>
      </c>
      <c r="L6" s="9" t="s">
        <v>274</v>
      </c>
    </row>
    <row r="7" spans="1:12" ht="15" hidden="1" x14ac:dyDescent="0.2">
      <c r="A7" s="9" t="s">
        <v>78</v>
      </c>
      <c r="B7" s="9" t="s">
        <v>70</v>
      </c>
      <c r="C7" s="9" t="s">
        <v>275</v>
      </c>
      <c r="D7" s="10">
        <f>COUNTIFS('2️⃣ תקופות מילואים'!$B:$B,A7,'2️⃣ תקופות מילואים'!$F:$F,C7)</f>
        <v>1</v>
      </c>
      <c r="E7" s="10">
        <f>SUMIFS('2️⃣ תקופות מילואים'!$G:$G,'2️⃣ תקופות מילואים'!$B:$B,A7,'2️⃣ תקופות מילואים'!$F:$F,C7)</f>
        <v>3</v>
      </c>
      <c r="F7" s="10">
        <f>SUMIFS('2️⃣ תקופות מילואים'!$H:$H,'2️⃣ תקופות מילואים'!$B:$B,A7,'2️⃣ תקופות מילואים'!$F:$F,C7)</f>
        <v>3</v>
      </c>
      <c r="G7" s="9">
        <f>SUMIFS('2️⃣ תקופות מילואים'!$I:$I,'2️⃣ תקופות מילואים'!$B:$B,A7,'2️⃣ תקופות מילואים'!$F:$F,C7)+SUMIFS('2️⃣ תקופות מילואים'!$J:$J,'2️⃣ תקופות מילואים'!$B:$B,A7,'2️⃣ תקופות מילואים'!$F:$F,C7)+SUMIFS('2️⃣ תקופות מילואים'!$K:$K,'2️⃣ תקופות מילואים'!$B:$B,A7,'2️⃣ תקופות מילואים'!$F:$F,C7)</f>
        <v>0</v>
      </c>
      <c r="H7" s="9">
        <f>SUMIFS('2️⃣ תקופות מילואים'!$P:$P,'2️⃣ תקופות מילואים'!$B:$B,A7,'2️⃣ תקופות מילואים'!$F:$F,C7)</f>
        <v>567.60498384863865</v>
      </c>
      <c r="I7" s="9">
        <f>SUMIFS('3️⃣ תשלומי ב"ל'!$I:$I,'3️⃣ תשלומי ב"ל'!$B:$B,A7)</f>
        <v>0</v>
      </c>
      <c r="J7" s="9"/>
      <c r="K7" s="11" t="s">
        <v>265</v>
      </c>
      <c r="L7" s="9" t="s">
        <v>276</v>
      </c>
    </row>
    <row r="8" spans="1:12" ht="15" hidden="1" x14ac:dyDescent="0.2">
      <c r="A8" s="9" t="s">
        <v>78</v>
      </c>
      <c r="B8" s="9" t="s">
        <v>70</v>
      </c>
      <c r="C8" s="9" t="s">
        <v>267</v>
      </c>
      <c r="D8" s="10">
        <f>COUNTIFS('2️⃣ תקופות מילואים'!$B:$B,A8,'2️⃣ תקופות מילואים'!$F:$F,C8)</f>
        <v>1</v>
      </c>
      <c r="E8" s="10">
        <f>SUMIFS('2️⃣ תקופות מילואים'!$G:$G,'2️⃣ תקופות מילואים'!$B:$B,A8,'2️⃣ תקופות מילואים'!$F:$F,C8)</f>
        <v>4</v>
      </c>
      <c r="F8" s="10">
        <f>SUMIFS('2️⃣ תקופות מילואים'!$H:$H,'2️⃣ תקופות מילואים'!$B:$B,A8,'2️⃣ תקופות מילואים'!$F:$F,C8)</f>
        <v>2</v>
      </c>
      <c r="G8" s="9">
        <f>SUMIFS('2️⃣ תקופות מילואים'!$I:$I,'2️⃣ תקופות מילואים'!$B:$B,A8,'2️⃣ תקופות מילואים'!$F:$F,C8)+SUMIFS('2️⃣ תקופות מילואים'!$J:$J,'2️⃣ תקופות מילואים'!$B:$B,A8,'2️⃣ תקופות מילואים'!$F:$F,C8)+SUMIFS('2️⃣ תקופות מילואים'!$K:$K,'2️⃣ תקופות מילואים'!$B:$B,A8,'2️⃣ תקופות מילואים'!$F:$F,C8)</f>
        <v>2</v>
      </c>
      <c r="H8" s="9">
        <f>SUMIFS('2️⃣ תקופות מילואים'!$P:$P,'2️⃣ תקופות מילואים'!$B:$B,A8,'2️⃣ תקופות מילואים'!$F:$F,C8)</f>
        <v>2270.4199353945546</v>
      </c>
      <c r="I8" s="9">
        <f>SUMIFS('3️⃣ תשלומי ב"ל'!$I:$I,'3️⃣ תשלומי ב"ל'!$B:$B,A8)</f>
        <v>0</v>
      </c>
      <c r="J8" s="9"/>
      <c r="K8" s="11" t="s">
        <v>265</v>
      </c>
      <c r="L8" s="9" t="s">
        <v>277</v>
      </c>
    </row>
    <row r="9" spans="1:12" ht="15" x14ac:dyDescent="0.2">
      <c r="A9" s="9" t="s">
        <v>82</v>
      </c>
      <c r="B9" s="9" t="s">
        <v>75</v>
      </c>
      <c r="C9" s="9" t="s">
        <v>269</v>
      </c>
      <c r="D9" s="10">
        <f>COUNTIFS('2️⃣ תקופות מילואים'!$B:$B,A9,'2️⃣ תקופות מילואים'!$F:$F,C9)</f>
        <v>1</v>
      </c>
      <c r="E9" s="10">
        <f>SUMIFS('2️⃣ תקופות מילואים'!$G:$G,'2️⃣ תקופות מילואים'!$B:$B,A9,'2️⃣ תקופות מילואים'!$F:$F,C9)</f>
        <v>4</v>
      </c>
      <c r="F9" s="10">
        <f>SUMIFS('2️⃣ תקופות מילואים'!$H:$H,'2️⃣ תקופות מילואים'!$B:$B,A9,'2️⃣ תקופות מילואים'!$F:$F,C9)</f>
        <v>3</v>
      </c>
      <c r="G9" s="9">
        <f>SUMIFS('2️⃣ תקופות מילואים'!$I:$I,'2️⃣ תקופות מילואים'!$B:$B,A9,'2️⃣ תקופות מילואים'!$F:$F,C9)+SUMIFS('2️⃣ תקופות מילואים'!$J:$J,'2️⃣ תקופות מילואים'!$B:$B,A9,'2️⃣ תקופות מילואים'!$F:$F,C9)+SUMIFS('2️⃣ תקופות מילואים'!$K:$K,'2️⃣ תקופות מילואים'!$B:$B,A9,'2️⃣ תקופות מילואים'!$F:$F,C9)</f>
        <v>1</v>
      </c>
      <c r="H9" s="9">
        <f>SUMIFS('2️⃣ תקופות מילואים'!$P:$P,'2️⃣ תקופות מילואים'!$B:$B,A9,'2️⃣ תקופות מילואים'!$F:$F,C9)</f>
        <v>1390.16151361329</v>
      </c>
      <c r="I9" s="9">
        <f>SUMIFS('3️⃣ תשלומי ב"ל'!$I:$I,'3️⃣ תשלומי ב"ל'!$B:$B,A9)</f>
        <v>0</v>
      </c>
      <c r="J9" s="9"/>
      <c r="K9" s="12" t="s">
        <v>278</v>
      </c>
      <c r="L9" s="9" t="s">
        <v>279</v>
      </c>
    </row>
    <row r="10" spans="1:12" ht="15" hidden="1" x14ac:dyDescent="0.2">
      <c r="A10" s="9" t="s">
        <v>82</v>
      </c>
      <c r="B10" s="9" t="s">
        <v>75</v>
      </c>
      <c r="C10" s="9" t="s">
        <v>264</v>
      </c>
      <c r="D10" s="10">
        <f>COUNTIFS('2️⃣ תקופות מילואים'!$B:$B,A10,'2️⃣ תקופות מילואים'!$F:$F,C10)</f>
        <v>1</v>
      </c>
      <c r="E10" s="10">
        <f>SUMIFS('2️⃣ תקופות מילואים'!$G:$G,'2️⃣ תקופות מילואים'!$B:$B,A10,'2️⃣ תקופות מילואים'!$F:$F,C10)</f>
        <v>4</v>
      </c>
      <c r="F10" s="10">
        <f>SUMIFS('2️⃣ תקופות מילואים'!$H:$H,'2️⃣ תקופות מילואים'!$B:$B,A10,'2️⃣ תקופות מילואים'!$F:$F,C10)</f>
        <v>3</v>
      </c>
      <c r="G10" s="9">
        <f>SUMIFS('2️⃣ תקופות מילואים'!$I:$I,'2️⃣ תקופות מילואים'!$B:$B,A10,'2️⃣ תקופות מילואים'!$F:$F,C10)+SUMIFS('2️⃣ תקופות מילואים'!$J:$J,'2️⃣ תקופות מילואים'!$B:$B,A10,'2️⃣ תקופות מילואים'!$F:$F,C10)+SUMIFS('2️⃣ תקופות מילואים'!$K:$K,'2️⃣ תקופות מילואים'!$B:$B,A10,'2️⃣ תקופות מילואים'!$F:$F,C10)</f>
        <v>1</v>
      </c>
      <c r="H10" s="9">
        <f>SUMIFS('2️⃣ תקופות מילואים'!$P:$P,'2️⃣ תקופות מילואים'!$B:$B,A10,'2️⃣ תקופות מילואים'!$F:$F,C10)</f>
        <v>1390.16151361329</v>
      </c>
      <c r="I10" s="9">
        <f>SUMIFS('3️⃣ תשלומי ב"ל'!$I:$I,'3️⃣ תשלומי ב"ל'!$B:$B,A10)</f>
        <v>0</v>
      </c>
      <c r="J10" s="9"/>
      <c r="K10" s="11" t="s">
        <v>265</v>
      </c>
      <c r="L10" s="9" t="s">
        <v>280</v>
      </c>
    </row>
    <row r="11" spans="1:12" ht="15" hidden="1" x14ac:dyDescent="0.2">
      <c r="A11" s="9" t="s">
        <v>82</v>
      </c>
      <c r="B11" s="9" t="s">
        <v>75</v>
      </c>
      <c r="C11" s="9" t="s">
        <v>281</v>
      </c>
      <c r="D11" s="10">
        <f>COUNTIFS('2️⃣ תקופות מילואים'!$B:$B,A11,'2️⃣ תקופות מילואים'!$F:$F,C11)</f>
        <v>2</v>
      </c>
      <c r="E11" s="10">
        <f>SUMIFS('2️⃣ תקופות מילואים'!$G:$G,'2️⃣ תקופות מילואים'!$B:$B,A11,'2️⃣ תקופות מילואים'!$F:$F,C11)</f>
        <v>2</v>
      </c>
      <c r="F11" s="10">
        <f>SUMIFS('2️⃣ תקופות מילואים'!$H:$H,'2️⃣ תקופות מילואים'!$B:$B,A11,'2️⃣ תקופות מילואים'!$F:$F,C11)</f>
        <v>1</v>
      </c>
      <c r="G11" s="9">
        <f>SUMIFS('2️⃣ תקופות מילואים'!$I:$I,'2️⃣ תקופות מילואים'!$B:$B,A11,'2️⃣ תקופות מילואים'!$F:$F,C11)+SUMIFS('2️⃣ תקופות מילואים'!$J:$J,'2️⃣ תקופות מילואים'!$B:$B,A11,'2️⃣ תקופות מילואים'!$F:$F,C11)+SUMIFS('2️⃣ תקופות מילואים'!$K:$K,'2️⃣ תקופות מילואים'!$B:$B,A11,'2️⃣ תקופות מילואים'!$F:$F,C11)</f>
        <v>1</v>
      </c>
      <c r="H11" s="9">
        <f>SUMIFS('2️⃣ תקופות מילואים'!$P:$P,'2️⃣ תקופות מילואים'!$B:$B,A11,'2️⃣ תקופות מילואים'!$F:$F,C11)</f>
        <v>1042.6211352099676</v>
      </c>
      <c r="I11" s="9">
        <f>SUMIFS('3️⃣ תשלומי ב"ל'!$I:$I,'3️⃣ תשלומי ב"ל'!$B:$B,A11)</f>
        <v>0</v>
      </c>
      <c r="J11" s="9"/>
      <c r="K11" s="11" t="s">
        <v>265</v>
      </c>
      <c r="L11" s="9" t="s">
        <v>282</v>
      </c>
    </row>
    <row r="12" spans="1:12" ht="15" hidden="1" x14ac:dyDescent="0.2">
      <c r="A12" s="9" t="s">
        <v>82</v>
      </c>
      <c r="B12" s="9" t="s">
        <v>75</v>
      </c>
      <c r="C12" s="9" t="s">
        <v>271</v>
      </c>
      <c r="D12" s="10">
        <f>COUNTIFS('2️⃣ תקופות מילואים'!$B:$B,A12,'2️⃣ תקופות מילואים'!$F:$F,C12)</f>
        <v>1</v>
      </c>
      <c r="E12" s="10">
        <f>SUMIFS('2️⃣ תקופות מילואים'!$G:$G,'2️⃣ תקופות מילואים'!$B:$B,A12,'2️⃣ תקופות מילואים'!$F:$F,C12)</f>
        <v>21</v>
      </c>
      <c r="F12" s="10">
        <f>SUMIFS('2️⃣ תקופות מילואים'!$H:$H,'2️⃣ תקופות מילואים'!$B:$B,A12,'2️⃣ תקופות מילואים'!$F:$F,C12)</f>
        <v>15</v>
      </c>
      <c r="G12" s="9">
        <f>SUMIFS('2️⃣ תקופות מילואים'!$I:$I,'2️⃣ תקופות מילואים'!$B:$B,A12,'2️⃣ תקופות מילואים'!$F:$F,C12)+SUMIFS('2️⃣ תקופות מילואים'!$J:$J,'2️⃣ תקופות מילואים'!$B:$B,A12,'2️⃣ תקופות מילואים'!$F:$F,C12)+SUMIFS('2️⃣ תקופות מילואים'!$K:$K,'2️⃣ תקופות מילואים'!$B:$B,A12,'2️⃣ תקופות מילואים'!$F:$F,C12)</f>
        <v>6</v>
      </c>
      <c r="H12" s="9">
        <f>SUMIFS('2️⃣ תקופות מילואים'!$P:$P,'2️⃣ תקופות מילואים'!$B:$B,A12,'2️⃣ תקופות מילואים'!$F:$F,C12)</f>
        <v>7819.6585140747575</v>
      </c>
      <c r="I12" s="9">
        <f>SUMIFS('3️⃣ תשלומי ב"ל'!$I:$I,'3️⃣ תשלומי ב"ל'!$B:$B,A12)</f>
        <v>0</v>
      </c>
      <c r="J12" s="9"/>
      <c r="K12" s="11" t="s">
        <v>265</v>
      </c>
      <c r="L12" s="9" t="s">
        <v>283</v>
      </c>
    </row>
    <row r="13" spans="1:12" ht="15" hidden="1" x14ac:dyDescent="0.2">
      <c r="A13" s="9" t="s">
        <v>82</v>
      </c>
      <c r="B13" s="9" t="s">
        <v>75</v>
      </c>
      <c r="C13" s="9" t="s">
        <v>284</v>
      </c>
      <c r="D13" s="10">
        <f>COUNTIFS('2️⃣ תקופות מילואים'!$B:$B,A13,'2️⃣ תקופות מילואים'!$F:$F,C13)</f>
        <v>1</v>
      </c>
      <c r="E13" s="10">
        <f>SUMIFS('2️⃣ תקופות מילואים'!$G:$G,'2️⃣ תקופות מילואים'!$B:$B,A13,'2️⃣ תקופות מילואים'!$F:$F,C13)</f>
        <v>5</v>
      </c>
      <c r="F13" s="10">
        <f>SUMIFS('2️⃣ תקופות מילואים'!$H:$H,'2️⃣ תקופות מילואים'!$B:$B,A13,'2️⃣ תקופות מילואים'!$F:$F,C13)</f>
        <v>4</v>
      </c>
      <c r="G13" s="9">
        <f>SUMIFS('2️⃣ תקופות מילואים'!$I:$I,'2️⃣ תקופות מילואים'!$B:$B,A13,'2️⃣ תקופות מילואים'!$F:$F,C13)+SUMIFS('2️⃣ תקופות מילואים'!$J:$J,'2️⃣ תקופות מילואים'!$B:$B,A13,'2️⃣ תקופות מילואים'!$F:$F,C13)+SUMIFS('2️⃣ תקופות מילואים'!$K:$K,'2️⃣ תקופות מילואים'!$B:$B,A13,'2️⃣ תקופות מילואים'!$F:$F,C13)</f>
        <v>1</v>
      </c>
      <c r="H13" s="9">
        <f>SUMIFS('2️⃣ תקופות מילואים'!$P:$P,'2️⃣ תקופות מילואים'!$B:$B,A13,'2️⃣ תקופות מילואים'!$F:$F,C13)</f>
        <v>1563.9317028149514</v>
      </c>
      <c r="I13" s="9">
        <f>SUMIFS('3️⃣ תשלומי ב"ל'!$I:$I,'3️⃣ תשלומי ב"ל'!$B:$B,A13)</f>
        <v>0</v>
      </c>
      <c r="J13" s="9"/>
      <c r="K13" s="11" t="s">
        <v>265</v>
      </c>
      <c r="L13" s="9" t="s">
        <v>285</v>
      </c>
    </row>
    <row r="14" spans="1:12" ht="15" x14ac:dyDescent="0.2">
      <c r="A14" s="9" t="s">
        <v>85</v>
      </c>
      <c r="B14" s="9" t="s">
        <v>75</v>
      </c>
      <c r="C14" s="9" t="s">
        <v>269</v>
      </c>
      <c r="D14" s="10">
        <f>COUNTIFS('2️⃣ תקופות מילואים'!$B:$B,A14,'2️⃣ תקופות מילואים'!$F:$F,C14)</f>
        <v>1</v>
      </c>
      <c r="E14" s="10">
        <f>SUMIFS('2️⃣ תקופות מילואים'!$G:$G,'2️⃣ תקופות מילואים'!$B:$B,A14,'2️⃣ תקופות מילואים'!$F:$F,C14)</f>
        <v>5</v>
      </c>
      <c r="F14" s="10">
        <f>SUMIFS('2️⃣ תקופות מילואים'!$H:$H,'2️⃣ תקופות מילואים'!$B:$B,A14,'2️⃣ תקופות מילואים'!$F:$F,C14)</f>
        <v>4</v>
      </c>
      <c r="G14" s="9">
        <f>SUMIFS('2️⃣ תקופות מילואים'!$I:$I,'2️⃣ תקופות מילואים'!$B:$B,A14,'2️⃣ תקופות מילואים'!$F:$F,C14)+SUMIFS('2️⃣ תקופות מילואים'!$J:$J,'2️⃣ תקופות מילואים'!$B:$B,A14,'2️⃣ תקופות מילואים'!$F:$F,C14)+SUMIFS('2️⃣ תקופות מילואים'!$K:$K,'2️⃣ תקופות מילואים'!$B:$B,A14,'2️⃣ תקופות מילואים'!$F:$F,C14)</f>
        <v>1</v>
      </c>
      <c r="H14" s="9">
        <f>SUMIFS('2️⃣ תקופות מילואים'!$P:$P,'2️⃣ תקופות מילואים'!$B:$B,A14,'2️⃣ תקופות מילואים'!$F:$F,C14)</f>
        <v>1207.0881402861096</v>
      </c>
      <c r="I14" s="9">
        <f>SUMIFS('3️⃣ תשלומי ב"ל'!$I:$I,'3️⃣ תשלומי ב"ל'!$B:$B,A14)</f>
        <v>0</v>
      </c>
      <c r="J14" s="9"/>
      <c r="K14" s="12" t="s">
        <v>278</v>
      </c>
      <c r="L14" s="9" t="s">
        <v>286</v>
      </c>
    </row>
    <row r="15" spans="1:12" ht="15" hidden="1" x14ac:dyDescent="0.2">
      <c r="A15" s="9" t="s">
        <v>85</v>
      </c>
      <c r="B15" s="9" t="s">
        <v>75</v>
      </c>
      <c r="C15" s="9" t="s">
        <v>281</v>
      </c>
      <c r="D15" s="10">
        <f>COUNTIFS('2️⃣ תקופות מילואים'!$B:$B,A15,'2️⃣ תקופות מילואים'!$F:$F,C15)</f>
        <v>1</v>
      </c>
      <c r="E15" s="10">
        <f>SUMIFS('2️⃣ תקופות מילואים'!$G:$G,'2️⃣ תקופות מילואים'!$B:$B,A15,'2️⃣ תקופות מילואים'!$F:$F,C15)</f>
        <v>38</v>
      </c>
      <c r="F15" s="10">
        <f>SUMIFS('2️⃣ תקופות מילואים'!$H:$H,'2️⃣ תקופות מילואים'!$B:$B,A15,'2️⃣ תקופות מילואים'!$F:$F,C15)</f>
        <v>28</v>
      </c>
      <c r="G15" s="9">
        <f>SUMIFS('2️⃣ תקופות מילואים'!$I:$I,'2️⃣ תקופות מילואים'!$B:$B,A15,'2️⃣ תקופות מילואים'!$F:$F,C15)+SUMIFS('2️⃣ תקופות מילואים'!$J:$J,'2️⃣ תקופות מילואים'!$B:$B,A15,'2️⃣ תקופות מילואים'!$F:$F,C15)+SUMIFS('2️⃣ תקופות מילואים'!$K:$K,'2️⃣ תקופות מילואים'!$B:$B,A15,'2️⃣ תקופות מילואים'!$F:$F,C15)</f>
        <v>10</v>
      </c>
      <c r="H15" s="9">
        <f>SUMIFS('2️⃣ תקופות מילואים'!$P:$P,'2️⃣ תקופות מילואים'!$B:$B,A15,'2️⃣ תקופות מילואים'!$F:$F,C15)</f>
        <v>10461.430549146284</v>
      </c>
      <c r="I15" s="9">
        <f>SUMIFS('3️⃣ תשלומי ב"ל'!$I:$I,'3️⃣ תשלומי ב"ל'!$B:$B,A15)</f>
        <v>0</v>
      </c>
      <c r="J15" s="9"/>
      <c r="K15" s="11" t="s">
        <v>265</v>
      </c>
      <c r="L15" s="9" t="s">
        <v>287</v>
      </c>
    </row>
    <row r="16" spans="1:12" ht="15" hidden="1" x14ac:dyDescent="0.2">
      <c r="A16" s="9" t="s">
        <v>85</v>
      </c>
      <c r="B16" s="9" t="s">
        <v>75</v>
      </c>
      <c r="C16" s="9" t="s">
        <v>273</v>
      </c>
      <c r="D16" s="10">
        <f>COUNTIFS('2️⃣ תקופות מילואים'!$B:$B,A16,'2️⃣ תקופות מילואים'!$F:$F,C16)</f>
        <v>1</v>
      </c>
      <c r="E16" s="10">
        <f>SUMIFS('2️⃣ תקופות מילואים'!$G:$G,'2️⃣ תקופות מילואים'!$B:$B,A16,'2️⃣ תקופות מילואים'!$F:$F,C16)</f>
        <v>28</v>
      </c>
      <c r="F16" s="10">
        <f>SUMIFS('2️⃣ תקופות מילואים'!$H:$H,'2️⃣ תקופות מילואים'!$B:$B,A16,'2️⃣ תקופות מילואים'!$F:$F,C16)</f>
        <v>20</v>
      </c>
      <c r="G16" s="9">
        <f>SUMIFS('2️⃣ תקופות מילואים'!$I:$I,'2️⃣ תקופות מילואים'!$B:$B,A16,'2️⃣ תקופות מילואים'!$F:$F,C16)+SUMIFS('2️⃣ תקופות מילואים'!$J:$J,'2️⃣ תקופות מילואים'!$B:$B,A16,'2️⃣ תקופות מילואים'!$F:$F,C16)+SUMIFS('2️⃣ תקופות מילואים'!$K:$K,'2️⃣ תקופות מילואים'!$B:$B,A16,'2️⃣ תקופות מילואים'!$F:$F,C16)</f>
        <v>8</v>
      </c>
      <c r="H16" s="9">
        <f>SUMIFS('2️⃣ תקופות מילואים'!$P:$P,'2️⃣ תקופות מילואים'!$B:$B,A16,'2️⃣ תקופות מילואים'!$F:$F,C16)</f>
        <v>8047.2542685740646</v>
      </c>
      <c r="I16" s="9">
        <f>SUMIFS('3️⃣ תשלומי ב"ל'!$I:$I,'3️⃣ תשלומי ב"ל'!$B:$B,A16)</f>
        <v>0</v>
      </c>
      <c r="J16" s="9"/>
      <c r="K16" s="11" t="s">
        <v>265</v>
      </c>
      <c r="L16" s="9" t="s">
        <v>288</v>
      </c>
    </row>
    <row r="17" spans="1:12" ht="15" hidden="1" x14ac:dyDescent="0.2">
      <c r="A17" s="9" t="s">
        <v>85</v>
      </c>
      <c r="B17" s="9" t="s">
        <v>75</v>
      </c>
      <c r="C17" s="9" t="s">
        <v>275</v>
      </c>
      <c r="D17" s="10">
        <f>COUNTIFS('2️⃣ תקופות מילואים'!$B:$B,A17,'2️⃣ תקופות מילואים'!$F:$F,C17)</f>
        <v>2</v>
      </c>
      <c r="E17" s="10">
        <f>SUMIFS('2️⃣ תקופות מילואים'!$G:$G,'2️⃣ תקופות מילואים'!$B:$B,A17,'2️⃣ תקופות מילואים'!$F:$F,C17)</f>
        <v>3</v>
      </c>
      <c r="F17" s="10">
        <f>SUMIFS('2️⃣ תקופות מילואים'!$H:$H,'2️⃣ תקופות מילואים'!$B:$B,A17,'2️⃣ תקופות מילואים'!$F:$F,C17)</f>
        <v>2</v>
      </c>
      <c r="G17" s="9">
        <f>SUMIFS('2️⃣ תקופות מילואים'!$I:$I,'2️⃣ תקופות מילואים'!$B:$B,A17,'2️⃣ תקופות מילואים'!$F:$F,C17)+SUMIFS('2️⃣ תקופות מילואים'!$J:$J,'2️⃣ תקופות מילואים'!$B:$B,A17,'2️⃣ תקופות מילואים'!$F:$F,C17)+SUMIFS('2️⃣ תקופות מילואים'!$K:$K,'2️⃣ תקופות מילואים'!$B:$B,A17,'2️⃣ תקופות מילואים'!$F:$F,C17)</f>
        <v>1</v>
      </c>
      <c r="H17" s="9">
        <f>SUMIFS('2️⃣ תקופות מילואים'!$P:$P,'2️⃣ תקופות מילואים'!$B:$B,A17,'2️⃣ תקופות מילואים'!$F:$F,C17)</f>
        <v>938.84633133364082</v>
      </c>
      <c r="I17" s="9">
        <f>SUMIFS('3️⃣ תשלומי ב"ל'!$I:$I,'3️⃣ תשלומי ב"ל'!$B:$B,A17)</f>
        <v>0</v>
      </c>
      <c r="J17" s="9"/>
      <c r="K17" s="11" t="s">
        <v>265</v>
      </c>
      <c r="L17" s="9" t="s">
        <v>289</v>
      </c>
    </row>
    <row r="18" spans="1:12" ht="15" hidden="1" x14ac:dyDescent="0.2">
      <c r="A18" s="9" t="s">
        <v>85</v>
      </c>
      <c r="B18" s="9" t="s">
        <v>75</v>
      </c>
      <c r="C18" s="9" t="s">
        <v>284</v>
      </c>
      <c r="D18" s="10">
        <f>COUNTIFS('2️⃣ תקופות מילואים'!$B:$B,A18,'2️⃣ תקופות מילואים'!$F:$F,C18)</f>
        <v>1</v>
      </c>
      <c r="E18" s="10">
        <f>SUMIFS('2️⃣ תקופות מילואים'!$G:$G,'2️⃣ תקופות מילואים'!$B:$B,A18,'2️⃣ תקופות מילואים'!$F:$F,C18)</f>
        <v>2</v>
      </c>
      <c r="F18" s="10">
        <f>SUMIFS('2️⃣ תקופות מילואים'!$H:$H,'2️⃣ תקופות מילואים'!$B:$B,A18,'2️⃣ תקופות מילואים'!$F:$F,C18)</f>
        <v>2</v>
      </c>
      <c r="G18" s="9">
        <f>SUMIFS('2️⃣ תקופות מילואים'!$I:$I,'2️⃣ תקופות מילואים'!$B:$B,A18,'2️⃣ תקופות מילואים'!$F:$F,C18)+SUMIFS('2️⃣ תקופות מילואים'!$J:$J,'2️⃣ תקופות מילואים'!$B:$B,A18,'2️⃣ תקופות מילואים'!$F:$F,C18)+SUMIFS('2️⃣ תקופות מילואים'!$K:$K,'2️⃣ תקופות מילואים'!$B:$B,A18,'2️⃣ תקופות מילואים'!$F:$F,C18)</f>
        <v>0</v>
      </c>
      <c r="H18" s="9">
        <f>SUMIFS('2️⃣ תקופות מילואים'!$P:$P,'2️⃣ תקופות מילואים'!$B:$B,A18,'2️⃣ תקופות מילואים'!$F:$F,C18)</f>
        <v>268.24180895246883</v>
      </c>
      <c r="I18" s="9">
        <f>SUMIFS('3️⃣ תשלומי ב"ל'!$I:$I,'3️⃣ תשלומי ב"ל'!$B:$B,A18)</f>
        <v>0</v>
      </c>
      <c r="J18" s="9"/>
      <c r="K18" s="11" t="s">
        <v>265</v>
      </c>
      <c r="L18" s="9" t="s">
        <v>290</v>
      </c>
    </row>
    <row r="19" spans="1:12" ht="15" hidden="1" x14ac:dyDescent="0.2">
      <c r="A19" s="9" t="s">
        <v>85</v>
      </c>
      <c r="B19" s="9" t="s">
        <v>75</v>
      </c>
      <c r="C19" s="9" t="s">
        <v>267</v>
      </c>
      <c r="D19" s="10">
        <f>COUNTIFS('2️⃣ תקופות מילואים'!$B:$B,A19,'2️⃣ תקופות מילואים'!$F:$F,C19)</f>
        <v>2</v>
      </c>
      <c r="E19" s="10">
        <f>SUMIFS('2️⃣ תקופות מילואים'!$G:$G,'2️⃣ תקופות מילואים'!$B:$B,A19,'2️⃣ תקופות מילואים'!$F:$F,C19)</f>
        <v>4</v>
      </c>
      <c r="F19" s="10">
        <f>SUMIFS('2️⃣ תקופות מילואים'!$H:$H,'2️⃣ תקופות מילואים'!$B:$B,A19,'2️⃣ תקופות מילואים'!$F:$F,C19)</f>
        <v>4</v>
      </c>
      <c r="G19" s="9">
        <f>SUMIFS('2️⃣ תקופות מילואים'!$I:$I,'2️⃣ תקופות מילואים'!$B:$B,A19,'2️⃣ תקופות מילואים'!$F:$F,C19)+SUMIFS('2️⃣ תקופות מילואים'!$J:$J,'2️⃣ תקופות מילואים'!$B:$B,A19,'2️⃣ תקופות מילואים'!$F:$F,C19)+SUMIFS('2️⃣ תקופות מילואים'!$K:$K,'2️⃣ תקופות מילואים'!$B:$B,A19,'2️⃣ תקופות מילואים'!$F:$F,C19)</f>
        <v>0</v>
      </c>
      <c r="H19" s="9">
        <f>SUMIFS('2️⃣ תקופות מילואים'!$P:$P,'2️⃣ תקופות מילואים'!$B:$B,A19,'2️⃣ תקופות מילואים'!$F:$F,C19)</f>
        <v>536.48361790493766</v>
      </c>
      <c r="I19" s="9">
        <f>SUMIFS('3️⃣ תשלומי ב"ל'!$I:$I,'3️⃣ תשלומי ב"ל'!$B:$B,A19)</f>
        <v>0</v>
      </c>
      <c r="J19" s="9"/>
      <c r="K19" s="11" t="s">
        <v>265</v>
      </c>
      <c r="L19" s="9" t="s">
        <v>291</v>
      </c>
    </row>
    <row r="20" spans="1:12" ht="15" hidden="1" x14ac:dyDescent="0.2">
      <c r="A20" s="9" t="s">
        <v>88</v>
      </c>
      <c r="B20" s="9" t="s">
        <v>75</v>
      </c>
      <c r="C20" s="9" t="s">
        <v>273</v>
      </c>
      <c r="D20" s="10">
        <f>COUNTIFS('2️⃣ תקופות מילואים'!$B:$B,A20,'2️⃣ תקופות מילואים'!$F:$F,C20)</f>
        <v>1</v>
      </c>
      <c r="E20" s="10">
        <f>SUMIFS('2️⃣ תקופות מילואים'!$G:$G,'2️⃣ תקופות מילואים'!$B:$B,A20,'2️⃣ תקופות מילואים'!$F:$F,C20)</f>
        <v>1</v>
      </c>
      <c r="F20" s="10">
        <f>SUMIFS('2️⃣ תקופות מילואים'!$H:$H,'2️⃣ תקופות מילואים'!$B:$B,A20,'2️⃣ תקופות מילואים'!$F:$F,C20)</f>
        <v>1</v>
      </c>
      <c r="G20" s="9">
        <f>SUMIFS('2️⃣ תקופות מילואים'!$I:$I,'2️⃣ תקופות מילואים'!$B:$B,A20,'2️⃣ תקופות מילואים'!$F:$F,C20)+SUMIFS('2️⃣ תקופות מילואים'!$J:$J,'2️⃣ תקופות מילואים'!$B:$B,A20,'2️⃣ תקופות מילואים'!$F:$F,C20)+SUMIFS('2️⃣ תקופות מילואים'!$K:$K,'2️⃣ תקופות מילואים'!$B:$B,A20,'2️⃣ תקופות מילואים'!$F:$F,C20)</f>
        <v>0</v>
      </c>
      <c r="H20" s="9">
        <f>SUMIFS('2️⃣ תקופות מילואים'!$P:$P,'2️⃣ תקופות מילואים'!$B:$B,A20,'2️⃣ תקופות מילואים'!$F:$F,C20)</f>
        <v>190.00092293493307</v>
      </c>
      <c r="I20" s="9">
        <f>SUMIFS('3️⃣ תשלומי ב"ל'!$I:$I,'3️⃣ תשלומי ב"ל'!$B:$B,A20)</f>
        <v>0</v>
      </c>
      <c r="J20" s="9"/>
      <c r="K20" s="11" t="s">
        <v>265</v>
      </c>
      <c r="L20" s="9" t="s">
        <v>292</v>
      </c>
    </row>
    <row r="21" spans="1:12" ht="15" hidden="1" x14ac:dyDescent="0.2">
      <c r="A21" s="9" t="s">
        <v>91</v>
      </c>
      <c r="B21" s="9" t="s">
        <v>92</v>
      </c>
      <c r="C21" s="9" t="s">
        <v>293</v>
      </c>
      <c r="D21" s="10">
        <f>COUNTIFS('2️⃣ תקופות מילואים'!$B:$B,A21,'2️⃣ תקופות מילואים'!$F:$F,C21)</f>
        <v>2</v>
      </c>
      <c r="E21" s="10">
        <f>SUMIFS('2️⃣ תקופות מילואים'!$G:$G,'2️⃣ תקופות מילואים'!$B:$B,A21,'2️⃣ תקופות מילואים'!$F:$F,C21)</f>
        <v>2</v>
      </c>
      <c r="F21" s="10">
        <f>SUMIFS('2️⃣ תקופות מילואים'!$H:$H,'2️⃣ תקופות מילואים'!$B:$B,A21,'2️⃣ תקופות מילואים'!$F:$F,C21)</f>
        <v>1</v>
      </c>
      <c r="G21" s="9">
        <f>SUMIFS('2️⃣ תקופות מילואים'!$I:$I,'2️⃣ תקופות מילואים'!$B:$B,A21,'2️⃣ תקופות מילואים'!$F:$F,C21)+SUMIFS('2️⃣ תקופות מילואים'!$J:$J,'2️⃣ תקופות מילואים'!$B:$B,A21,'2️⃣ תקופות מילואים'!$F:$F,C21)+SUMIFS('2️⃣ תקופות מילואים'!$K:$K,'2️⃣ תקופות מילואים'!$B:$B,A21,'2️⃣ תקופות מילואים'!$F:$F,C21)</f>
        <v>1</v>
      </c>
      <c r="H21" s="9">
        <f>SUMIFS('2️⃣ תקופות מילואים'!$P:$P,'2️⃣ תקופות מילואים'!$B:$B,A21,'2️⃣ תקופות מילואים'!$F:$F,C21)</f>
        <v>1538.9570835256116</v>
      </c>
      <c r="I21" s="9">
        <f>SUMIFS('3️⃣ תשלומי ב"ל'!$I:$I,'3️⃣ תשלומי ב"ל'!$B:$B,A21)</f>
        <v>0</v>
      </c>
      <c r="J21" s="9"/>
      <c r="K21" s="11" t="s">
        <v>265</v>
      </c>
      <c r="L21" s="9" t="s">
        <v>294</v>
      </c>
    </row>
    <row r="22" spans="1:12" ht="15" hidden="1" x14ac:dyDescent="0.2">
      <c r="A22" s="9" t="s">
        <v>91</v>
      </c>
      <c r="B22" s="9" t="s">
        <v>92</v>
      </c>
      <c r="C22" s="9" t="s">
        <v>273</v>
      </c>
      <c r="D22" s="10">
        <f>COUNTIFS('2️⃣ תקופות מילואים'!$B:$B,A22,'2️⃣ תקופות מילואים'!$F:$F,C22)</f>
        <v>1</v>
      </c>
      <c r="E22" s="10">
        <f>SUMIFS('2️⃣ תקופות מילואים'!$G:$G,'2️⃣ תקופות מילואים'!$B:$B,A22,'2️⃣ תקופות מילואים'!$F:$F,C22)</f>
        <v>18</v>
      </c>
      <c r="F22" s="10">
        <f>SUMIFS('2️⃣ תקופות מילואים'!$H:$H,'2️⃣ תקופות מילואים'!$B:$B,A22,'2️⃣ תקופות מילואים'!$F:$F,C22)</f>
        <v>12</v>
      </c>
      <c r="G22" s="9">
        <f>SUMIFS('2️⃣ תקופות מילואים'!$I:$I,'2️⃣ תקופות מילואים'!$B:$B,A22,'2️⃣ תקופות מילואים'!$F:$F,C22)+SUMIFS('2️⃣ תקופות מילואים'!$J:$J,'2️⃣ תקופות מילואים'!$B:$B,A22,'2️⃣ תקופות מילואים'!$F:$F,C22)+SUMIFS('2️⃣ תקופות מילואים'!$K:$K,'2️⃣ תקופות מילואים'!$B:$B,A22,'2️⃣ תקופות מילואים'!$F:$F,C22)</f>
        <v>6</v>
      </c>
      <c r="H22" s="9">
        <f>SUMIFS('2️⃣ תקופות מילואים'!$P:$P,'2️⃣ תקופות מילואים'!$B:$B,A22,'2️⃣ תקופות מילואים'!$F:$F,C22)</f>
        <v>10772.699584679282</v>
      </c>
      <c r="I22" s="9">
        <f>SUMIFS('3️⃣ תשלומי ב"ל'!$I:$I,'3️⃣ תשלומי ב"ל'!$B:$B,A22)</f>
        <v>0</v>
      </c>
      <c r="J22" s="9"/>
      <c r="K22" s="11" t="s">
        <v>265</v>
      </c>
      <c r="L22" s="9" t="s">
        <v>295</v>
      </c>
    </row>
    <row r="23" spans="1:12" ht="15" x14ac:dyDescent="0.2">
      <c r="A23" s="9" t="s">
        <v>96</v>
      </c>
      <c r="B23" s="9" t="s">
        <v>92</v>
      </c>
      <c r="C23" s="9" t="s">
        <v>269</v>
      </c>
      <c r="D23" s="10">
        <f>COUNTIFS('2️⃣ תקופות מילואים'!$B:$B,A23,'2️⃣ תקופות מילואים'!$F:$F,C23)</f>
        <v>2</v>
      </c>
      <c r="E23" s="10">
        <f>SUMIFS('2️⃣ תקופות מילואים'!$G:$G,'2️⃣ תקופות מילואים'!$B:$B,A23,'2️⃣ תקופות מילואים'!$F:$F,C23)</f>
        <v>6</v>
      </c>
      <c r="F23" s="10">
        <f>SUMIFS('2️⃣ תקופות מילואים'!$H:$H,'2️⃣ תקופות מילואים'!$B:$B,A23,'2️⃣ תקופות מילואים'!$F:$F,C23)</f>
        <v>5</v>
      </c>
      <c r="G23" s="9">
        <f>SUMIFS('2️⃣ תקופות מילואים'!$I:$I,'2️⃣ תקופות מילואים'!$B:$B,A23,'2️⃣ תקופות מילואים'!$F:$F,C23)+SUMIFS('2️⃣ תקופות מילואים'!$J:$J,'2️⃣ תקופות מילואים'!$B:$B,A23,'2️⃣ תקופות מילואים'!$F:$F,C23)+SUMIFS('2️⃣ תקופות מילואים'!$K:$K,'2️⃣ תקופות מילואים'!$B:$B,A23,'2️⃣ תקופות מילואים'!$F:$F,C23)</f>
        <v>1</v>
      </c>
      <c r="H23" s="9">
        <f>SUMIFS('2️⃣ תקופות מילואים'!$P:$P,'2️⃣ תקופות מילואים'!$B:$B,A23,'2️⃣ תקופות מילואים'!$F:$F,C23)</f>
        <v>2192.3396400553761</v>
      </c>
      <c r="I23" s="9">
        <f>SUMIFS('3️⃣ תשלומי ב"ל'!$I:$I,'3️⃣ תשלומי ב"ל'!$B:$B,A23)</f>
        <v>0</v>
      </c>
      <c r="J23" s="9"/>
      <c r="K23" s="11" t="s">
        <v>265</v>
      </c>
      <c r="L23" s="9" t="s">
        <v>296</v>
      </c>
    </row>
    <row r="24" spans="1:12" ht="15" hidden="1" x14ac:dyDescent="0.2">
      <c r="A24" s="9" t="s">
        <v>96</v>
      </c>
      <c r="B24" s="9" t="s">
        <v>92</v>
      </c>
      <c r="C24" s="9" t="s">
        <v>293</v>
      </c>
      <c r="D24" s="10">
        <f>COUNTIFS('2️⃣ תקופות מילואים'!$B:$B,A24,'2️⃣ תקופות מילואים'!$F:$F,C24)</f>
        <v>3</v>
      </c>
      <c r="E24" s="10">
        <f>SUMIFS('2️⃣ תקופות מילואים'!$G:$G,'2️⃣ תקופות מילואים'!$B:$B,A24,'2️⃣ תקופות מילואים'!$F:$F,C24)</f>
        <v>4</v>
      </c>
      <c r="F24" s="10">
        <f>SUMIFS('2️⃣ תקופות מילואים'!$H:$H,'2️⃣ תקופות מילואים'!$B:$B,A24,'2️⃣ תקופות מילואים'!$F:$F,C24)</f>
        <v>4</v>
      </c>
      <c r="G24" s="9">
        <f>SUMIFS('2️⃣ תקופות מילואים'!$I:$I,'2️⃣ תקופות מילואים'!$B:$B,A24,'2️⃣ תקופות מילואים'!$F:$F,C24)+SUMIFS('2️⃣ תקופות מילואים'!$J:$J,'2️⃣ תקופות מילואים'!$B:$B,A24,'2️⃣ תקופות מילואים'!$F:$F,C24)+SUMIFS('2️⃣ תקופות מילואים'!$K:$K,'2️⃣ תקופות מילואים'!$B:$B,A24,'2️⃣ תקופות מילואים'!$F:$F,C24)</f>
        <v>0</v>
      </c>
      <c r="H24" s="9">
        <f>SUMIFS('2️⃣ תקופות מילואים'!$P:$P,'2️⃣ תקופות מילואים'!$B:$B,A24,'2️⃣ תקופות מילואים'!$F:$F,C24)</f>
        <v>876.93585602215046</v>
      </c>
      <c r="I24" s="9">
        <f>SUMIFS('3️⃣ תשלומי ב"ל'!$I:$I,'3️⃣ תשלומי ב"ל'!$B:$B,A24)</f>
        <v>0</v>
      </c>
      <c r="J24" s="9"/>
      <c r="K24" s="11" t="s">
        <v>265</v>
      </c>
      <c r="L24" s="9" t="s">
        <v>297</v>
      </c>
    </row>
    <row r="25" spans="1:12" ht="15" hidden="1" x14ac:dyDescent="0.2">
      <c r="A25" s="9" t="s">
        <v>96</v>
      </c>
      <c r="B25" s="9" t="s">
        <v>92</v>
      </c>
      <c r="C25" s="9" t="s">
        <v>264</v>
      </c>
      <c r="D25" s="10">
        <f>COUNTIFS('2️⃣ תקופות מילואים'!$B:$B,A25,'2️⃣ תקופות מילואים'!$F:$F,C25)</f>
        <v>3</v>
      </c>
      <c r="E25" s="10">
        <f>SUMIFS('2️⃣ תקופות מילואים'!$G:$G,'2️⃣ תקופות מילואים'!$B:$B,A25,'2️⃣ תקופות מילואים'!$F:$F,C25)</f>
        <v>9</v>
      </c>
      <c r="F25" s="10">
        <f>SUMIFS('2️⃣ תקופות מילואים'!$H:$H,'2️⃣ תקופות מילואים'!$B:$B,A25,'2️⃣ תקופות מילואים'!$F:$F,C25)</f>
        <v>8</v>
      </c>
      <c r="G25" s="9">
        <f>SUMIFS('2️⃣ תקופות מילואים'!$I:$I,'2️⃣ תקופות מילואים'!$B:$B,A25,'2️⃣ תקופות מילואים'!$F:$F,C25)+SUMIFS('2️⃣ תקופות מילואים'!$J:$J,'2️⃣ תקופות מילואים'!$B:$B,A25,'2️⃣ תקופות מילואים'!$F:$F,C25)+SUMIFS('2️⃣ תקופות מילואים'!$K:$K,'2️⃣ תקופות מילואים'!$B:$B,A25,'2️⃣ תקופות מילואים'!$F:$F,C25)</f>
        <v>1</v>
      </c>
      <c r="H25" s="9">
        <f>SUMIFS('2️⃣ תקופות מילואים'!$P:$P,'2️⃣ תקופות מילואים'!$B:$B,A25,'2️⃣ תקופות מילואים'!$F:$F,C25)</f>
        <v>2850.041532071989</v>
      </c>
      <c r="I25" s="9">
        <f>SUMIFS('3️⃣ תשלומי ב"ל'!$I:$I,'3️⃣ תשלומי ב"ל'!$B:$B,A25)</f>
        <v>0</v>
      </c>
      <c r="J25" s="9"/>
      <c r="K25" s="11" t="s">
        <v>265</v>
      </c>
      <c r="L25" s="9" t="s">
        <v>298</v>
      </c>
    </row>
    <row r="26" spans="1:12" ht="15" hidden="1" x14ac:dyDescent="0.2">
      <c r="A26" s="9" t="s">
        <v>96</v>
      </c>
      <c r="B26" s="9" t="s">
        <v>92</v>
      </c>
      <c r="C26" s="9" t="s">
        <v>281</v>
      </c>
      <c r="D26" s="10">
        <f>COUNTIFS('2️⃣ תקופות מילואים'!$B:$B,A26,'2️⃣ תקופות מילואים'!$F:$F,C26)</f>
        <v>1</v>
      </c>
      <c r="E26" s="10">
        <f>SUMIFS('2️⃣ תקופות מילואים'!$G:$G,'2️⃣ תקופות מילואים'!$B:$B,A26,'2️⃣ תקופות מילואים'!$F:$F,C26)</f>
        <v>2</v>
      </c>
      <c r="F26" s="10">
        <f>SUMIFS('2️⃣ תקופות מילואים'!$H:$H,'2️⃣ תקופות מילואים'!$B:$B,A26,'2️⃣ תקופות מילואים'!$F:$F,C26)</f>
        <v>2</v>
      </c>
      <c r="G26" s="9">
        <f>SUMIFS('2️⃣ תקופות מילואים'!$I:$I,'2️⃣ תקופות מילואים'!$B:$B,A26,'2️⃣ תקופות מילואים'!$F:$F,C26)+SUMIFS('2️⃣ תקופות מילואים'!$J:$J,'2️⃣ תקופות מילואים'!$B:$B,A26,'2️⃣ תקופות מילואים'!$F:$F,C26)+SUMIFS('2️⃣ תקופות מילואים'!$K:$K,'2️⃣ תקופות מילואים'!$B:$B,A26,'2️⃣ תקופות מילואים'!$F:$F,C26)</f>
        <v>0</v>
      </c>
      <c r="H26" s="9">
        <f>SUMIFS('2️⃣ תקופות מילואים'!$P:$P,'2️⃣ תקופות מילואים'!$B:$B,A26,'2️⃣ תקופות מילואים'!$F:$F,C26)</f>
        <v>438.46792801107523</v>
      </c>
      <c r="I26" s="9">
        <f>SUMIFS('3️⃣ תשלומי ב"ל'!$I:$I,'3️⃣ תשלומי ב"ל'!$B:$B,A26)</f>
        <v>0</v>
      </c>
      <c r="J26" s="9"/>
      <c r="K26" s="11" t="s">
        <v>265</v>
      </c>
      <c r="L26" s="9" t="s">
        <v>299</v>
      </c>
    </row>
    <row r="27" spans="1:12" ht="15" hidden="1" x14ac:dyDescent="0.2">
      <c r="A27" s="9" t="s">
        <v>96</v>
      </c>
      <c r="B27" s="9" t="s">
        <v>92</v>
      </c>
      <c r="C27" s="9" t="s">
        <v>271</v>
      </c>
      <c r="D27" s="10">
        <f>COUNTIFS('2️⃣ תקופות מילואים'!$B:$B,A27,'2️⃣ תקופות מילואים'!$F:$F,C27)</f>
        <v>3</v>
      </c>
      <c r="E27" s="10">
        <f>SUMIFS('2️⃣ תקופות מילואים'!$G:$G,'2️⃣ תקופות מילואים'!$B:$B,A27,'2️⃣ תקופות מילואים'!$F:$F,C27)</f>
        <v>6</v>
      </c>
      <c r="F27" s="10">
        <f>SUMIFS('2️⃣ תקופות מילואים'!$H:$H,'2️⃣ תקופות מילואים'!$B:$B,A27,'2️⃣ תקופות מילואים'!$F:$F,C27)</f>
        <v>6</v>
      </c>
      <c r="G27" s="9">
        <f>SUMIFS('2️⃣ תקופות מילואים'!$I:$I,'2️⃣ תקופות מילואים'!$B:$B,A27,'2️⃣ תקופות מילואים'!$F:$F,C27)+SUMIFS('2️⃣ תקופות מילואים'!$J:$J,'2️⃣ תקופות מילואים'!$B:$B,A27,'2️⃣ תקופות מילואים'!$F:$F,C27)+SUMIFS('2️⃣ תקופות מילואים'!$K:$K,'2️⃣ תקופות מילואים'!$B:$B,A27,'2️⃣ תקופות מילואים'!$F:$F,C27)</f>
        <v>0</v>
      </c>
      <c r="H27" s="9">
        <f>SUMIFS('2️⃣ תקופות מילואים'!$P:$P,'2️⃣ תקופות מילואים'!$B:$B,A27,'2️⃣ תקופות מילואים'!$F:$F,C27)</f>
        <v>1315.4037840332257</v>
      </c>
      <c r="I27" s="9">
        <f>SUMIFS('3️⃣ תשלומי ב"ל'!$I:$I,'3️⃣ תשלומי ב"ל'!$B:$B,A27)</f>
        <v>0</v>
      </c>
      <c r="J27" s="9"/>
      <c r="K27" s="11" t="s">
        <v>265</v>
      </c>
      <c r="L27" s="9" t="s">
        <v>300</v>
      </c>
    </row>
    <row r="28" spans="1:12" ht="15" hidden="1" x14ac:dyDescent="0.2">
      <c r="A28" s="9" t="s">
        <v>96</v>
      </c>
      <c r="B28" s="9" t="s">
        <v>92</v>
      </c>
      <c r="C28" s="9" t="s">
        <v>273</v>
      </c>
      <c r="D28" s="10">
        <f>COUNTIFS('2️⃣ תקופות מילואים'!$B:$B,A28,'2️⃣ תקופות מילואים'!$F:$F,C28)</f>
        <v>2</v>
      </c>
      <c r="E28" s="10">
        <f>SUMIFS('2️⃣ תקופות מילואים'!$G:$G,'2️⃣ תקופות מילואים'!$B:$B,A28,'2️⃣ תקופות מילואים'!$F:$F,C28)</f>
        <v>3</v>
      </c>
      <c r="F28" s="10">
        <f>SUMIFS('2️⃣ תקופות מילואים'!$H:$H,'2️⃣ תקופות מילואים'!$B:$B,A28,'2️⃣ תקופות מילואים'!$F:$F,C28)</f>
        <v>3</v>
      </c>
      <c r="G28" s="9">
        <f>SUMIFS('2️⃣ תקופות מילואים'!$I:$I,'2️⃣ תקופות מילואים'!$B:$B,A28,'2️⃣ תקופות מילואים'!$F:$F,C28)+SUMIFS('2️⃣ תקופות מילואים'!$J:$J,'2️⃣ תקופות מילואים'!$B:$B,A28,'2️⃣ תקופות מילואים'!$F:$F,C28)+SUMIFS('2️⃣ תקופות מילואים'!$K:$K,'2️⃣ תקופות מילואים'!$B:$B,A28,'2️⃣ תקופות מילואים'!$F:$F,C28)</f>
        <v>0</v>
      </c>
      <c r="H28" s="9">
        <f>SUMIFS('2️⃣ תקופות מילואים'!$P:$P,'2️⃣ תקופות מילואים'!$B:$B,A28,'2️⃣ תקופות מילואים'!$F:$F,C28)</f>
        <v>657.70189201661287</v>
      </c>
      <c r="I28" s="9">
        <f>SUMIFS('3️⃣ תשלומי ב"ל'!$I:$I,'3️⃣ תשלומי ב"ל'!$B:$B,A28)</f>
        <v>0</v>
      </c>
      <c r="J28" s="9"/>
      <c r="K28" s="11" t="s">
        <v>265</v>
      </c>
      <c r="L28" s="9" t="s">
        <v>301</v>
      </c>
    </row>
    <row r="29" spans="1:12" ht="15" hidden="1" x14ac:dyDescent="0.2">
      <c r="A29" s="9" t="s">
        <v>96</v>
      </c>
      <c r="B29" s="9" t="s">
        <v>92</v>
      </c>
      <c r="C29" s="9" t="s">
        <v>275</v>
      </c>
      <c r="D29" s="10">
        <f>COUNTIFS('2️⃣ תקופות מילואים'!$B:$B,A29,'2️⃣ תקופות מילואים'!$F:$F,C29)</f>
        <v>1</v>
      </c>
      <c r="E29" s="10">
        <f>SUMIFS('2️⃣ תקופות מילואים'!$G:$G,'2️⃣ תקופות מילואים'!$B:$B,A29,'2️⃣ תקופות מילואים'!$F:$F,C29)</f>
        <v>4</v>
      </c>
      <c r="F29" s="10">
        <f>SUMIFS('2️⃣ תקופות מילואים'!$H:$H,'2️⃣ תקופות מילואים'!$B:$B,A29,'2️⃣ תקופות מילואים'!$F:$F,C29)</f>
        <v>4</v>
      </c>
      <c r="G29" s="9">
        <f>SUMIFS('2️⃣ תקופות מילואים'!$I:$I,'2️⃣ תקופות מילואים'!$B:$B,A29,'2️⃣ תקופות מילואים'!$F:$F,C29)+SUMIFS('2️⃣ תקופות מילואים'!$J:$J,'2️⃣ תקופות מילואים'!$B:$B,A29,'2️⃣ תקופות מילואים'!$F:$F,C29)+SUMIFS('2️⃣ תקופות מילואים'!$K:$K,'2️⃣ תקופות מילואים'!$B:$B,A29,'2️⃣ תקופות מילואים'!$F:$F,C29)</f>
        <v>0</v>
      </c>
      <c r="H29" s="9">
        <f>SUMIFS('2️⃣ תקופות מילואים'!$P:$P,'2️⃣ תקופות מילואים'!$B:$B,A29,'2️⃣ תקופות מילואים'!$F:$F,C29)</f>
        <v>876.93585602215046</v>
      </c>
      <c r="I29" s="9">
        <f>SUMIFS('3️⃣ תשלומי ב"ל'!$I:$I,'3️⃣ תשלומי ב"ל'!$B:$B,A29)</f>
        <v>0</v>
      </c>
      <c r="J29" s="9"/>
      <c r="K29" s="11" t="s">
        <v>265</v>
      </c>
      <c r="L29" s="9" t="s">
        <v>302</v>
      </c>
    </row>
    <row r="30" spans="1:12" ht="15" hidden="1" x14ac:dyDescent="0.2">
      <c r="A30" s="9" t="s">
        <v>96</v>
      </c>
      <c r="B30" s="9" t="s">
        <v>92</v>
      </c>
      <c r="C30" s="9" t="s">
        <v>267</v>
      </c>
      <c r="D30" s="10">
        <f>COUNTIFS('2️⃣ תקופות מילואים'!$B:$B,A30,'2️⃣ תקופות מילואים'!$F:$F,C30)</f>
        <v>1</v>
      </c>
      <c r="E30" s="10">
        <f>SUMIFS('2️⃣ תקופות מילואים'!$G:$G,'2️⃣ תקופות מילואים'!$B:$B,A30,'2️⃣ תקופות מילואים'!$F:$F,C30)</f>
        <v>2</v>
      </c>
      <c r="F30" s="10">
        <f>SUMIFS('2️⃣ תקופות מילואים'!$H:$H,'2️⃣ תקופות מילואים'!$B:$B,A30,'2️⃣ תקופות מילואים'!$F:$F,C30)</f>
        <v>2</v>
      </c>
      <c r="G30" s="9">
        <f>SUMIFS('2️⃣ תקופות מילואים'!$I:$I,'2️⃣ תקופות מילואים'!$B:$B,A30,'2️⃣ תקופות מילואים'!$F:$F,C30)+SUMIFS('2️⃣ תקופות מילואים'!$J:$J,'2️⃣ תקופות מילואים'!$B:$B,A30,'2️⃣ תקופות מילואים'!$F:$F,C30)+SUMIFS('2️⃣ תקופות מילואים'!$K:$K,'2️⃣ תקופות מילואים'!$B:$B,A30,'2️⃣ תקופות מילואים'!$F:$F,C30)</f>
        <v>0</v>
      </c>
      <c r="H30" s="9">
        <f>SUMIFS('2️⃣ תקופות מילואים'!$P:$P,'2️⃣ תקופות מילואים'!$B:$B,A30,'2️⃣ תקופות מילואים'!$F:$F,C30)</f>
        <v>438.46792801107523</v>
      </c>
      <c r="I30" s="9">
        <f>SUMIFS('3️⃣ תשלומי ב"ל'!$I:$I,'3️⃣ תשלומי ב"ל'!$B:$B,A30)</f>
        <v>0</v>
      </c>
      <c r="J30" s="9"/>
      <c r="K30" s="11" t="s">
        <v>265</v>
      </c>
      <c r="L30" s="9" t="s">
        <v>303</v>
      </c>
    </row>
    <row r="31" spans="1:12" ht="15" hidden="1" x14ac:dyDescent="0.2">
      <c r="A31" s="9" t="s">
        <v>99</v>
      </c>
      <c r="B31" s="9" t="s">
        <v>70</v>
      </c>
      <c r="C31" s="9" t="s">
        <v>275</v>
      </c>
      <c r="D31" s="10">
        <f>COUNTIFS('2️⃣ תקופות מילואים'!$B:$B,A31,'2️⃣ תקופות מילואים'!$F:$F,C31)</f>
        <v>3</v>
      </c>
      <c r="E31" s="10">
        <f>SUMIFS('2️⃣ תקופות מילואים'!$G:$G,'2️⃣ תקופות מילואים'!$B:$B,A31,'2️⃣ תקופות מילואים'!$F:$F,C31)</f>
        <v>6</v>
      </c>
      <c r="F31" s="10">
        <f>SUMIFS('2️⃣ תקופות מילואים'!$H:$H,'2️⃣ תקופות מילואים'!$B:$B,A31,'2️⃣ תקופות מילואים'!$F:$F,C31)</f>
        <v>6</v>
      </c>
      <c r="G31" s="9">
        <f>SUMIFS('2️⃣ תקופות מילואים'!$I:$I,'2️⃣ תקופות מילואים'!$B:$B,A31,'2️⃣ תקופות מילואים'!$F:$F,C31)+SUMIFS('2️⃣ תקופות מילואים'!$J:$J,'2️⃣ תקופות מילואים'!$B:$B,A31,'2️⃣ תקופות מילואים'!$F:$F,C31)+SUMIFS('2️⃣ תקופות מילואים'!$K:$K,'2️⃣ תקופות מילואים'!$B:$B,A31,'2️⃣ תקופות מילואים'!$F:$F,C31)</f>
        <v>0</v>
      </c>
      <c r="H31" s="9">
        <f>SUMIFS('2️⃣ תקופות מילואים'!$P:$P,'2️⃣ תקופות מילואים'!$B:$B,A31,'2️⃣ תקופות מילואים'!$F:$F,C31)</f>
        <v>1001.0336871250577</v>
      </c>
      <c r="I31" s="9">
        <f>SUMIFS('3️⃣ תשלומי ב"ל'!$I:$I,'3️⃣ תשלומי ב"ל'!$B:$B,A31)</f>
        <v>0</v>
      </c>
      <c r="J31" s="9"/>
      <c r="K31" s="11" t="s">
        <v>265</v>
      </c>
      <c r="L31" s="9" t="s">
        <v>304</v>
      </c>
    </row>
    <row r="32" spans="1:12" ht="15" hidden="1" x14ac:dyDescent="0.2">
      <c r="A32" s="9" t="s">
        <v>99</v>
      </c>
      <c r="B32" s="9" t="s">
        <v>70</v>
      </c>
      <c r="C32" s="9" t="s">
        <v>284</v>
      </c>
      <c r="D32" s="10">
        <f>COUNTIFS('2️⃣ תקופות מילואים'!$B:$B,A32,'2️⃣ תקופות מילואים'!$F:$F,C32)</f>
        <v>3</v>
      </c>
      <c r="E32" s="10">
        <f>SUMIFS('2️⃣ תקופות מילואים'!$G:$G,'2️⃣ תקופות מילואים'!$B:$B,A32,'2️⃣ תקופות מילואים'!$F:$F,C32)</f>
        <v>3</v>
      </c>
      <c r="F32" s="10">
        <f>SUMIFS('2️⃣ תקופות מילואים'!$H:$H,'2️⃣ תקופות מילואים'!$B:$B,A32,'2️⃣ תקופות מילואים'!$F:$F,C32)</f>
        <v>3</v>
      </c>
      <c r="G32" s="9">
        <f>SUMIFS('2️⃣ תקופות מילואים'!$I:$I,'2️⃣ תקופות מילואים'!$B:$B,A32,'2️⃣ תקופות מילואים'!$F:$F,C32)+SUMIFS('2️⃣ תקופות מילואים'!$J:$J,'2️⃣ תקופות מילואים'!$B:$B,A32,'2️⃣ תקופות מילואים'!$F:$F,C32)+SUMIFS('2️⃣ תקופות מילואים'!$K:$K,'2️⃣ תקופות מילואים'!$B:$B,A32,'2️⃣ תקופות מילואים'!$F:$F,C32)</f>
        <v>0</v>
      </c>
      <c r="H32" s="9">
        <f>SUMIFS('2️⃣ תקופות מילואים'!$P:$P,'2️⃣ תקופות מילואים'!$B:$B,A32,'2️⃣ תקופות מילואים'!$F:$F,C32)</f>
        <v>500.51684356252883</v>
      </c>
      <c r="I32" s="9">
        <f>SUMIFS('3️⃣ תשלומי ב"ל'!$I:$I,'3️⃣ תשלומי ב"ל'!$B:$B,A32)</f>
        <v>0</v>
      </c>
      <c r="J32" s="9"/>
      <c r="K32" s="11" t="s">
        <v>265</v>
      </c>
      <c r="L32" s="9" t="s">
        <v>305</v>
      </c>
    </row>
    <row r="33" spans="1:12" ht="15" hidden="1" x14ac:dyDescent="0.2">
      <c r="A33" s="9" t="s">
        <v>99</v>
      </c>
      <c r="B33" s="9" t="s">
        <v>70</v>
      </c>
      <c r="C33" s="9" t="s">
        <v>267</v>
      </c>
      <c r="D33" s="10">
        <f>COUNTIFS('2️⃣ תקופות מילואים'!$B:$B,A33,'2️⃣ תקופות מילואים'!$F:$F,C33)</f>
        <v>2</v>
      </c>
      <c r="E33" s="10">
        <f>SUMIFS('2️⃣ תקופות מילואים'!$G:$G,'2️⃣ תקופות מילואים'!$B:$B,A33,'2️⃣ תקופות מילואים'!$F:$F,C33)</f>
        <v>3</v>
      </c>
      <c r="F33" s="10">
        <f>SUMIFS('2️⃣ תקופות מילואים'!$H:$H,'2️⃣ תקופות מילואים'!$B:$B,A33,'2️⃣ תקופות מילואים'!$F:$F,C33)</f>
        <v>2</v>
      </c>
      <c r="G33" s="9">
        <f>SUMIFS('2️⃣ תקופות מילואים'!$I:$I,'2️⃣ תקופות מילואים'!$B:$B,A33,'2️⃣ תקופות מילואים'!$F:$F,C33)+SUMIFS('2️⃣ תקופות מילואים'!$J:$J,'2️⃣ תקופות מילואים'!$B:$B,A33,'2️⃣ תקופות מילואים'!$F:$F,C33)+SUMIFS('2️⃣ תקופות מילואים'!$K:$K,'2️⃣ תקופות מילואים'!$B:$B,A33,'2️⃣ תקופות מילואים'!$F:$F,C33)</f>
        <v>1</v>
      </c>
      <c r="H33" s="9">
        <f>SUMIFS('2️⃣ תקופות מילואים'!$P:$P,'2️⃣ תקופות מילואים'!$B:$B,A33,'2️⃣ תקופות מילואים'!$F:$F,C33)</f>
        <v>1167.8726349792339</v>
      </c>
      <c r="I33" s="9">
        <f>SUMIFS('3️⃣ תשלומי ב"ל'!$I:$I,'3️⃣ תשלומי ב"ל'!$B:$B,A33)</f>
        <v>0</v>
      </c>
      <c r="J33" s="9"/>
      <c r="K33" s="11" t="s">
        <v>265</v>
      </c>
      <c r="L33" s="9" t="s">
        <v>306</v>
      </c>
    </row>
    <row r="34" spans="1:12" ht="15" hidden="1" x14ac:dyDescent="0.2">
      <c r="A34" s="9" t="s">
        <v>102</v>
      </c>
      <c r="B34" s="9" t="s">
        <v>92</v>
      </c>
      <c r="C34" s="9" t="s">
        <v>264</v>
      </c>
      <c r="D34" s="10">
        <f>COUNTIFS('2️⃣ תקופות מילואים'!$B:$B,A34,'2️⃣ תקופות מילואים'!$F:$F,C34)</f>
        <v>1</v>
      </c>
      <c r="E34" s="10">
        <f>SUMIFS('2️⃣ תקופות מילואים'!$G:$G,'2️⃣ תקופות מילואים'!$B:$B,A34,'2️⃣ תקופות מילואים'!$F:$F,C34)</f>
        <v>1</v>
      </c>
      <c r="F34" s="10">
        <f>SUMIFS('2️⃣ תקופות מילואים'!$H:$H,'2️⃣ תקופות מילואים'!$B:$B,A34,'2️⃣ תקופות מילואים'!$F:$F,C34)</f>
        <v>1</v>
      </c>
      <c r="G34" s="9">
        <f>SUMIFS('2️⃣ תקופות מילואים'!$I:$I,'2️⃣ תקופות מילואים'!$B:$B,A34,'2️⃣ תקופות מילואים'!$F:$F,C34)+SUMIFS('2️⃣ תקופות מילואים'!$J:$J,'2️⃣ תקופות מילואים'!$B:$B,A34,'2️⃣ תקופות מילואים'!$F:$F,C34)+SUMIFS('2️⃣ תקופות מילואים'!$K:$K,'2️⃣ תקופות מילואים'!$B:$B,A34,'2️⃣ תקופות מילואים'!$F:$F,C34)</f>
        <v>0</v>
      </c>
      <c r="H34" s="9">
        <f>SUMIFS('2️⃣ תקופות מילואים'!$P:$P,'2️⃣ תקופות מילואים'!$B:$B,A34,'2️⃣ תקופות מילואים'!$F:$F,C34)</f>
        <v>146.05445316105212</v>
      </c>
      <c r="I34" s="9">
        <f>SUMIFS('3️⃣ תשלומי ב"ל'!$I:$I,'3️⃣ תשלומי ב"ל'!$B:$B,A34)</f>
        <v>0</v>
      </c>
      <c r="J34" s="9"/>
      <c r="K34" s="11" t="s">
        <v>265</v>
      </c>
      <c r="L34" s="9" t="s">
        <v>307</v>
      </c>
    </row>
    <row r="35" spans="1:12" ht="15" hidden="1" x14ac:dyDescent="0.2">
      <c r="A35" s="9" t="s">
        <v>102</v>
      </c>
      <c r="B35" s="9" t="s">
        <v>92</v>
      </c>
      <c r="C35" s="9" t="s">
        <v>271</v>
      </c>
      <c r="D35" s="10">
        <f>COUNTIFS('2️⃣ תקופות מילואים'!$B:$B,A35,'2️⃣ תקופות מילואים'!$F:$F,C35)</f>
        <v>1</v>
      </c>
      <c r="E35" s="10">
        <f>SUMIFS('2️⃣ תקופות מילואים'!$G:$G,'2️⃣ תקופות מילואים'!$B:$B,A35,'2️⃣ תקופות מילואים'!$F:$F,C35)</f>
        <v>3</v>
      </c>
      <c r="F35" s="10">
        <f>SUMIFS('2️⃣ תקופות מילואים'!$H:$H,'2️⃣ תקופות מילואים'!$B:$B,A35,'2️⃣ תקופות מילואים'!$F:$F,C35)</f>
        <v>2</v>
      </c>
      <c r="G35" s="9">
        <f>SUMIFS('2️⃣ תקופות מילואים'!$I:$I,'2️⃣ תקופות מילואים'!$B:$B,A35,'2️⃣ תקופות מילואים'!$F:$F,C35)+SUMIFS('2️⃣ תקופות מילואים'!$J:$J,'2️⃣ תקופות מילואים'!$B:$B,A35,'2️⃣ תקופות מילואים'!$F:$F,C35)+SUMIFS('2️⃣ תקופות מילואים'!$K:$K,'2️⃣ תקופות מילואים'!$B:$B,A35,'2️⃣ תקופות מילואים'!$F:$F,C35)</f>
        <v>1</v>
      </c>
      <c r="H35" s="9">
        <f>SUMIFS('2️⃣ תקופות מילואים'!$P:$P,'2️⃣ תקופות מילואים'!$B:$B,A35,'2️⃣ תקופות מילואים'!$F:$F,C35)</f>
        <v>1022.3811721273648</v>
      </c>
      <c r="I35" s="9">
        <f>SUMIFS('3️⃣ תשלומי ב"ל'!$I:$I,'3️⃣ תשלומי ב"ל'!$B:$B,A35)</f>
        <v>0</v>
      </c>
      <c r="J35" s="9"/>
      <c r="K35" s="11" t="s">
        <v>265</v>
      </c>
      <c r="L35" s="9" t="s">
        <v>308</v>
      </c>
    </row>
    <row r="36" spans="1:12" ht="15" hidden="1" x14ac:dyDescent="0.2">
      <c r="A36" s="9" t="s">
        <v>102</v>
      </c>
      <c r="B36" s="9" t="s">
        <v>92</v>
      </c>
      <c r="C36" s="9" t="s">
        <v>273</v>
      </c>
      <c r="D36" s="10">
        <f>COUNTIFS('2️⃣ תקופות מילואים'!$B:$B,A36,'2️⃣ תקופות מילואים'!$F:$F,C36)</f>
        <v>1</v>
      </c>
      <c r="E36" s="10">
        <f>SUMIFS('2️⃣ תקופות מילואים'!$G:$G,'2️⃣ תקופות מילואים'!$B:$B,A36,'2️⃣ תקופות מילואים'!$F:$F,C36)</f>
        <v>8</v>
      </c>
      <c r="F36" s="10">
        <f>SUMIFS('2️⃣ תקופות מילואים'!$H:$H,'2️⃣ תקופות מילואים'!$B:$B,A36,'2️⃣ תקופות מילואים'!$F:$F,C36)</f>
        <v>6</v>
      </c>
      <c r="G36" s="9">
        <f>SUMIFS('2️⃣ תקופות מילואים'!$I:$I,'2️⃣ תקופות מילואים'!$B:$B,A36,'2️⃣ תקופות מילואים'!$F:$F,C36)+SUMIFS('2️⃣ תקופות מילואים'!$J:$J,'2️⃣ תקופות מילואים'!$B:$B,A36,'2️⃣ תקופות מילואים'!$F:$F,C36)+SUMIFS('2️⃣ תקופות מילואים'!$K:$K,'2️⃣ תקופות מילואים'!$B:$B,A36,'2️⃣ תקופות מילואים'!$F:$F,C36)</f>
        <v>2</v>
      </c>
      <c r="H36" s="9">
        <f>SUMIFS('2️⃣ תקופות מילואים'!$P:$P,'2️⃣ תקופות מילואים'!$B:$B,A36,'2️⃣ תקופות מילואים'!$F:$F,C36)</f>
        <v>2336.871250576834</v>
      </c>
      <c r="I36" s="9">
        <f>SUMIFS('3️⃣ תשלומי ב"ל'!$I:$I,'3️⃣ תשלומי ב"ל'!$B:$B,A36)</f>
        <v>0</v>
      </c>
      <c r="J36" s="9"/>
      <c r="K36" s="11" t="s">
        <v>265</v>
      </c>
      <c r="L36" s="9" t="s">
        <v>309</v>
      </c>
    </row>
    <row r="37" spans="1:12" ht="15" hidden="1" x14ac:dyDescent="0.2">
      <c r="A37" s="9" t="s">
        <v>102</v>
      </c>
      <c r="B37" s="9" t="s">
        <v>92</v>
      </c>
      <c r="C37" s="9" t="s">
        <v>275</v>
      </c>
      <c r="D37" s="10">
        <f>COUNTIFS('2️⃣ תקופות מילואים'!$B:$B,A37,'2️⃣ תקופות מילואים'!$F:$F,C37)</f>
        <v>1</v>
      </c>
      <c r="E37" s="10">
        <f>SUMIFS('2️⃣ תקופות מילואים'!$G:$G,'2️⃣ תקופות מילואים'!$B:$B,A37,'2️⃣ תקופות מילואים'!$F:$F,C37)</f>
        <v>3</v>
      </c>
      <c r="F37" s="10">
        <f>SUMIFS('2️⃣ תקופות מילואים'!$H:$H,'2️⃣ תקופות מילואים'!$B:$B,A37,'2️⃣ תקופות מילואים'!$F:$F,C37)</f>
        <v>2</v>
      </c>
      <c r="G37" s="9">
        <f>SUMIFS('2️⃣ תקופות מילואים'!$I:$I,'2️⃣ תקופות מילואים'!$B:$B,A37,'2️⃣ תקופות מילואים'!$F:$F,C37)+SUMIFS('2️⃣ תקופות מילואים'!$J:$J,'2️⃣ תקופות מילואים'!$B:$B,A37,'2️⃣ תקופות מילואים'!$F:$F,C37)+SUMIFS('2️⃣ תקופות מילואים'!$K:$K,'2️⃣ תקופות מילואים'!$B:$B,A37,'2️⃣ תקופות מילואים'!$F:$F,C37)</f>
        <v>1</v>
      </c>
      <c r="H37" s="9">
        <f>SUMIFS('2️⃣ תקופות מילואים'!$P:$P,'2️⃣ תקופות מילואים'!$B:$B,A37,'2️⃣ תקופות מילואים'!$F:$F,C37)</f>
        <v>1022.3811721273648</v>
      </c>
      <c r="I37" s="9">
        <f>SUMIFS('3️⃣ תשלומי ב"ל'!$I:$I,'3️⃣ תשלומי ב"ל'!$B:$B,A37)</f>
        <v>0</v>
      </c>
      <c r="J37" s="9"/>
      <c r="K37" s="11" t="s">
        <v>265</v>
      </c>
      <c r="L37" s="9" t="s">
        <v>310</v>
      </c>
    </row>
    <row r="38" spans="1:12" ht="15" hidden="1" x14ac:dyDescent="0.2">
      <c r="A38" s="9" t="s">
        <v>102</v>
      </c>
      <c r="B38" s="9" t="s">
        <v>92</v>
      </c>
      <c r="C38" s="9" t="s">
        <v>284</v>
      </c>
      <c r="D38" s="10">
        <f>COUNTIFS('2️⃣ תקופות מילואים'!$B:$B,A38,'2️⃣ תקופות מילואים'!$F:$F,C38)</f>
        <v>1</v>
      </c>
      <c r="E38" s="10">
        <f>SUMIFS('2️⃣ תקופות מילואים'!$G:$G,'2️⃣ תקופות מילואים'!$B:$B,A38,'2️⃣ תקופות מילואים'!$F:$F,C38)</f>
        <v>4</v>
      </c>
      <c r="F38" s="10">
        <f>SUMIFS('2️⃣ תקופות מילואים'!$H:$H,'2️⃣ תקופות מילואים'!$B:$B,A38,'2️⃣ תקופות מילואים'!$F:$F,C38)</f>
        <v>3</v>
      </c>
      <c r="G38" s="9">
        <f>SUMIFS('2️⃣ תקופות מילואים'!$I:$I,'2️⃣ תקופות מילואים'!$B:$B,A38,'2️⃣ תקופות מילואים'!$F:$F,C38)+SUMIFS('2️⃣ תקופות מילואים'!$J:$J,'2️⃣ תקופות מילואים'!$B:$B,A38,'2️⃣ תקופות מילואים'!$F:$F,C38)+SUMIFS('2️⃣ תקופות מילואים'!$K:$K,'2️⃣ תקופות מילואים'!$B:$B,A38,'2️⃣ תקופות מילואים'!$F:$F,C38)</f>
        <v>1</v>
      </c>
      <c r="H38" s="9">
        <f>SUMIFS('2️⃣ תקופות מילואים'!$P:$P,'2️⃣ תקופות מילואים'!$B:$B,A38,'2️⃣ תקופות מילואים'!$F:$F,C38)</f>
        <v>1168.435625288417</v>
      </c>
      <c r="I38" s="9">
        <f>SUMIFS('3️⃣ תשלומי ב"ל'!$I:$I,'3️⃣ תשלומי ב"ל'!$B:$B,A38)</f>
        <v>0</v>
      </c>
      <c r="J38" s="9"/>
      <c r="K38" s="11" t="s">
        <v>265</v>
      </c>
      <c r="L38" s="9" t="s">
        <v>311</v>
      </c>
    </row>
    <row r="39" spans="1:12" ht="15" x14ac:dyDescent="0.2">
      <c r="A39" s="9" t="s">
        <v>106</v>
      </c>
      <c r="B39" s="9" t="s">
        <v>70</v>
      </c>
      <c r="C39" s="9" t="s">
        <v>269</v>
      </c>
      <c r="D39" s="10">
        <f>COUNTIFS('2️⃣ תקופות מילואים'!$B:$B,A39,'2️⃣ תקופות מילואים'!$F:$F,C39)</f>
        <v>1</v>
      </c>
      <c r="E39" s="10">
        <f>SUMIFS('2️⃣ תקופות מילואים'!$G:$G,'2️⃣ תקופות מילואים'!$B:$B,A39,'2️⃣ תקופות מילואים'!$F:$F,C39)</f>
        <v>9</v>
      </c>
      <c r="F39" s="10">
        <f>SUMIFS('2️⃣ תקופות מילואים'!$H:$H,'2️⃣ תקופות מילואים'!$B:$B,A39,'2️⃣ תקופות מילואים'!$F:$F,C39)</f>
        <v>7</v>
      </c>
      <c r="G39" s="9">
        <f>SUMIFS('2️⃣ תקופות מילואים'!$I:$I,'2️⃣ תקופות מילואים'!$B:$B,A39,'2️⃣ תקופות מילואים'!$F:$F,C39)+SUMIFS('2️⃣ תקופות מילואים'!$J:$J,'2️⃣ תקופות מילואים'!$B:$B,A39,'2️⃣ תקופות מילואים'!$F:$F,C39)+SUMIFS('2️⃣ תקופות מילואים'!$K:$K,'2️⃣ תקופות מילואים'!$B:$B,A39,'2️⃣ תקופות מילואים'!$F:$F,C39)</f>
        <v>2</v>
      </c>
      <c r="H39" s="9">
        <f>SUMIFS('2️⃣ תקופות מילואים'!$P:$P,'2️⃣ תקופות מילואים'!$B:$B,A39,'2️⃣ תקופות מילואים'!$F:$F,C39)</f>
        <v>2811.7858790955233</v>
      </c>
      <c r="I39" s="9">
        <f>SUMIFS('3️⃣ תשלומי ב"ל'!$I:$I,'3️⃣ תשלומי ב"ל'!$B:$B,A39)</f>
        <v>2761</v>
      </c>
      <c r="J39" s="9"/>
      <c r="K39" s="12" t="s">
        <v>278</v>
      </c>
      <c r="L39" s="9" t="s">
        <v>312</v>
      </c>
    </row>
    <row r="40" spans="1:12" ht="15" hidden="1" x14ac:dyDescent="0.2">
      <c r="A40" s="9" t="s">
        <v>106</v>
      </c>
      <c r="B40" s="9" t="s">
        <v>70</v>
      </c>
      <c r="C40" s="9" t="s">
        <v>281</v>
      </c>
      <c r="D40" s="10">
        <f>COUNTIFS('2️⃣ תקופות מילואים'!$B:$B,A40,'2️⃣ תקופות מילואים'!$F:$F,C40)</f>
        <v>1</v>
      </c>
      <c r="E40" s="10">
        <f>SUMIFS('2️⃣ תקופות מילואים'!$G:$G,'2️⃣ תקופות מילואים'!$B:$B,A40,'2️⃣ תקופות מילואים'!$F:$F,C40)</f>
        <v>3</v>
      </c>
      <c r="F40" s="10">
        <f>SUMIFS('2️⃣ תקופות מילואים'!$H:$H,'2️⃣ תקופות מילואים'!$B:$B,A40,'2️⃣ תקופות מילואים'!$F:$F,C40)</f>
        <v>3</v>
      </c>
      <c r="G40" s="9">
        <f>SUMIFS('2️⃣ תקופות מילואים'!$I:$I,'2️⃣ תקופות מילואים'!$B:$B,A40,'2️⃣ תקופות מילואים'!$F:$F,C40)+SUMIFS('2️⃣ תקופות מילואים'!$J:$J,'2️⃣ תקופות מילואים'!$B:$B,A40,'2️⃣ תקופות מילואים'!$F:$F,C40)+SUMIFS('2️⃣ תקופות מילואים'!$K:$K,'2️⃣ תקופות מילואים'!$B:$B,A40,'2️⃣ תקופות מילואים'!$F:$F,C40)</f>
        <v>0</v>
      </c>
      <c r="H40" s="9">
        <f>SUMIFS('2️⃣ תקופות מילואים'!$P:$P,'2️⃣ תקופות מילואים'!$B:$B,A40,'2️⃣ תקופות מילואים'!$F:$F,C40)</f>
        <v>496.19750807568062</v>
      </c>
      <c r="I40" s="9">
        <f>SUMIFS('3️⃣ תשלומי ב"ל'!$I:$I,'3️⃣ תשלומי ב"ל'!$B:$B,A40)</f>
        <v>2761</v>
      </c>
      <c r="J40" s="9"/>
      <c r="K40" s="11" t="s">
        <v>265</v>
      </c>
      <c r="L40" s="9" t="s">
        <v>313</v>
      </c>
    </row>
    <row r="41" spans="1:12" ht="15" hidden="1" x14ac:dyDescent="0.2">
      <c r="A41" s="9" t="s">
        <v>106</v>
      </c>
      <c r="B41" s="9" t="s">
        <v>70</v>
      </c>
      <c r="C41" s="9" t="s">
        <v>271</v>
      </c>
      <c r="D41" s="10">
        <f>COUNTIFS('2️⃣ תקופות מילואים'!$B:$B,A41,'2️⃣ תקופות מילואים'!$F:$F,C41)</f>
        <v>2</v>
      </c>
      <c r="E41" s="10">
        <f>SUMIFS('2️⃣ תקופות מילואים'!$G:$G,'2️⃣ תקופות מילואים'!$B:$B,A41,'2️⃣ תקופות מילואים'!$F:$F,C41)</f>
        <v>8</v>
      </c>
      <c r="F41" s="10">
        <f>SUMIFS('2️⃣ תקופות מילואים'!$H:$H,'2️⃣ תקופות מילואים'!$B:$B,A41,'2️⃣ תקופות מילואים'!$F:$F,C41)</f>
        <v>8</v>
      </c>
      <c r="G41" s="9">
        <f>SUMIFS('2️⃣ תקופות מילואים'!$I:$I,'2️⃣ תקופות מילואים'!$B:$B,A41,'2️⃣ תקופות מילואים'!$F:$F,C41)+SUMIFS('2️⃣ תקופות מילואים'!$J:$J,'2️⃣ תקופות מילואים'!$B:$B,A41,'2️⃣ תקופות מילואים'!$F:$F,C41)+SUMIFS('2️⃣ תקופות מילואים'!$K:$K,'2️⃣ תקופות מילואים'!$B:$B,A41,'2️⃣ תקופות מילואים'!$F:$F,C41)</f>
        <v>0</v>
      </c>
      <c r="H41" s="9">
        <f>SUMIFS('2️⃣ תקופות מילואים'!$P:$P,'2️⃣ תקופות מילואים'!$B:$B,A41,'2️⃣ תקופות מילואים'!$F:$F,C41)</f>
        <v>1323.1933548684817</v>
      </c>
      <c r="I41" s="9">
        <f>SUMIFS('3️⃣ תשלומי ב"ל'!$I:$I,'3️⃣ תשלומי ב"ל'!$B:$B,A41)</f>
        <v>2761</v>
      </c>
      <c r="J41" s="9"/>
      <c r="K41" s="11" t="s">
        <v>265</v>
      </c>
      <c r="L41" s="9" t="s">
        <v>314</v>
      </c>
    </row>
    <row r="42" spans="1:12" ht="15" hidden="1" x14ac:dyDescent="0.2">
      <c r="A42" s="9" t="s">
        <v>106</v>
      </c>
      <c r="B42" s="9" t="s">
        <v>70</v>
      </c>
      <c r="C42" s="9" t="s">
        <v>273</v>
      </c>
      <c r="D42" s="10">
        <f>COUNTIFS('2️⃣ תקופות מילואים'!$B:$B,A42,'2️⃣ תקופות מילואים'!$F:$F,C42)</f>
        <v>1</v>
      </c>
      <c r="E42" s="10">
        <f>SUMIFS('2️⃣ תקופות מילואים'!$G:$G,'2️⃣ תקופות מילואים'!$B:$B,A42,'2️⃣ תקופות מילואים'!$F:$F,C42)</f>
        <v>5</v>
      </c>
      <c r="F42" s="10">
        <f>SUMIFS('2️⃣ תקופות מילואים'!$H:$H,'2️⃣ תקופות מילואים'!$B:$B,A42,'2️⃣ תקופות מילואים'!$F:$F,C42)</f>
        <v>3</v>
      </c>
      <c r="G42" s="9">
        <f>SUMIFS('2️⃣ תקופות מילואים'!$I:$I,'2️⃣ תקופות מילואים'!$B:$B,A42,'2️⃣ תקופות מילואים'!$F:$F,C42)+SUMIFS('2️⃣ תקופות מילואים'!$J:$J,'2️⃣ תקופות מילואים'!$B:$B,A42,'2️⃣ תקופות מילואים'!$F:$F,C42)+SUMIFS('2️⃣ תקופות מילואים'!$K:$K,'2️⃣ תקופות מילואים'!$B:$B,A42,'2️⃣ תקופות מילואים'!$F:$F,C42)</f>
        <v>2</v>
      </c>
      <c r="H42" s="9">
        <f>SUMIFS('2️⃣ תקופות מילואים'!$P:$P,'2️⃣ תקופות מילואים'!$B:$B,A42,'2️⃣ תקופות מילואים'!$F:$F,C42)</f>
        <v>2150.1892016612828</v>
      </c>
      <c r="I42" s="9">
        <f>SUMIFS('3️⃣ תשלומי ב"ל'!$I:$I,'3️⃣ תשלומי ב"ל'!$B:$B,A42)</f>
        <v>2761</v>
      </c>
      <c r="J42" s="9"/>
      <c r="K42" s="11" t="s">
        <v>265</v>
      </c>
      <c r="L42" s="9" t="s">
        <v>315</v>
      </c>
    </row>
    <row r="43" spans="1:12" ht="15" hidden="1" x14ac:dyDescent="0.2">
      <c r="A43" s="9" t="s">
        <v>106</v>
      </c>
      <c r="B43" s="9" t="s">
        <v>70</v>
      </c>
      <c r="C43" s="9" t="s">
        <v>275</v>
      </c>
      <c r="D43" s="10">
        <f>COUNTIFS('2️⃣ תקופות מילואים'!$B:$B,A43,'2️⃣ תקופות מילואים'!$F:$F,C43)</f>
        <v>1</v>
      </c>
      <c r="E43" s="10">
        <f>SUMIFS('2️⃣ תקופות מילואים'!$G:$G,'2️⃣ תקופות מילואים'!$B:$B,A43,'2️⃣ תקופות מילואים'!$F:$F,C43)</f>
        <v>1</v>
      </c>
      <c r="F43" s="10">
        <f>SUMIFS('2️⃣ תקופות מילואים'!$H:$H,'2️⃣ תקופות מילואים'!$B:$B,A43,'2️⃣ תקופות מילואים'!$F:$F,C43)</f>
        <v>1</v>
      </c>
      <c r="G43" s="9">
        <f>SUMIFS('2️⃣ תקופות מילואים'!$I:$I,'2️⃣ תקופות מילואים'!$B:$B,A43,'2️⃣ תקופות מילואים'!$F:$F,C43)+SUMIFS('2️⃣ תקופות מילואים'!$J:$J,'2️⃣ תקופות מילואים'!$B:$B,A43,'2️⃣ תקופות מילואים'!$F:$F,C43)+SUMIFS('2️⃣ תקופות מילואים'!$K:$K,'2️⃣ תקופות מילואים'!$B:$B,A43,'2️⃣ תקופות מילואים'!$F:$F,C43)</f>
        <v>0</v>
      </c>
      <c r="H43" s="9">
        <f>SUMIFS('2️⃣ תקופות מילואים'!$P:$P,'2️⃣ תקופות מילואים'!$B:$B,A43,'2️⃣ תקופות מילואים'!$F:$F,C43)</f>
        <v>165.39916935856021</v>
      </c>
      <c r="I43" s="9">
        <f>SUMIFS('3️⃣ תשלומי ב"ל'!$I:$I,'3️⃣ תשלומי ב"ל'!$B:$B,A43)</f>
        <v>2761</v>
      </c>
      <c r="J43" s="9"/>
      <c r="K43" s="11" t="s">
        <v>265</v>
      </c>
      <c r="L43" s="9" t="s">
        <v>316</v>
      </c>
    </row>
    <row r="44" spans="1:12" ht="15" hidden="1" x14ac:dyDescent="0.2">
      <c r="A44" s="9" t="s">
        <v>106</v>
      </c>
      <c r="B44" s="9" t="s">
        <v>70</v>
      </c>
      <c r="C44" s="9" t="s">
        <v>284</v>
      </c>
      <c r="D44" s="10">
        <f>COUNTIFS('2️⃣ תקופות מילואים'!$B:$B,A44,'2️⃣ תקופות מילואים'!$F:$F,C44)</f>
        <v>2</v>
      </c>
      <c r="E44" s="10">
        <f>SUMIFS('2️⃣ תקופות מילואים'!$G:$G,'2️⃣ תקופות מילואים'!$B:$B,A44,'2️⃣ תקופות מילואים'!$F:$F,C44)</f>
        <v>6</v>
      </c>
      <c r="F44" s="10">
        <f>SUMIFS('2️⃣ תקופות מילואים'!$H:$H,'2️⃣ תקופות מילואים'!$B:$B,A44,'2️⃣ תקופות מילואים'!$F:$F,C44)</f>
        <v>6</v>
      </c>
      <c r="G44" s="9">
        <f>SUMIFS('2️⃣ תקופות מילואים'!$I:$I,'2️⃣ תקופות מילואים'!$B:$B,A44,'2️⃣ תקופות מילואים'!$F:$F,C44)+SUMIFS('2️⃣ תקופות מילואים'!$J:$J,'2️⃣ תקופות מילואים'!$B:$B,A44,'2️⃣ תקופות מילואים'!$F:$F,C44)+SUMIFS('2️⃣ תקופות מילואים'!$K:$K,'2️⃣ תקופות מילואים'!$B:$B,A44,'2️⃣ תקופות מילואים'!$F:$F,C44)</f>
        <v>0</v>
      </c>
      <c r="H44" s="9">
        <f>SUMIFS('2️⃣ תקופות מילואים'!$P:$P,'2️⃣ תקופות מילואים'!$B:$B,A44,'2️⃣ תקופות מילואים'!$F:$F,C44)</f>
        <v>992.39501615136123</v>
      </c>
      <c r="I44" s="9">
        <f>SUMIFS('3️⃣ תשלומי ב"ל'!$I:$I,'3️⃣ תשלומי ב"ל'!$B:$B,A44)</f>
        <v>2761</v>
      </c>
      <c r="J44" s="9"/>
      <c r="K44" s="11" t="s">
        <v>265</v>
      </c>
      <c r="L44" s="9" t="s">
        <v>317</v>
      </c>
    </row>
    <row r="45" spans="1:12" ht="15" x14ac:dyDescent="0.2">
      <c r="A45" s="9" t="s">
        <v>109</v>
      </c>
      <c r="B45" s="9" t="s">
        <v>70</v>
      </c>
      <c r="C45" s="9" t="s">
        <v>269</v>
      </c>
      <c r="D45" s="10">
        <f>COUNTIFS('2️⃣ תקופות מילואים'!$B:$B,A45,'2️⃣ תקופות מילואים'!$F:$F,C45)</f>
        <v>2</v>
      </c>
      <c r="E45" s="10">
        <f>SUMIFS('2️⃣ תקופות מילואים'!$G:$G,'2️⃣ תקופות מילואים'!$B:$B,A45,'2️⃣ תקופות מילואים'!$F:$F,C45)</f>
        <v>2</v>
      </c>
      <c r="F45" s="10">
        <f>SUMIFS('2️⃣ תקופות מילואים'!$H:$H,'2️⃣ תקופות מילואים'!$B:$B,A45,'2️⃣ תקופות מילואים'!$F:$F,C45)</f>
        <v>2</v>
      </c>
      <c r="G45" s="9">
        <f>SUMIFS('2️⃣ תקופות מילואים'!$I:$I,'2️⃣ תקופות מילואים'!$B:$B,A45,'2️⃣ תקופות מילואים'!$F:$F,C45)+SUMIFS('2️⃣ תקופות מילואים'!$J:$J,'2️⃣ תקופות מילואים'!$B:$B,A45,'2️⃣ תקופות מילואים'!$F:$F,C45)+SUMIFS('2️⃣ תקופות מילואים'!$K:$K,'2️⃣ תקופות מילואים'!$B:$B,A45,'2️⃣ תקופות מילואים'!$F:$F,C45)</f>
        <v>0</v>
      </c>
      <c r="H45" s="9">
        <f>SUMIFS('2️⃣ תקופות מילואים'!$P:$P,'2️⃣ תקופות מילואים'!$B:$B,A45,'2️⃣ תקופות מילואים'!$F:$F,C45)</f>
        <v>347.42962621135212</v>
      </c>
      <c r="I45" s="9">
        <f>SUMIFS('3️⃣ תשלומי ב"ל'!$I:$I,'3️⃣ תשלומי ב"ל'!$B:$B,A45)</f>
        <v>81834</v>
      </c>
      <c r="J45" s="9"/>
      <c r="K45" s="11" t="s">
        <v>265</v>
      </c>
      <c r="L45" s="9" t="s">
        <v>318</v>
      </c>
    </row>
    <row r="46" spans="1:12" ht="15" hidden="1" x14ac:dyDescent="0.2">
      <c r="A46" s="9" t="s">
        <v>109</v>
      </c>
      <c r="B46" s="9" t="s">
        <v>70</v>
      </c>
      <c r="C46" s="9" t="s">
        <v>293</v>
      </c>
      <c r="D46" s="10">
        <f>COUNTIFS('2️⃣ תקופות מילואים'!$B:$B,A46,'2️⃣ תקופות מילואים'!$F:$F,C46)</f>
        <v>1</v>
      </c>
      <c r="E46" s="10">
        <f>SUMIFS('2️⃣ תקופות מילואים'!$G:$G,'2️⃣ תקופות מילואים'!$B:$B,A46,'2️⃣ תקופות מילואים'!$F:$F,C46)</f>
        <v>5</v>
      </c>
      <c r="F46" s="10">
        <f>SUMIFS('2️⃣ תקופות מילואים'!$H:$H,'2️⃣ תקופות מילואים'!$B:$B,A46,'2️⃣ תקופות מילואים'!$F:$F,C46)</f>
        <v>5</v>
      </c>
      <c r="G46" s="9">
        <f>SUMIFS('2️⃣ תקופות מילואים'!$I:$I,'2️⃣ תקופות מילואים'!$B:$B,A46,'2️⃣ תקופות מילואים'!$F:$F,C46)+SUMIFS('2️⃣ תקופות מילואים'!$J:$J,'2️⃣ תקופות מילואים'!$B:$B,A46,'2️⃣ תקופות מילואים'!$F:$F,C46)+SUMIFS('2️⃣ תקופות מילואים'!$K:$K,'2️⃣ תקופות מילואים'!$B:$B,A46,'2️⃣ תקופות מילואים'!$F:$F,C46)</f>
        <v>0</v>
      </c>
      <c r="H46" s="9">
        <f>SUMIFS('2️⃣ תקופות מילואים'!$P:$P,'2️⃣ תקופות מילואים'!$B:$B,A46,'2️⃣ תקופות מילואים'!$F:$F,C46)</f>
        <v>868.57406552838029</v>
      </c>
      <c r="I46" s="9">
        <f>SUMIFS('3️⃣ תשלומי ב"ל'!$I:$I,'3️⃣ תשלומי ב"ל'!$B:$B,A46)</f>
        <v>81834</v>
      </c>
      <c r="J46" s="9"/>
      <c r="K46" s="11" t="s">
        <v>265</v>
      </c>
      <c r="L46" s="9" t="s">
        <v>319</v>
      </c>
    </row>
    <row r="47" spans="1:12" ht="15" hidden="1" x14ac:dyDescent="0.2">
      <c r="A47" s="9" t="s">
        <v>109</v>
      </c>
      <c r="B47" s="9" t="s">
        <v>70</v>
      </c>
      <c r="C47" s="9" t="s">
        <v>264</v>
      </c>
      <c r="D47" s="10">
        <f>COUNTIFS('2️⃣ תקופות מילואים'!$B:$B,A47,'2️⃣ תקופות מילואים'!$F:$F,C47)</f>
        <v>2</v>
      </c>
      <c r="E47" s="10">
        <f>SUMIFS('2️⃣ תקופות מילואים'!$G:$G,'2️⃣ תקופות מילואים'!$B:$B,A47,'2️⃣ תקופות מילואים'!$F:$F,C47)</f>
        <v>3</v>
      </c>
      <c r="F47" s="10">
        <f>SUMIFS('2️⃣ תקופות מילואים'!$H:$H,'2️⃣ תקופות מילואים'!$B:$B,A47,'2️⃣ תקופות מילואים'!$F:$F,C47)</f>
        <v>3</v>
      </c>
      <c r="G47" s="9">
        <f>SUMIFS('2️⃣ תקופות מילואים'!$I:$I,'2️⃣ תקופות מילואים'!$B:$B,A47,'2️⃣ תקופות מילואים'!$F:$F,C47)+SUMIFS('2️⃣ תקופות מילואים'!$J:$J,'2️⃣ תקופות מילואים'!$B:$B,A47,'2️⃣ תקופות מילואים'!$F:$F,C47)+SUMIFS('2️⃣ תקופות מילואים'!$K:$K,'2️⃣ תקופות מילואים'!$B:$B,A47,'2️⃣ תקופות מילואים'!$F:$F,C47)</f>
        <v>0</v>
      </c>
      <c r="H47" s="9">
        <f>SUMIFS('2️⃣ תקופות מילואים'!$P:$P,'2️⃣ תקופות מילואים'!$B:$B,A47,'2️⃣ תקופות מילואים'!$F:$F,C47)</f>
        <v>521.14443931702817</v>
      </c>
      <c r="I47" s="9">
        <f>SUMIFS('3️⃣ תשלומי ב"ל'!$I:$I,'3️⃣ תשלומי ב"ל'!$B:$B,A47)</f>
        <v>81834</v>
      </c>
      <c r="J47" s="9"/>
      <c r="K47" s="11" t="s">
        <v>265</v>
      </c>
      <c r="L47" s="9" t="s">
        <v>320</v>
      </c>
    </row>
    <row r="48" spans="1:12" ht="15" hidden="1" x14ac:dyDescent="0.2">
      <c r="A48" s="9" t="s">
        <v>109</v>
      </c>
      <c r="B48" s="9" t="s">
        <v>70</v>
      </c>
      <c r="C48" s="9" t="s">
        <v>281</v>
      </c>
      <c r="D48" s="10">
        <f>COUNTIFS('2️⃣ תקופות מילואים'!$B:$B,A48,'2️⃣ תקופות מילואים'!$F:$F,C48)</f>
        <v>2</v>
      </c>
      <c r="E48" s="10">
        <f>SUMIFS('2️⃣ תקופות מילואים'!$G:$G,'2️⃣ תקופות מילואים'!$B:$B,A48,'2️⃣ תקופות מילואים'!$F:$F,C48)</f>
        <v>2</v>
      </c>
      <c r="F48" s="10">
        <f>SUMIFS('2️⃣ תקופות מילואים'!$H:$H,'2️⃣ תקופות מילואים'!$B:$B,A48,'2️⃣ תקופות מילואים'!$F:$F,C48)</f>
        <v>2</v>
      </c>
      <c r="G48" s="9">
        <f>SUMIFS('2️⃣ תקופות מילואים'!$I:$I,'2️⃣ תקופות מילואים'!$B:$B,A48,'2️⃣ תקופות מילואים'!$F:$F,C48)+SUMIFS('2️⃣ תקופות מילואים'!$J:$J,'2️⃣ תקופות מילואים'!$B:$B,A48,'2️⃣ תקופות מילואים'!$F:$F,C48)+SUMIFS('2️⃣ תקופות מילואים'!$K:$K,'2️⃣ תקופות מילואים'!$B:$B,A48,'2️⃣ תקופות מילואים'!$F:$F,C48)</f>
        <v>0</v>
      </c>
      <c r="H48" s="9">
        <f>SUMIFS('2️⃣ תקופות מילואים'!$P:$P,'2️⃣ תקופות מילואים'!$B:$B,A48,'2️⃣ תקופות מילואים'!$F:$F,C48)</f>
        <v>347.42962621135212</v>
      </c>
      <c r="I48" s="9">
        <f>SUMIFS('3️⃣ תשלומי ב"ל'!$I:$I,'3️⃣ תשלומי ב"ל'!$B:$B,A48)</f>
        <v>81834</v>
      </c>
      <c r="J48" s="9"/>
      <c r="K48" s="11" t="s">
        <v>265</v>
      </c>
      <c r="L48" s="9" t="s">
        <v>321</v>
      </c>
    </row>
    <row r="49" spans="1:12" ht="15" hidden="1" x14ac:dyDescent="0.2">
      <c r="A49" s="9" t="s">
        <v>109</v>
      </c>
      <c r="B49" s="9" t="s">
        <v>70</v>
      </c>
      <c r="C49" s="9" t="s">
        <v>271</v>
      </c>
      <c r="D49" s="10">
        <f>COUNTIFS('2️⃣ תקופות מילואים'!$B:$B,A49,'2️⃣ תקופות מילואים'!$F:$F,C49)</f>
        <v>4</v>
      </c>
      <c r="E49" s="10">
        <f>SUMIFS('2️⃣ תקופות מילואים'!$G:$G,'2️⃣ תקופות מילואים'!$B:$B,A49,'2️⃣ תקופות מילואים'!$F:$F,C49)</f>
        <v>133</v>
      </c>
      <c r="F49" s="10">
        <f>SUMIFS('2️⃣ תקופות מילואים'!$H:$H,'2️⃣ תקופות מילואים'!$B:$B,A49,'2️⃣ תקופות מילואים'!$F:$F,C49)</f>
        <v>94</v>
      </c>
      <c r="G49" s="9">
        <f>SUMIFS('2️⃣ תקופות מילואים'!$I:$I,'2️⃣ תקופות מילואים'!$B:$B,A49,'2️⃣ תקופות מילואים'!$F:$F,C49)+SUMIFS('2️⃣ תקופות מילואים'!$J:$J,'2️⃣ תקופות מילואים'!$B:$B,A49,'2️⃣ תקופות מילואים'!$F:$F,C49)+SUMIFS('2️⃣ תקופות מילואים'!$K:$K,'2️⃣ תקופות מילואים'!$B:$B,A49,'2️⃣ תקופות מילואים'!$F:$F,C49)</f>
        <v>39</v>
      </c>
      <c r="H49" s="9">
        <f>SUMIFS('2️⃣ תקופות מילואים'!$P:$P,'2️⃣ תקופות מילואים'!$B:$B,A49,'2️⃣ תקופות מילואים'!$F:$F,C49)</f>
        <v>50203.580987540372</v>
      </c>
      <c r="I49" s="9">
        <f>SUMIFS('3️⃣ תשלומי ב"ל'!$I:$I,'3️⃣ תשלומי ב"ל'!$B:$B,A49)</f>
        <v>81834</v>
      </c>
      <c r="J49" s="9"/>
      <c r="K49" s="11" t="s">
        <v>265</v>
      </c>
      <c r="L49" s="9" t="s">
        <v>322</v>
      </c>
    </row>
    <row r="50" spans="1:12" ht="15" x14ac:dyDescent="0.2">
      <c r="A50" s="9" t="s">
        <v>112</v>
      </c>
      <c r="B50" s="9" t="s">
        <v>70</v>
      </c>
      <c r="C50" s="9" t="s">
        <v>269</v>
      </c>
      <c r="D50" s="10">
        <f>COUNTIFS('2️⃣ תקופות מילואים'!$B:$B,A50,'2️⃣ תקופות מילואים'!$F:$F,C50)</f>
        <v>2</v>
      </c>
      <c r="E50" s="10">
        <f>SUMIFS('2️⃣ תקופות מילואים'!$G:$G,'2️⃣ תקופות מילואים'!$B:$B,A50,'2️⃣ תקופות מילואים'!$F:$F,C50)</f>
        <v>3</v>
      </c>
      <c r="F50" s="10">
        <f>SUMIFS('2️⃣ תקופות מילואים'!$H:$H,'2️⃣ תקופות מילואים'!$B:$B,A50,'2️⃣ תקופות מילואים'!$F:$F,C50)</f>
        <v>3</v>
      </c>
      <c r="G50" s="9">
        <f>SUMIFS('2️⃣ תקופות מילואים'!$I:$I,'2️⃣ תקופות מילואים'!$B:$B,A50,'2️⃣ תקופות מילואים'!$F:$F,C50)+SUMIFS('2️⃣ תקופות מילואים'!$J:$J,'2️⃣ תקופות מילואים'!$B:$B,A50,'2️⃣ תקופות מילואים'!$F:$F,C50)+SUMIFS('2️⃣ תקופות מילואים'!$K:$K,'2️⃣ תקופות מילואים'!$B:$B,A50,'2️⃣ תקופות מילואים'!$F:$F,C50)</f>
        <v>0</v>
      </c>
      <c r="H50" s="9">
        <f>SUMIFS('2️⃣ תקופות מילואים'!$P:$P,'2️⃣ תקופות מילואים'!$B:$B,A50,'2️⃣ תקופות מילואים'!$F:$F,C50)</f>
        <v>557.91416705122288</v>
      </c>
      <c r="I50" s="9">
        <f>SUMIFS('3️⃣ תשלומי ב"ל'!$I:$I,'3️⃣ תשלומי ב"ל'!$B:$B,A50)</f>
        <v>307</v>
      </c>
      <c r="J50" s="9"/>
      <c r="K50" s="12" t="s">
        <v>278</v>
      </c>
      <c r="L50" s="9" t="s">
        <v>323</v>
      </c>
    </row>
    <row r="51" spans="1:12" ht="15" hidden="1" x14ac:dyDescent="0.2">
      <c r="A51" s="9" t="s">
        <v>112</v>
      </c>
      <c r="B51" s="9" t="s">
        <v>70</v>
      </c>
      <c r="C51" s="9" t="s">
        <v>293</v>
      </c>
      <c r="D51" s="10">
        <f>COUNTIFS('2️⃣ תקופות מילואים'!$B:$B,A51,'2️⃣ תקופות מילואים'!$F:$F,C51)</f>
        <v>2</v>
      </c>
      <c r="E51" s="10">
        <f>SUMIFS('2️⃣ תקופות מילואים'!$G:$G,'2️⃣ תקופות מילואים'!$B:$B,A51,'2️⃣ תקופות מילואים'!$F:$F,C51)</f>
        <v>2</v>
      </c>
      <c r="F51" s="10">
        <f>SUMIFS('2️⃣ תקופות מילואים'!$H:$H,'2️⃣ תקופות מילואים'!$B:$B,A51,'2️⃣ תקופות מילואים'!$F:$F,C51)</f>
        <v>1</v>
      </c>
      <c r="G51" s="9">
        <f>SUMIFS('2️⃣ תקופות מילואים'!$I:$I,'2️⃣ תקופות מילואים'!$B:$B,A51,'2️⃣ תקופות מילואים'!$F:$F,C51)+SUMIFS('2️⃣ תקופות מילואים'!$J:$J,'2️⃣ תקופות מילואים'!$B:$B,A51,'2️⃣ תקופות מילואים'!$F:$F,C51)+SUMIFS('2️⃣ תקופות מילואים'!$K:$K,'2️⃣ תקופות מילואים'!$B:$B,A51,'2️⃣ תקופות מילואים'!$F:$F,C51)</f>
        <v>1</v>
      </c>
      <c r="H51" s="9">
        <f>SUMIFS('2️⃣ תקופות מילואים'!$P:$P,'2️⃣ תקופות מילואים'!$B:$B,A51,'2️⃣ תקופות מילואים'!$F:$F,C51)</f>
        <v>1115.8283341024458</v>
      </c>
      <c r="I51" s="9">
        <f>SUMIFS('3️⃣ תשלומי ב"ל'!$I:$I,'3️⃣ תשלומי ב"ל'!$B:$B,A51)</f>
        <v>307</v>
      </c>
      <c r="J51" s="9"/>
      <c r="K51" s="11" t="s">
        <v>265</v>
      </c>
      <c r="L51" s="9" t="s">
        <v>324</v>
      </c>
    </row>
    <row r="52" spans="1:12" ht="15" hidden="1" x14ac:dyDescent="0.2">
      <c r="A52" s="9" t="s">
        <v>112</v>
      </c>
      <c r="B52" s="9" t="s">
        <v>70</v>
      </c>
      <c r="C52" s="9" t="s">
        <v>264</v>
      </c>
      <c r="D52" s="10">
        <f>COUNTIFS('2️⃣ תקופות מילואים'!$B:$B,A52,'2️⃣ תקופות מילואים'!$F:$F,C52)</f>
        <v>3</v>
      </c>
      <c r="E52" s="10">
        <f>SUMIFS('2️⃣ תקופות מילואים'!$G:$G,'2️⃣ תקופות מילואים'!$B:$B,A52,'2️⃣ תקופות מילואים'!$F:$F,C52)</f>
        <v>4</v>
      </c>
      <c r="F52" s="10">
        <f>SUMIFS('2️⃣ תקופות מילואים'!$H:$H,'2️⃣ תקופות מילואים'!$B:$B,A52,'2️⃣ תקופות מילואים'!$F:$F,C52)</f>
        <v>4</v>
      </c>
      <c r="G52" s="9">
        <f>SUMIFS('2️⃣ תקופות מילואים'!$I:$I,'2️⃣ תקופות מילואים'!$B:$B,A52,'2️⃣ תקופות מילואים'!$F:$F,C52)+SUMIFS('2️⃣ תקופות מילואים'!$J:$J,'2️⃣ תקופות מילואים'!$B:$B,A52,'2️⃣ תקופות מילואים'!$F:$F,C52)+SUMIFS('2️⃣ תקופות מילואים'!$K:$K,'2️⃣ תקופות מילואים'!$B:$B,A52,'2️⃣ תקופות מילואים'!$F:$F,C52)</f>
        <v>0</v>
      </c>
      <c r="H52" s="9">
        <f>SUMIFS('2️⃣ תקופות מילואים'!$P:$P,'2️⃣ תקופות מילואים'!$B:$B,A52,'2️⃣ תקופות מילואים'!$F:$F,C52)</f>
        <v>743.88555606829721</v>
      </c>
      <c r="I52" s="9">
        <f>SUMIFS('3️⃣ תשלומי ב"ל'!$I:$I,'3️⃣ תשלומי ב"ל'!$B:$B,A52)</f>
        <v>307</v>
      </c>
      <c r="J52" s="9"/>
      <c r="K52" s="11" t="s">
        <v>265</v>
      </c>
      <c r="L52" s="9" t="s">
        <v>325</v>
      </c>
    </row>
    <row r="53" spans="1:12" ht="15" hidden="1" x14ac:dyDescent="0.2">
      <c r="A53" s="9" t="s">
        <v>112</v>
      </c>
      <c r="B53" s="9" t="s">
        <v>70</v>
      </c>
      <c r="C53" s="9" t="s">
        <v>281</v>
      </c>
      <c r="D53" s="10">
        <f>COUNTIFS('2️⃣ תקופות מילואים'!$B:$B,A53,'2️⃣ תקופות מילואים'!$F:$F,C53)</f>
        <v>2</v>
      </c>
      <c r="E53" s="10">
        <f>SUMIFS('2️⃣ תקופות מילואים'!$G:$G,'2️⃣ תקופות מילואים'!$B:$B,A53,'2️⃣ תקופות מילואים'!$F:$F,C53)</f>
        <v>2</v>
      </c>
      <c r="F53" s="10">
        <f>SUMIFS('2️⃣ תקופות מילואים'!$H:$H,'2️⃣ תקופות מילואים'!$B:$B,A53,'2️⃣ תקופות מילואים'!$F:$F,C53)</f>
        <v>1</v>
      </c>
      <c r="G53" s="9">
        <f>SUMIFS('2️⃣ תקופות מילואים'!$I:$I,'2️⃣ תקופות מילואים'!$B:$B,A53,'2️⃣ תקופות מילואים'!$F:$F,C53)+SUMIFS('2️⃣ תקופות מילואים'!$J:$J,'2️⃣ תקופות מילואים'!$B:$B,A53,'2️⃣ תקופות מילואים'!$F:$F,C53)+SUMIFS('2️⃣ תקופות מילואים'!$K:$K,'2️⃣ תקופות מילואים'!$B:$B,A53,'2️⃣ תקופות מילואים'!$F:$F,C53)</f>
        <v>1</v>
      </c>
      <c r="H53" s="9">
        <f>SUMIFS('2️⃣ תקופות מילואים'!$P:$P,'2️⃣ תקופות מילואים'!$B:$B,A53,'2️⃣ תקופות מילואים'!$F:$F,C53)</f>
        <v>1115.8283341024458</v>
      </c>
      <c r="I53" s="9">
        <f>SUMIFS('3️⃣ תשלומי ב"ל'!$I:$I,'3️⃣ תשלומי ב"ל'!$B:$B,A53)</f>
        <v>307</v>
      </c>
      <c r="J53" s="9"/>
      <c r="K53" s="11" t="s">
        <v>265</v>
      </c>
      <c r="L53" s="9" t="s">
        <v>326</v>
      </c>
    </row>
    <row r="54" spans="1:12" ht="15" hidden="1" x14ac:dyDescent="0.2">
      <c r="A54" s="9" t="s">
        <v>112</v>
      </c>
      <c r="B54" s="9" t="s">
        <v>70</v>
      </c>
      <c r="C54" s="9" t="s">
        <v>271</v>
      </c>
      <c r="D54" s="10">
        <f>COUNTIFS('2️⃣ תקופות מילואים'!$B:$B,A54,'2️⃣ תקופות מילואים'!$F:$F,C54)</f>
        <v>4</v>
      </c>
      <c r="E54" s="10">
        <f>SUMIFS('2️⃣ תקופות מילואים'!$G:$G,'2️⃣ תקופות מילואים'!$B:$B,A54,'2️⃣ תקופות מילואים'!$F:$F,C54)</f>
        <v>12</v>
      </c>
      <c r="F54" s="10">
        <f>SUMIFS('2️⃣ תקופות מילואים'!$H:$H,'2️⃣ תקופות מילואים'!$B:$B,A54,'2️⃣ תקופות מילואים'!$F:$F,C54)</f>
        <v>10</v>
      </c>
      <c r="G54" s="9">
        <f>SUMIFS('2️⃣ תקופות מילואים'!$I:$I,'2️⃣ תקופות מילואים'!$B:$B,A54,'2️⃣ תקופות מילואים'!$F:$F,C54)+SUMIFS('2️⃣ תקופות מילואים'!$J:$J,'2️⃣ תקופות מילואים'!$B:$B,A54,'2️⃣ תקופות מילואים'!$F:$F,C54)+SUMIFS('2️⃣ תקופות מילואים'!$K:$K,'2️⃣ תקופות מילואים'!$B:$B,A54,'2️⃣ תקופות מילואים'!$F:$F,C54)</f>
        <v>2</v>
      </c>
      <c r="H54" s="9">
        <f>SUMIFS('2️⃣ תקופות מילואים'!$P:$P,'2️⃣ תקופות מילואים'!$B:$B,A54,'2️⃣ תקופות מילואים'!$F:$F,C54)</f>
        <v>3719.4277803414857</v>
      </c>
      <c r="I54" s="9">
        <f>SUMIFS('3️⃣ תשלומי ב"ל'!$I:$I,'3️⃣ תשלומי ב"ל'!$B:$B,A54)</f>
        <v>307</v>
      </c>
      <c r="J54" s="9"/>
      <c r="K54" s="11" t="s">
        <v>265</v>
      </c>
      <c r="L54" s="9" t="s">
        <v>327</v>
      </c>
    </row>
    <row r="55" spans="1:12" ht="15" hidden="1" x14ac:dyDescent="0.2">
      <c r="A55" s="9" t="s">
        <v>112</v>
      </c>
      <c r="B55" s="9" t="s">
        <v>70</v>
      </c>
      <c r="C55" s="9" t="s">
        <v>275</v>
      </c>
      <c r="D55" s="10">
        <f>COUNTIFS('2️⃣ תקופות מילואים'!$B:$B,A55,'2️⃣ תקופות מילואים'!$F:$F,C55)</f>
        <v>1</v>
      </c>
      <c r="E55" s="10">
        <f>SUMIFS('2️⃣ תקופות מילואים'!$G:$G,'2️⃣ תקופות מילואים'!$B:$B,A55,'2️⃣ תקופות מילואים'!$F:$F,C55)</f>
        <v>1</v>
      </c>
      <c r="F55" s="10">
        <f>SUMIFS('2️⃣ תקופות מילואים'!$H:$H,'2️⃣ תקופות מילואים'!$B:$B,A55,'2️⃣ תקופות מילואים'!$F:$F,C55)</f>
        <v>1</v>
      </c>
      <c r="G55" s="9">
        <f>SUMIFS('2️⃣ תקופות מילואים'!$I:$I,'2️⃣ תקופות מילואים'!$B:$B,A55,'2️⃣ תקופות מילואים'!$F:$F,C55)+SUMIFS('2️⃣ תקופות מילואים'!$J:$J,'2️⃣ תקופות מילואים'!$B:$B,A55,'2️⃣ תקופות מילואים'!$F:$F,C55)+SUMIFS('2️⃣ תקופות מילואים'!$K:$K,'2️⃣ תקופות מילואים'!$B:$B,A55,'2️⃣ תקופות מילואים'!$F:$F,C55)</f>
        <v>0</v>
      </c>
      <c r="H55" s="9">
        <f>SUMIFS('2️⃣ תקופות מילואים'!$P:$P,'2️⃣ תקופות מילואים'!$B:$B,A55,'2️⃣ תקופות מילואים'!$F:$F,C55)</f>
        <v>185.9713890170743</v>
      </c>
      <c r="I55" s="9">
        <f>SUMIFS('3️⃣ תשלומי ב"ל'!$I:$I,'3️⃣ תשלומי ב"ל'!$B:$B,A55)</f>
        <v>307</v>
      </c>
      <c r="J55" s="9"/>
      <c r="K55" s="11" t="s">
        <v>265</v>
      </c>
      <c r="L55" s="9" t="s">
        <v>328</v>
      </c>
    </row>
    <row r="56" spans="1:12" ht="15" hidden="1" x14ac:dyDescent="0.2">
      <c r="A56" s="9" t="s">
        <v>112</v>
      </c>
      <c r="B56" s="9" t="s">
        <v>70</v>
      </c>
      <c r="C56" s="9" t="s">
        <v>284</v>
      </c>
      <c r="D56" s="10">
        <f>COUNTIFS('2️⃣ תקופות מילואים'!$B:$B,A56,'2️⃣ תקופות מילואים'!$F:$F,C56)</f>
        <v>3</v>
      </c>
      <c r="E56" s="10">
        <f>SUMIFS('2️⃣ תקופות מילואים'!$G:$G,'2️⃣ תקופות מילואים'!$B:$B,A56,'2️⃣ תקופות מילואים'!$F:$F,C56)</f>
        <v>5</v>
      </c>
      <c r="F56" s="10">
        <f>SUMIFS('2️⃣ תקופות מילואים'!$H:$H,'2️⃣ תקופות מילואים'!$B:$B,A56,'2️⃣ תקופות מילואים'!$F:$F,C56)</f>
        <v>4</v>
      </c>
      <c r="G56" s="9">
        <f>SUMIFS('2️⃣ תקופות מילואים'!$I:$I,'2️⃣ תקופות מילואים'!$B:$B,A56,'2️⃣ תקופות מילואים'!$F:$F,C56)+SUMIFS('2️⃣ תקופות מילואים'!$J:$J,'2️⃣ תקופות מילואים'!$B:$B,A56,'2️⃣ תקופות מילואים'!$F:$F,C56)+SUMIFS('2️⃣ תקופות מילואים'!$K:$K,'2️⃣ תקופות מילואים'!$B:$B,A56,'2️⃣ תקופות מילואים'!$F:$F,C56)</f>
        <v>1</v>
      </c>
      <c r="H56" s="9">
        <f>SUMIFS('2️⃣ תקופות מילואים'!$P:$P,'2️⃣ תקופות מילואים'!$B:$B,A56,'2️⃣ תקופות מילואים'!$F:$F,C56)</f>
        <v>1673.7425011536686</v>
      </c>
      <c r="I56" s="9">
        <f>SUMIFS('3️⃣ תשלומי ב"ל'!$I:$I,'3️⃣ תשלומי ב"ל'!$B:$B,A56)</f>
        <v>307</v>
      </c>
      <c r="J56" s="9"/>
      <c r="K56" s="11" t="s">
        <v>265</v>
      </c>
      <c r="L56" s="9" t="s">
        <v>329</v>
      </c>
    </row>
    <row r="57" spans="1:12" ht="15" hidden="1" x14ac:dyDescent="0.2">
      <c r="A57" s="9" t="s">
        <v>112</v>
      </c>
      <c r="B57" s="9" t="s">
        <v>70</v>
      </c>
      <c r="C57" s="9" t="s">
        <v>267</v>
      </c>
      <c r="D57" s="10">
        <f>COUNTIFS('2️⃣ תקופות מילואים'!$B:$B,A57,'2️⃣ תקופות מילואים'!$F:$F,C57)</f>
        <v>2</v>
      </c>
      <c r="E57" s="10">
        <f>SUMIFS('2️⃣ תקופות מילואים'!$G:$G,'2️⃣ תקופות מילואים'!$B:$B,A57,'2️⃣ תקופות מילואים'!$F:$F,C57)</f>
        <v>4</v>
      </c>
      <c r="F57" s="10">
        <f>SUMIFS('2️⃣ תקופות מילואים'!$H:$H,'2️⃣ תקופות מילואים'!$B:$B,A57,'2️⃣ תקופות מילואים'!$F:$F,C57)</f>
        <v>3</v>
      </c>
      <c r="G57" s="9">
        <f>SUMIFS('2️⃣ תקופות מילואים'!$I:$I,'2️⃣ תקופות מילואים'!$B:$B,A57,'2️⃣ תקופות מילואים'!$F:$F,C57)+SUMIFS('2️⃣ תקופות מילואים'!$J:$J,'2️⃣ תקופות מילואים'!$B:$B,A57,'2️⃣ תקופות מילואים'!$F:$F,C57)+SUMIFS('2️⃣ תקופות מילואים'!$K:$K,'2️⃣ תקופות מילואים'!$B:$B,A57,'2️⃣ תקופות מילואים'!$F:$F,C57)</f>
        <v>1</v>
      </c>
      <c r="H57" s="9">
        <f>SUMIFS('2️⃣ תקופות מילואים'!$P:$P,'2️⃣ תקופות מילואים'!$B:$B,A57,'2️⃣ תקופות מילואים'!$F:$F,C57)</f>
        <v>1487.7711121365942</v>
      </c>
      <c r="I57" s="9">
        <f>SUMIFS('3️⃣ תשלומי ב"ל'!$I:$I,'3️⃣ תשלומי ב"ל'!$B:$B,A57)</f>
        <v>307</v>
      </c>
      <c r="J57" s="9"/>
      <c r="K57" s="11" t="s">
        <v>265</v>
      </c>
      <c r="L57" s="9" t="s">
        <v>330</v>
      </c>
    </row>
    <row r="58" spans="1:12" ht="15" hidden="1" x14ac:dyDescent="0.2">
      <c r="A58" s="9" t="s">
        <v>114</v>
      </c>
      <c r="B58" s="9" t="s">
        <v>92</v>
      </c>
      <c r="C58" s="9" t="s">
        <v>264</v>
      </c>
      <c r="D58" s="10">
        <f>COUNTIFS('2️⃣ תקופות מילואים'!$B:$B,A58,'2️⃣ תקופות מילואים'!$F:$F,C58)</f>
        <v>1</v>
      </c>
      <c r="E58" s="10">
        <f>SUMIFS('2️⃣ תקופות מילואים'!$G:$G,'2️⃣ תקופות מילואים'!$B:$B,A58,'2️⃣ תקופות מילואים'!$F:$F,C58)</f>
        <v>3</v>
      </c>
      <c r="F58" s="10">
        <f>SUMIFS('2️⃣ תקופות מילואים'!$H:$H,'2️⃣ תקופות מילואים'!$B:$B,A58,'2️⃣ תקופות מילואים'!$F:$F,C58)</f>
        <v>3</v>
      </c>
      <c r="G58" s="9">
        <f>SUMIFS('2️⃣ תקופות מילואים'!$I:$I,'2️⃣ תקופות מילואים'!$B:$B,A58,'2️⃣ תקופות מילואים'!$F:$F,C58)+SUMIFS('2️⃣ תקופות מילואים'!$J:$J,'2️⃣ תקופות מילואים'!$B:$B,A58,'2️⃣ תקופות מילואים'!$F:$F,C58)+SUMIFS('2️⃣ תקופות מילואים'!$K:$K,'2️⃣ תקופות מילואים'!$B:$B,A58,'2️⃣ תקופות מילואים'!$F:$F,C58)</f>
        <v>0</v>
      </c>
      <c r="H58" s="9">
        <f>SUMIFS('2️⃣ תקופות מילואים'!$P:$P,'2️⃣ תקופות מילואים'!$B:$B,A58,'2️⃣ תקופות מילואים'!$F:$F,C58)</f>
        <v>548.94323950161504</v>
      </c>
      <c r="I58" s="9">
        <f>SUMIFS('3️⃣ תשלומי ב"ל'!$I:$I,'3️⃣ תשלומי ב"ל'!$B:$B,A58)</f>
        <v>0</v>
      </c>
      <c r="J58" s="9"/>
      <c r="K58" s="11" t="s">
        <v>265</v>
      </c>
      <c r="L58" s="9" t="s">
        <v>331</v>
      </c>
    </row>
    <row r="59" spans="1:12" ht="15" hidden="1" x14ac:dyDescent="0.2">
      <c r="A59" s="9" t="s">
        <v>114</v>
      </c>
      <c r="B59" s="9" t="s">
        <v>92</v>
      </c>
      <c r="C59" s="9" t="s">
        <v>273</v>
      </c>
      <c r="D59" s="10">
        <f>COUNTIFS('2️⃣ תקופות מילואים'!$B:$B,A59,'2️⃣ תקופות מילואים'!$F:$F,C59)</f>
        <v>1</v>
      </c>
      <c r="E59" s="10">
        <f>SUMIFS('2️⃣ תקופות מילואים'!$G:$G,'2️⃣ תקופות מילואים'!$B:$B,A59,'2️⃣ תקופות מילואים'!$F:$F,C59)</f>
        <v>6</v>
      </c>
      <c r="F59" s="10">
        <f>SUMIFS('2️⃣ תקופות מילואים'!$H:$H,'2️⃣ תקופות מילואים'!$B:$B,A59,'2️⃣ תקופות מילואים'!$F:$F,C59)</f>
        <v>4</v>
      </c>
      <c r="G59" s="9">
        <f>SUMIFS('2️⃣ תקופות מילואים'!$I:$I,'2️⃣ תקופות מילואים'!$B:$B,A59,'2️⃣ תקופות מילואים'!$F:$F,C59)+SUMIFS('2️⃣ תקופות מילואים'!$J:$J,'2️⃣ תקופות מילואים'!$B:$B,A59,'2️⃣ תקופות מילואים'!$F:$F,C59)+SUMIFS('2️⃣ תקופות מילואים'!$K:$K,'2️⃣ תקופות מילואים'!$B:$B,A59,'2️⃣ תקופות מילואים'!$F:$F,C59)</f>
        <v>2</v>
      </c>
      <c r="H59" s="9">
        <f>SUMIFS('2️⃣ תקופות מילואים'!$P:$P,'2️⃣ תקופות מילואים'!$B:$B,A59,'2️⃣ תקופות מילואים'!$F:$F,C59)</f>
        <v>2561.735117674204</v>
      </c>
      <c r="I59" s="9">
        <f>SUMIFS('3️⃣ תשלומי ב"ל'!$I:$I,'3️⃣ תשלומי ב"ל'!$B:$B,A59)</f>
        <v>0</v>
      </c>
      <c r="J59" s="9"/>
      <c r="K59" s="11" t="s">
        <v>265</v>
      </c>
      <c r="L59" s="9" t="s">
        <v>332</v>
      </c>
    </row>
    <row r="60" spans="1:12" ht="15" x14ac:dyDescent="0.2">
      <c r="A60" s="9" t="s">
        <v>117</v>
      </c>
      <c r="B60" s="9" t="s">
        <v>92</v>
      </c>
      <c r="C60" s="9" t="s">
        <v>269</v>
      </c>
      <c r="D60" s="10">
        <f>COUNTIFS('2️⃣ תקופות מילואים'!$B:$B,A60,'2️⃣ תקופות מילואים'!$F:$F,C60)</f>
        <v>5</v>
      </c>
      <c r="E60" s="10">
        <f>SUMIFS('2️⃣ תקופות מילואים'!$G:$G,'2️⃣ תקופות מילואים'!$B:$B,A60,'2️⃣ תקופות מילואים'!$F:$F,C60)</f>
        <v>16</v>
      </c>
      <c r="F60" s="10">
        <f>SUMIFS('2️⃣ תקופות מילואים'!$H:$H,'2️⃣ תקופות מילואים'!$B:$B,A60,'2️⃣ תקופות מילואים'!$F:$F,C60)</f>
        <v>12</v>
      </c>
      <c r="G60" s="9">
        <f>SUMIFS('2️⃣ תקופות מילואים'!$I:$I,'2️⃣ תקופות מילואים'!$B:$B,A60,'2️⃣ תקופות מילואים'!$F:$F,C60)+SUMIFS('2️⃣ תקופות מילואים'!$J:$J,'2️⃣ תקופות מילואים'!$B:$B,A60,'2️⃣ תקופות מילואים'!$F:$F,C60)+SUMIFS('2️⃣ תקופות מילואים'!$K:$K,'2️⃣ תקופות מילואים'!$B:$B,A60,'2️⃣ תקופות מילואים'!$F:$F,C60)</f>
        <v>4</v>
      </c>
      <c r="H60" s="9">
        <f>SUMIFS('2️⃣ תקופות מילואים'!$P:$P,'2️⃣ תקופות מילואים'!$B:$B,A60,'2️⃣ תקופות מילואים'!$F:$F,C60)</f>
        <v>5855.0992155053063</v>
      </c>
      <c r="I60" s="9">
        <f>SUMIFS('3️⃣ תשלומי ב"ל'!$I:$I,'3️⃣ תשלומי ב"ל'!$B:$B,A60)</f>
        <v>1795</v>
      </c>
      <c r="J60" s="9"/>
      <c r="K60" s="11" t="s">
        <v>265</v>
      </c>
      <c r="L60" s="9" t="s">
        <v>333</v>
      </c>
    </row>
    <row r="61" spans="1:12" ht="15" hidden="1" x14ac:dyDescent="0.2">
      <c r="A61" s="9" t="s">
        <v>117</v>
      </c>
      <c r="B61" s="9" t="s">
        <v>92</v>
      </c>
      <c r="C61" s="9" t="s">
        <v>293</v>
      </c>
      <c r="D61" s="10">
        <f>COUNTIFS('2️⃣ תקופות מילואים'!$B:$B,A61,'2️⃣ תקופות מילואים'!$F:$F,C61)</f>
        <v>4</v>
      </c>
      <c r="E61" s="10">
        <f>SUMIFS('2️⃣ תקופות מילואים'!$G:$G,'2️⃣ תקופות מילואים'!$B:$B,A61,'2️⃣ תקופות מילואים'!$F:$F,C61)</f>
        <v>7</v>
      </c>
      <c r="F61" s="10">
        <f>SUMIFS('2️⃣ תקופות מילואים'!$H:$H,'2️⃣ תקופות מילואים'!$B:$B,A61,'2️⃣ תקופות מילואים'!$F:$F,C61)</f>
        <v>7</v>
      </c>
      <c r="G61" s="9">
        <f>SUMIFS('2️⃣ תקופות מילואים'!$I:$I,'2️⃣ תקופות מילואים'!$B:$B,A61,'2️⃣ תקופות מילואים'!$F:$F,C61)+SUMIFS('2️⃣ תקופות מילואים'!$J:$J,'2️⃣ תקופות מילואים'!$B:$B,A61,'2️⃣ תקופות מילואים'!$F:$F,C61)+SUMIFS('2️⃣ תקופות מילואים'!$K:$K,'2️⃣ תקופות מילואים'!$B:$B,A61,'2️⃣ תקופות מילואים'!$F:$F,C61)</f>
        <v>0</v>
      </c>
      <c r="H61" s="9">
        <f>SUMIFS('2️⃣ תקופות מילואים'!$P:$P,'2️⃣ תקופות מילואים'!$B:$B,A61,'2️⃣ תקופות מילואים'!$F:$F,C61)</f>
        <v>1280.8029533917856</v>
      </c>
      <c r="I61" s="9">
        <f>SUMIFS('3️⃣ תשלומי ב"ל'!$I:$I,'3️⃣ תשלומי ב"ל'!$B:$B,A61)</f>
        <v>1795</v>
      </c>
      <c r="J61" s="9"/>
      <c r="K61" s="11" t="s">
        <v>265</v>
      </c>
      <c r="L61" s="9" t="s">
        <v>334</v>
      </c>
    </row>
    <row r="62" spans="1:12" ht="15" hidden="1" x14ac:dyDescent="0.2">
      <c r="A62" s="9" t="s">
        <v>117</v>
      </c>
      <c r="B62" s="9" t="s">
        <v>92</v>
      </c>
      <c r="C62" s="9" t="s">
        <v>264</v>
      </c>
      <c r="D62" s="10">
        <f>COUNTIFS('2️⃣ תקופות מילואים'!$B:$B,A62,'2️⃣ תקופות מילואים'!$F:$F,C62)</f>
        <v>5</v>
      </c>
      <c r="E62" s="10">
        <f>SUMIFS('2️⃣ תקופות מילואים'!$G:$G,'2️⃣ תקופות מילואים'!$B:$B,A62,'2️⃣ תקופות מילואים'!$F:$F,C62)</f>
        <v>16</v>
      </c>
      <c r="F62" s="10">
        <f>SUMIFS('2️⃣ תקופות מילואים'!$H:$H,'2️⃣ תקופות מילואים'!$B:$B,A62,'2️⃣ תקופות מילואים'!$F:$F,C62)</f>
        <v>15</v>
      </c>
      <c r="G62" s="9">
        <f>SUMIFS('2️⃣ תקופות מילואים'!$I:$I,'2️⃣ תקופות מילואים'!$B:$B,A62,'2️⃣ תקופות מילואים'!$F:$F,C62)+SUMIFS('2️⃣ תקופות מילואים'!$J:$J,'2️⃣ תקופות מילואים'!$B:$B,A62,'2️⃣ תקופות מילואים'!$F:$F,C62)+SUMIFS('2️⃣ תקופות מילואים'!$K:$K,'2️⃣ תקופות מילואים'!$B:$B,A62,'2️⃣ תקופות מילואים'!$F:$F,C62)</f>
        <v>1</v>
      </c>
      <c r="H62" s="9">
        <f>SUMIFS('2️⃣ תקופות מילואים'!$P:$P,'2️⃣ תקופות מילואים'!$B:$B,A62,'2️⃣ תקופות מילואים'!$F:$F,C62)</f>
        <v>3659.4370096908165</v>
      </c>
      <c r="I62" s="9">
        <f>SUMIFS('3️⃣ תשלומי ב"ל'!$I:$I,'3️⃣ תשלומי ב"ל'!$B:$B,A62)</f>
        <v>1795</v>
      </c>
      <c r="J62" s="9"/>
      <c r="K62" s="11" t="s">
        <v>265</v>
      </c>
      <c r="L62" s="9" t="s">
        <v>335</v>
      </c>
    </row>
    <row r="63" spans="1:12" ht="15" hidden="1" x14ac:dyDescent="0.2">
      <c r="A63" s="9" t="s">
        <v>117</v>
      </c>
      <c r="B63" s="9" t="s">
        <v>92</v>
      </c>
      <c r="C63" s="9" t="s">
        <v>281</v>
      </c>
      <c r="D63" s="10">
        <f>COUNTIFS('2️⃣ תקופות מילואים'!$B:$B,A63,'2️⃣ תקופות מילואים'!$F:$F,C63)</f>
        <v>4</v>
      </c>
      <c r="E63" s="10">
        <f>SUMIFS('2️⃣ תקופות מילואים'!$G:$G,'2️⃣ תקופות מילואים'!$B:$B,A63,'2️⃣ תקופות מילואים'!$F:$F,C63)</f>
        <v>6</v>
      </c>
      <c r="F63" s="10">
        <f>SUMIFS('2️⃣ תקופות מילואים'!$H:$H,'2️⃣ תקופות מילואים'!$B:$B,A63,'2️⃣ תקופות מילואים'!$F:$F,C63)</f>
        <v>5</v>
      </c>
      <c r="G63" s="9">
        <f>SUMIFS('2️⃣ תקופות מילואים'!$I:$I,'2️⃣ תקופות מילואים'!$B:$B,A63,'2️⃣ תקופות מילואים'!$F:$F,C63)+SUMIFS('2️⃣ תקופות מילואים'!$J:$J,'2️⃣ תקופות מילואים'!$B:$B,A63,'2️⃣ תקופות מילואים'!$F:$F,C63)+SUMIFS('2️⃣ תקופות מילואים'!$K:$K,'2️⃣ תקופות מילואים'!$B:$B,A63,'2️⃣ תקופות מילואים'!$F:$F,C63)</f>
        <v>1</v>
      </c>
      <c r="H63" s="9">
        <f>SUMIFS('2️⃣ תקופות מילואים'!$P:$P,'2️⃣ תקופות מילואים'!$B:$B,A63,'2️⃣ תקופות מילואים'!$F:$F,C63)</f>
        <v>1829.7185048454085</v>
      </c>
      <c r="I63" s="9">
        <f>SUMIFS('3️⃣ תשלומי ב"ל'!$I:$I,'3️⃣ תשלומי ב"ל'!$B:$B,A63)</f>
        <v>1795</v>
      </c>
      <c r="J63" s="9"/>
      <c r="K63" s="11" t="s">
        <v>265</v>
      </c>
      <c r="L63" s="9" t="s">
        <v>336</v>
      </c>
    </row>
    <row r="64" spans="1:12" ht="15" hidden="1" x14ac:dyDescent="0.2">
      <c r="A64" s="9" t="s">
        <v>117</v>
      </c>
      <c r="B64" s="9" t="s">
        <v>92</v>
      </c>
      <c r="C64" s="9" t="s">
        <v>271</v>
      </c>
      <c r="D64" s="10">
        <f>COUNTIFS('2️⃣ תקופות מילואים'!$B:$B,A64,'2️⃣ תקופות מילואים'!$F:$F,C64)</f>
        <v>5</v>
      </c>
      <c r="E64" s="10">
        <f>SUMIFS('2️⃣ תקופות מילואים'!$G:$G,'2️⃣ תקופות מילואים'!$B:$B,A64,'2️⃣ תקופות מילואים'!$F:$F,C64)</f>
        <v>6</v>
      </c>
      <c r="F64" s="10">
        <f>SUMIFS('2️⃣ תקופות מילואים'!$H:$H,'2️⃣ תקופות מילואים'!$B:$B,A64,'2️⃣ תקופות מילואים'!$F:$F,C64)</f>
        <v>4</v>
      </c>
      <c r="G64" s="9">
        <f>SUMIFS('2️⃣ תקופות מילואים'!$I:$I,'2️⃣ תקופות מילואים'!$B:$B,A64,'2️⃣ תקופות מילואים'!$F:$F,C64)+SUMIFS('2️⃣ תקופות מילואים'!$J:$J,'2️⃣ תקופות מילואים'!$B:$B,A64,'2️⃣ תקופות מילואים'!$F:$F,C64)+SUMIFS('2️⃣ תקופות מילואים'!$K:$K,'2️⃣ תקופות מילואים'!$B:$B,A64,'2️⃣ תקופות מילואים'!$F:$F,C64)</f>
        <v>2</v>
      </c>
      <c r="H64" s="9">
        <f>SUMIFS('2️⃣ תקופות מילואים'!$P:$P,'2️⃣ תקופות מילואים'!$B:$B,A64,'2️⃣ תקופות מילואים'!$F:$F,C64)</f>
        <v>2561.6059067835718</v>
      </c>
      <c r="I64" s="9">
        <f>SUMIFS('3️⃣ תשלומי ב"ל'!$I:$I,'3️⃣ תשלומי ב"ל'!$B:$B,A64)</f>
        <v>1795</v>
      </c>
      <c r="J64" s="9"/>
      <c r="K64" s="11" t="s">
        <v>265</v>
      </c>
      <c r="L64" s="9" t="s">
        <v>337</v>
      </c>
    </row>
    <row r="65" spans="1:12" ht="15" hidden="1" x14ac:dyDescent="0.2">
      <c r="A65" s="9" t="s">
        <v>117</v>
      </c>
      <c r="B65" s="9" t="s">
        <v>92</v>
      </c>
      <c r="C65" s="9" t="s">
        <v>273</v>
      </c>
      <c r="D65" s="10">
        <f>COUNTIFS('2️⃣ תקופות מילואים'!$B:$B,A65,'2️⃣ תקופות מילואים'!$F:$F,C65)</f>
        <v>3</v>
      </c>
      <c r="E65" s="10">
        <f>SUMIFS('2️⃣ תקופות מילואים'!$G:$G,'2️⃣ תקופות מילואים'!$B:$B,A65,'2️⃣ תקופות מילואים'!$F:$F,C65)</f>
        <v>22</v>
      </c>
      <c r="F65" s="10">
        <f>SUMIFS('2️⃣ תקופות מילואים'!$H:$H,'2️⃣ תקופות מילואים'!$B:$B,A65,'2️⃣ תקופות מילואים'!$F:$F,C65)</f>
        <v>15</v>
      </c>
      <c r="G65" s="9">
        <f>SUMIFS('2️⃣ תקופות מילואים'!$I:$I,'2️⃣ תקופות מילואים'!$B:$B,A65,'2️⃣ תקופות מילואים'!$F:$F,C65)+SUMIFS('2️⃣ תקופות מילואים'!$J:$J,'2️⃣ תקופות מילואים'!$B:$B,A65,'2️⃣ תקופות מילואים'!$F:$F,C65)+SUMIFS('2️⃣ תקופות מילואים'!$K:$K,'2️⃣ תקופות מילואים'!$B:$B,A65,'2️⃣ תקופות מילואים'!$F:$F,C65)</f>
        <v>7</v>
      </c>
      <c r="H65" s="9">
        <f>SUMIFS('2️⃣ תקופות מילואים'!$P:$P,'2️⃣ תקופות מילואים'!$B:$B,A65,'2️⃣ תקופות מילואים'!$F:$F,C65)</f>
        <v>9148.5925242270405</v>
      </c>
      <c r="I65" s="9">
        <f>SUMIFS('3️⃣ תשלומי ב"ל'!$I:$I,'3️⃣ תשלומי ב"ל'!$B:$B,A65)</f>
        <v>1795</v>
      </c>
      <c r="J65" s="9"/>
      <c r="K65" s="11" t="s">
        <v>265</v>
      </c>
      <c r="L65" s="9" t="s">
        <v>338</v>
      </c>
    </row>
    <row r="66" spans="1:12" ht="15" hidden="1" x14ac:dyDescent="0.2">
      <c r="A66" s="9" t="s">
        <v>117</v>
      </c>
      <c r="B66" s="9" t="s">
        <v>92</v>
      </c>
      <c r="C66" s="9" t="s">
        <v>275</v>
      </c>
      <c r="D66" s="10">
        <f>COUNTIFS('2️⃣ תקופות מילואים'!$B:$B,A66,'2️⃣ תקופות מילואים'!$F:$F,C66)</f>
        <v>3</v>
      </c>
      <c r="E66" s="10">
        <f>SUMIFS('2️⃣ תקופות מילואים'!$G:$G,'2️⃣ תקופות מילואים'!$B:$B,A66,'2️⃣ תקופות מילואים'!$F:$F,C66)</f>
        <v>5</v>
      </c>
      <c r="F66" s="10">
        <f>SUMIFS('2️⃣ תקופות מילואים'!$H:$H,'2️⃣ תקופות מילואים'!$B:$B,A66,'2️⃣ תקופות מילואים'!$F:$F,C66)</f>
        <v>5</v>
      </c>
      <c r="G66" s="9">
        <f>SUMIFS('2️⃣ תקופות מילואים'!$I:$I,'2️⃣ תקופות מילואים'!$B:$B,A66,'2️⃣ תקופות מילואים'!$F:$F,C66)+SUMIFS('2️⃣ תקופות מילואים'!$J:$J,'2️⃣ תקופות מילואים'!$B:$B,A66,'2️⃣ תקופות מילואים'!$F:$F,C66)+SUMIFS('2️⃣ תקופות מילואים'!$K:$K,'2️⃣ תקופות מילואים'!$B:$B,A66,'2️⃣ תקופות מילואים'!$F:$F,C66)</f>
        <v>0</v>
      </c>
      <c r="H66" s="9">
        <f>SUMIFS('2️⃣ תקופות מילואים'!$P:$P,'2️⃣ תקופות מילואים'!$B:$B,A66,'2️⃣ תקופות מילואים'!$F:$F,C66)</f>
        <v>914.85925242270412</v>
      </c>
      <c r="I66" s="9">
        <f>SUMIFS('3️⃣ תשלומי ב"ל'!$I:$I,'3️⃣ תשלומי ב"ל'!$B:$B,A66)</f>
        <v>1795</v>
      </c>
      <c r="J66" s="9"/>
      <c r="K66" s="11" t="s">
        <v>265</v>
      </c>
      <c r="L66" s="9" t="s">
        <v>339</v>
      </c>
    </row>
    <row r="67" spans="1:12" ht="15" hidden="1" x14ac:dyDescent="0.2">
      <c r="A67" s="9" t="s">
        <v>117</v>
      </c>
      <c r="B67" s="9" t="s">
        <v>92</v>
      </c>
      <c r="C67" s="9" t="s">
        <v>284</v>
      </c>
      <c r="D67" s="10">
        <f>COUNTIFS('2️⃣ תקופות מילואים'!$B:$B,A67,'2️⃣ תקופות מילואים'!$F:$F,C67)</f>
        <v>2</v>
      </c>
      <c r="E67" s="10">
        <f>SUMIFS('2️⃣ תקופות מילואים'!$G:$G,'2️⃣ תקופות מילואים'!$B:$B,A67,'2️⃣ תקופות מילואים'!$F:$F,C67)</f>
        <v>2</v>
      </c>
      <c r="F67" s="10">
        <f>SUMIFS('2️⃣ תקופות מילואים'!$H:$H,'2️⃣ תקופות מילואים'!$B:$B,A67,'2️⃣ תקופות מילואים'!$F:$F,C67)</f>
        <v>2</v>
      </c>
      <c r="G67" s="9">
        <f>SUMIFS('2️⃣ תקופות מילואים'!$I:$I,'2️⃣ תקופות מילואים'!$B:$B,A67,'2️⃣ תקופות מילואים'!$F:$F,C67)+SUMIFS('2️⃣ תקופות מילואים'!$J:$J,'2️⃣ תקופות מילואים'!$B:$B,A67,'2️⃣ תקופות מילואים'!$F:$F,C67)+SUMIFS('2️⃣ תקופות מילואים'!$K:$K,'2️⃣ תקופות מילואים'!$B:$B,A67,'2️⃣ תקופות מילואים'!$F:$F,C67)</f>
        <v>0</v>
      </c>
      <c r="H67" s="9">
        <f>SUMIFS('2️⃣ תקופות מילואים'!$P:$P,'2️⃣ תקופות מילואים'!$B:$B,A67,'2️⃣ תקופות מילואים'!$F:$F,C67)</f>
        <v>365.94370096908165</v>
      </c>
      <c r="I67" s="9">
        <f>SUMIFS('3️⃣ תשלומי ב"ל'!$I:$I,'3️⃣ תשלומי ב"ל'!$B:$B,A67)</f>
        <v>1795</v>
      </c>
      <c r="J67" s="9"/>
      <c r="K67" s="11" t="s">
        <v>265</v>
      </c>
      <c r="L67" s="9" t="s">
        <v>340</v>
      </c>
    </row>
    <row r="68" spans="1:12" ht="15" hidden="1" x14ac:dyDescent="0.2">
      <c r="A68" s="9" t="s">
        <v>117</v>
      </c>
      <c r="B68" s="9" t="s">
        <v>92</v>
      </c>
      <c r="C68" s="9" t="s">
        <v>267</v>
      </c>
      <c r="D68" s="10">
        <f>COUNTIFS('2️⃣ תקופות מילואים'!$B:$B,A68,'2️⃣ תקופות מילואים'!$F:$F,C68)</f>
        <v>2</v>
      </c>
      <c r="E68" s="10">
        <f>SUMIFS('2️⃣ תקופות מילואים'!$G:$G,'2️⃣ תקופות מילואים'!$B:$B,A68,'2️⃣ תקופות מילואים'!$F:$F,C68)</f>
        <v>4</v>
      </c>
      <c r="F68" s="10">
        <f>SUMIFS('2️⃣ תקופות מילואים'!$H:$H,'2️⃣ תקופות מילואים'!$B:$B,A68,'2️⃣ תקופות מילואים'!$F:$F,C68)</f>
        <v>2</v>
      </c>
      <c r="G68" s="9">
        <f>SUMIFS('2️⃣ תקופות מילואים'!$I:$I,'2️⃣ תקופות מילואים'!$B:$B,A68,'2️⃣ תקופות מילואים'!$F:$F,C68)+SUMIFS('2️⃣ תקופות מילואים'!$J:$J,'2️⃣ תקופות מילואים'!$B:$B,A68,'2️⃣ תקופות מילואים'!$F:$F,C68)+SUMIFS('2️⃣ תקופות מילואים'!$K:$K,'2️⃣ תקופות מילואים'!$B:$B,A68,'2️⃣ תקופות מילואים'!$F:$F,C68)</f>
        <v>2</v>
      </c>
      <c r="H68" s="9">
        <f>SUMIFS('2️⃣ תקופות מילואים'!$P:$P,'2️⃣ תקופות מילואים'!$B:$B,A68,'2️⃣ תקופות מילואים'!$F:$F,C68)</f>
        <v>2195.6622058144899</v>
      </c>
      <c r="I68" s="9">
        <f>SUMIFS('3️⃣ תשלומי ב"ל'!$I:$I,'3️⃣ תשלומי ב"ל'!$B:$B,A68)</f>
        <v>1795</v>
      </c>
      <c r="J68" s="9"/>
      <c r="K68" s="11" t="s">
        <v>265</v>
      </c>
      <c r="L68" s="9" t="s">
        <v>341</v>
      </c>
    </row>
    <row r="69" spans="1:12" ht="15" hidden="1" x14ac:dyDescent="0.2">
      <c r="A69" s="9" t="s">
        <v>120</v>
      </c>
      <c r="B69" s="9" t="s">
        <v>70</v>
      </c>
      <c r="C69" s="9" t="s">
        <v>264</v>
      </c>
      <c r="D69" s="10">
        <f>COUNTIFS('2️⃣ תקופות מילואים'!$B:$B,A69,'2️⃣ תקופות מילואים'!$F:$F,C69)</f>
        <v>1</v>
      </c>
      <c r="E69" s="10">
        <f>SUMIFS('2️⃣ תקופות מילואים'!$G:$G,'2️⃣ תקופות מילואים'!$B:$B,A69,'2️⃣ תקופות מילואים'!$F:$F,C69)</f>
        <v>4</v>
      </c>
      <c r="F69" s="10">
        <f>SUMIFS('2️⃣ תקופות מילואים'!$H:$H,'2️⃣ תקופות מילואים'!$B:$B,A69,'2️⃣ תקופות מילואים'!$F:$F,C69)</f>
        <v>4</v>
      </c>
      <c r="G69" s="9">
        <f>SUMIFS('2️⃣ תקופות מילואים'!$I:$I,'2️⃣ תקופות מילואים'!$B:$B,A69,'2️⃣ תקופות מילואים'!$F:$F,C69)+SUMIFS('2️⃣ תקופות מילואים'!$J:$J,'2️⃣ תקופות מילואים'!$B:$B,A69,'2️⃣ תקופות מילואים'!$F:$F,C69)+SUMIFS('2️⃣ תקופות מילואים'!$K:$K,'2️⃣ תקופות מילואים'!$B:$B,A69,'2️⃣ תקופות מילואים'!$F:$F,C69)</f>
        <v>0</v>
      </c>
      <c r="H69" s="9">
        <f>SUMIFS('2️⃣ תקופות מילואים'!$P:$P,'2️⃣ תקופות מילואים'!$B:$B,A69,'2️⃣ תקופות מילואים'!$F:$F,C69)</f>
        <v>649.78311029072449</v>
      </c>
      <c r="I69" s="9">
        <f>SUMIFS('3️⃣ תשלומי ב"ל'!$I:$I,'3️⃣ תשלומי ב"ל'!$B:$B,A69)</f>
        <v>0</v>
      </c>
      <c r="J69" s="9"/>
      <c r="K69" s="11" t="s">
        <v>265</v>
      </c>
      <c r="L69" s="9" t="s">
        <v>342</v>
      </c>
    </row>
    <row r="70" spans="1:12" ht="15" hidden="1" x14ac:dyDescent="0.2">
      <c r="A70" s="9" t="s">
        <v>120</v>
      </c>
      <c r="B70" s="9" t="s">
        <v>70</v>
      </c>
      <c r="C70" s="9" t="s">
        <v>271</v>
      </c>
      <c r="D70" s="10">
        <f>COUNTIFS('2️⃣ תקופות מילואים'!$B:$B,A70,'2️⃣ תקופות מילואים'!$F:$F,C70)</f>
        <v>2</v>
      </c>
      <c r="E70" s="10">
        <f>SUMIFS('2️⃣ תקופות מילואים'!$G:$G,'2️⃣ תקופות מילואים'!$B:$B,A70,'2️⃣ תקופות מילואים'!$F:$F,C70)</f>
        <v>7</v>
      </c>
      <c r="F70" s="10">
        <f>SUMIFS('2️⃣ תקופות מילואים'!$H:$H,'2️⃣ תקופות מילואים'!$B:$B,A70,'2️⃣ תקופות מילואים'!$F:$F,C70)</f>
        <v>6</v>
      </c>
      <c r="G70" s="9">
        <f>SUMIFS('2️⃣ תקופות מילואים'!$I:$I,'2️⃣ תקופות מילואים'!$B:$B,A70,'2️⃣ תקופות מילואים'!$F:$F,C70)+SUMIFS('2️⃣ תקופות מילואים'!$J:$J,'2️⃣ תקופות מילואים'!$B:$B,A70,'2️⃣ תקופות מילואים'!$F:$F,C70)+SUMIFS('2️⃣ תקופות מילואים'!$K:$K,'2️⃣ תקופות מילואים'!$B:$B,A70,'2️⃣ תקופות מילואים'!$F:$F,C70)</f>
        <v>1</v>
      </c>
      <c r="H70" s="9">
        <f>SUMIFS('2️⃣ תקופות מילואים'!$P:$P,'2️⃣ תקופות מילואים'!$B:$B,A70,'2️⃣ תקופות מילואים'!$F:$F,C70)</f>
        <v>1786.9035532994924</v>
      </c>
      <c r="I70" s="9">
        <f>SUMIFS('3️⃣ תשלומי ב"ל'!$I:$I,'3️⃣ תשלומי ב"ל'!$B:$B,A70)</f>
        <v>0</v>
      </c>
      <c r="J70" s="9"/>
      <c r="K70" s="11" t="s">
        <v>265</v>
      </c>
      <c r="L70" s="9" t="s">
        <v>343</v>
      </c>
    </row>
    <row r="71" spans="1:12" ht="15" hidden="1" x14ac:dyDescent="0.2">
      <c r="A71" s="9" t="s">
        <v>120</v>
      </c>
      <c r="B71" s="9" t="s">
        <v>70</v>
      </c>
      <c r="C71" s="9" t="s">
        <v>273</v>
      </c>
      <c r="D71" s="10">
        <f>COUNTIFS('2️⃣ תקופות מילואים'!$B:$B,A71,'2️⃣ תקופות מילואים'!$F:$F,C71)</f>
        <v>2</v>
      </c>
      <c r="E71" s="10">
        <f>SUMIFS('2️⃣ תקופות מילואים'!$G:$G,'2️⃣ תקופות מילואים'!$B:$B,A71,'2️⃣ תקופות מילואים'!$F:$F,C71)</f>
        <v>4</v>
      </c>
      <c r="F71" s="10">
        <f>SUMIFS('2️⃣ תקופות מילואים'!$H:$H,'2️⃣ תקופות מילואים'!$B:$B,A71,'2️⃣ תקופות מילואים'!$F:$F,C71)</f>
        <v>3</v>
      </c>
      <c r="G71" s="9">
        <f>SUMIFS('2️⃣ תקופות מילואים'!$I:$I,'2️⃣ תקופות מילואים'!$B:$B,A71,'2️⃣ תקופות מילואים'!$F:$F,C71)+SUMIFS('2️⃣ תקופות מילואים'!$J:$J,'2️⃣ תקופות מילואים'!$B:$B,A71,'2️⃣ תקופות מילואים'!$F:$F,C71)+SUMIFS('2️⃣ תקופות מילואים'!$K:$K,'2️⃣ תקופות מילואים'!$B:$B,A71,'2️⃣ תקופות מילואים'!$F:$F,C71)</f>
        <v>1</v>
      </c>
      <c r="H71" s="9">
        <f>SUMIFS('2️⃣ תקופות מילואים'!$P:$P,'2️⃣ תקופות מילואים'!$B:$B,A71,'2️⃣ תקופות מילואים'!$F:$F,C71)</f>
        <v>1299.566220581449</v>
      </c>
      <c r="I71" s="9">
        <f>SUMIFS('3️⃣ תשלומי ב"ל'!$I:$I,'3️⃣ תשלומי ב"ל'!$B:$B,A71)</f>
        <v>0</v>
      </c>
      <c r="J71" s="9"/>
      <c r="K71" s="11" t="s">
        <v>265</v>
      </c>
      <c r="L71" s="9" t="s">
        <v>344</v>
      </c>
    </row>
    <row r="72" spans="1:12" ht="15" hidden="1" x14ac:dyDescent="0.2">
      <c r="A72" s="9" t="s">
        <v>120</v>
      </c>
      <c r="B72" s="9" t="s">
        <v>70</v>
      </c>
      <c r="C72" s="9" t="s">
        <v>284</v>
      </c>
      <c r="D72" s="10">
        <f>COUNTIFS('2️⃣ תקופות מילואים'!$B:$B,A72,'2️⃣ תקופות מילואים'!$F:$F,C72)</f>
        <v>2</v>
      </c>
      <c r="E72" s="10">
        <f>SUMIFS('2️⃣ תקופות מילואים'!$G:$G,'2️⃣ תקופות מילואים'!$B:$B,A72,'2️⃣ תקופות מילואים'!$F:$F,C72)</f>
        <v>4</v>
      </c>
      <c r="F72" s="10">
        <f>SUMIFS('2️⃣ תקופות מילואים'!$H:$H,'2️⃣ תקופות מילואים'!$B:$B,A72,'2️⃣ תקופות מילואים'!$F:$F,C72)</f>
        <v>4</v>
      </c>
      <c r="G72" s="9">
        <f>SUMIFS('2️⃣ תקופות מילואים'!$I:$I,'2️⃣ תקופות מילואים'!$B:$B,A72,'2️⃣ תקופות מילואים'!$F:$F,C72)+SUMIFS('2️⃣ תקופות מילואים'!$J:$J,'2️⃣ תקופות מילואים'!$B:$B,A72,'2️⃣ תקופות מילואים'!$F:$F,C72)+SUMIFS('2️⃣ תקופות מילואים'!$K:$K,'2️⃣ תקופות מילואים'!$B:$B,A72,'2️⃣ תקופות מילואים'!$F:$F,C72)</f>
        <v>0</v>
      </c>
      <c r="H72" s="9">
        <f>SUMIFS('2️⃣ תקופות מילואים'!$P:$P,'2️⃣ תקופות מילואים'!$B:$B,A72,'2️⃣ תקופות מילואים'!$F:$F,C72)</f>
        <v>649.78311029072449</v>
      </c>
      <c r="I72" s="9">
        <f>SUMIFS('3️⃣ תשלומי ב"ל'!$I:$I,'3️⃣ תשלומי ב"ל'!$B:$B,A72)</f>
        <v>0</v>
      </c>
      <c r="J72" s="9"/>
      <c r="K72" s="11" t="s">
        <v>265</v>
      </c>
      <c r="L72" s="9" t="s">
        <v>345</v>
      </c>
    </row>
    <row r="73" spans="1:12" ht="15" hidden="1" x14ac:dyDescent="0.2">
      <c r="A73" s="9" t="s">
        <v>120</v>
      </c>
      <c r="B73" s="9" t="s">
        <v>70</v>
      </c>
      <c r="C73" s="9" t="s">
        <v>267</v>
      </c>
      <c r="D73" s="10">
        <f>COUNTIFS('2️⃣ תקופות מילואים'!$B:$B,A73,'2️⃣ תקופות מילואים'!$F:$F,C73)</f>
        <v>1</v>
      </c>
      <c r="E73" s="10">
        <f>SUMIFS('2️⃣ תקופות מילואים'!$G:$G,'2️⃣ תקופות מילואים'!$B:$B,A73,'2️⃣ תקופות מילואים'!$F:$F,C73)</f>
        <v>3</v>
      </c>
      <c r="F73" s="10">
        <f>SUMIFS('2️⃣ תקופות מילואים'!$H:$H,'2️⃣ תקופות מילואים'!$B:$B,A73,'2️⃣ תקופות מילואים'!$F:$F,C73)</f>
        <v>2</v>
      </c>
      <c r="G73" s="9">
        <f>SUMIFS('2️⃣ תקופות מילואים'!$I:$I,'2️⃣ תקופות מילואים'!$B:$B,A73,'2️⃣ תקופות מילואים'!$F:$F,C73)+SUMIFS('2️⃣ תקופות מילואים'!$J:$J,'2️⃣ תקופות מילואים'!$B:$B,A73,'2️⃣ תקופות מילואים'!$F:$F,C73)+SUMIFS('2️⃣ תקופות מילואים'!$K:$K,'2️⃣ תקופות מילואים'!$B:$B,A73,'2️⃣ תקופות מילואים'!$F:$F,C73)</f>
        <v>1</v>
      </c>
      <c r="H73" s="9">
        <f>SUMIFS('2️⃣ תקופות מילואים'!$P:$P,'2️⃣ תקופות מילואים'!$B:$B,A73,'2️⃣ תקופות מילואים'!$F:$F,C73)</f>
        <v>1137.1204430087678</v>
      </c>
      <c r="I73" s="9">
        <f>SUMIFS('3️⃣ תשלומי ב"ל'!$I:$I,'3️⃣ תשלומי ב"ל'!$B:$B,A73)</f>
        <v>0</v>
      </c>
      <c r="J73" s="9"/>
      <c r="K73" s="11" t="s">
        <v>265</v>
      </c>
      <c r="L73" s="9" t="s">
        <v>346</v>
      </c>
    </row>
    <row r="74" spans="1:12" ht="15" hidden="1" x14ac:dyDescent="0.2">
      <c r="A74" s="9" t="s">
        <v>122</v>
      </c>
      <c r="B74" s="9" t="s">
        <v>75</v>
      </c>
      <c r="C74" s="9" t="s">
        <v>271</v>
      </c>
      <c r="D74" s="10">
        <f>COUNTIFS('2️⃣ תקופות מילואים'!$B:$B,A74,'2️⃣ תקופות מילואים'!$F:$F,C74)</f>
        <v>1</v>
      </c>
      <c r="E74" s="10">
        <f>SUMIFS('2️⃣ תקופות מילואים'!$G:$G,'2️⃣ תקופות מילואים'!$B:$B,A74,'2️⃣ תקופות מילואים'!$F:$F,C74)</f>
        <v>2</v>
      </c>
      <c r="F74" s="10">
        <f>SUMIFS('2️⃣ תקופות מילואים'!$H:$H,'2️⃣ תקופות מילואים'!$B:$B,A74,'2️⃣ תקופות מילואים'!$F:$F,C74)</f>
        <v>2</v>
      </c>
      <c r="G74" s="9">
        <f>SUMIFS('2️⃣ תקופות מילואים'!$I:$I,'2️⃣ תקופות מילואים'!$B:$B,A74,'2️⃣ תקופות מילואים'!$F:$F,C74)+SUMIFS('2️⃣ תקופות מילואים'!$J:$J,'2️⃣ תקופות מילואים'!$B:$B,A74,'2️⃣ תקופות מילואים'!$F:$F,C74)+SUMIFS('2️⃣ תקופות מילואים'!$K:$K,'2️⃣ תקופות מילואים'!$B:$B,A74,'2️⃣ תקופות מילואים'!$F:$F,C74)</f>
        <v>0</v>
      </c>
      <c r="H74" s="9">
        <f>SUMIFS('2️⃣ תקופות מילואים'!$P:$P,'2️⃣ תקופות מילואים'!$B:$B,A74,'2️⃣ תקופות מילואים'!$F:$F,C74)</f>
        <v>326.1652053530226</v>
      </c>
      <c r="I74" s="9">
        <f>SUMIFS('3️⃣ תשלומי ב"ל'!$I:$I,'3️⃣ תשלומי ב"ל'!$B:$B,A74)</f>
        <v>0</v>
      </c>
      <c r="J74" s="9"/>
      <c r="K74" s="11" t="s">
        <v>265</v>
      </c>
      <c r="L74" s="9" t="s">
        <v>347</v>
      </c>
    </row>
    <row r="75" spans="1:12" ht="15" hidden="1" x14ac:dyDescent="0.2">
      <c r="A75" s="9" t="s">
        <v>122</v>
      </c>
      <c r="B75" s="9" t="s">
        <v>75</v>
      </c>
      <c r="C75" s="9" t="s">
        <v>273</v>
      </c>
      <c r="D75" s="10">
        <f>COUNTIFS('2️⃣ תקופות מילואים'!$B:$B,A75,'2️⃣ תקופות מילואים'!$F:$F,C75)</f>
        <v>3</v>
      </c>
      <c r="E75" s="10">
        <f>SUMIFS('2️⃣ תקופות מילואים'!$G:$G,'2️⃣ תקופות מילואים'!$B:$B,A75,'2️⃣ תקופות מילואים'!$F:$F,C75)</f>
        <v>21</v>
      </c>
      <c r="F75" s="10">
        <f>SUMIFS('2️⃣ תקופות מילואים'!$H:$H,'2️⃣ תקופות מילואים'!$B:$B,A75,'2️⃣ תקופות מילואים'!$F:$F,C75)</f>
        <v>16</v>
      </c>
      <c r="G75" s="9">
        <f>SUMIFS('2️⃣ תקופות מילואים'!$I:$I,'2️⃣ תקופות מילואים'!$B:$B,A75,'2️⃣ תקופות מילואים'!$F:$F,C75)+SUMIFS('2️⃣ תקופות מילואים'!$J:$J,'2️⃣ תקופות מילואים'!$B:$B,A75,'2️⃣ תקופות מילואים'!$F:$F,C75)+SUMIFS('2️⃣ תקופות מילואים'!$K:$K,'2️⃣ תקופות מילואים'!$B:$B,A75,'2️⃣ תקופות מילואים'!$F:$F,C75)</f>
        <v>5</v>
      </c>
      <c r="H75" s="9">
        <f>SUMIFS('2️⃣ תקופות מילואים'!$P:$P,'2️⃣ תקופות מילואים'!$B:$B,A75,'2️⃣ תקופות מילואים'!$F:$F,C75)</f>
        <v>6686.3867097369621</v>
      </c>
      <c r="I75" s="9">
        <f>SUMIFS('3️⃣ תשלומי ב"ל'!$I:$I,'3️⃣ תשלומי ב"ל'!$B:$B,A75)</f>
        <v>0</v>
      </c>
      <c r="J75" s="9"/>
      <c r="K75" s="11" t="s">
        <v>265</v>
      </c>
      <c r="L75" s="9" t="s">
        <v>348</v>
      </c>
    </row>
  </sheetData>
  <autoFilter ref="A1:L75" xr:uid="{00000000-0009-0000-0000-000003000000}">
    <filterColumn colId="2">
      <filters>
        <filter val="01/2025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rightToLeft="1" workbookViewId="0">
      <selection activeCell="G1" sqref="G1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</cols>
  <sheetData>
    <row r="1" spans="1:6" ht="30" customHeight="1" x14ac:dyDescent="0.2">
      <c r="A1" s="13" t="s">
        <v>349</v>
      </c>
      <c r="B1" s="13" t="s">
        <v>132</v>
      </c>
      <c r="C1" s="13" t="s">
        <v>127</v>
      </c>
      <c r="D1" s="13" t="s">
        <v>128</v>
      </c>
      <c r="E1" s="13" t="s">
        <v>129</v>
      </c>
      <c r="F1" s="13" t="s">
        <v>350</v>
      </c>
    </row>
    <row r="2" spans="1:6" ht="15" x14ac:dyDescent="0.2">
      <c r="A2">
        <v>203</v>
      </c>
      <c r="B2" t="s">
        <v>136</v>
      </c>
      <c r="C2" s="18">
        <v>48622</v>
      </c>
      <c r="D2" s="18">
        <v>8587</v>
      </c>
      <c r="E2" s="18">
        <v>0</v>
      </c>
      <c r="F2" s="18">
        <v>57209</v>
      </c>
    </row>
    <row r="3" spans="1:6" ht="15" x14ac:dyDescent="0.2">
      <c r="A3">
        <v>204</v>
      </c>
      <c r="B3" t="s">
        <v>136</v>
      </c>
      <c r="C3" s="18">
        <v>581</v>
      </c>
      <c r="D3" s="18">
        <v>0</v>
      </c>
      <c r="E3" s="18">
        <v>0</v>
      </c>
      <c r="F3" s="18">
        <v>581</v>
      </c>
    </row>
    <row r="4" spans="1:6" ht="15" x14ac:dyDescent="0.2">
      <c r="A4">
        <v>408</v>
      </c>
      <c r="B4" t="s">
        <v>181</v>
      </c>
      <c r="C4" s="18">
        <v>25634</v>
      </c>
      <c r="D4" s="18">
        <v>4516</v>
      </c>
      <c r="E4" s="18">
        <v>0</v>
      </c>
      <c r="F4" s="18">
        <v>30150</v>
      </c>
    </row>
    <row r="5" spans="1:6" ht="15" x14ac:dyDescent="0.2">
      <c r="A5">
        <v>410</v>
      </c>
      <c r="B5" t="s">
        <v>237</v>
      </c>
      <c r="C5" s="18">
        <v>0</v>
      </c>
      <c r="D5" s="18">
        <v>0</v>
      </c>
      <c r="E5" s="18">
        <v>2090</v>
      </c>
      <c r="F5" s="18">
        <v>2090</v>
      </c>
    </row>
    <row r="6" spans="1:6" ht="15" x14ac:dyDescent="0.2">
      <c r="A6">
        <v>510</v>
      </c>
      <c r="B6" t="s">
        <v>242</v>
      </c>
      <c r="C6" s="18">
        <v>0</v>
      </c>
      <c r="D6" s="18">
        <v>0</v>
      </c>
      <c r="E6" s="18">
        <v>18307</v>
      </c>
      <c r="F6" s="18">
        <v>18307</v>
      </c>
    </row>
    <row r="7" spans="1:6" ht="15" x14ac:dyDescent="0.2">
      <c r="A7">
        <v>610</v>
      </c>
      <c r="B7" t="s">
        <v>235</v>
      </c>
      <c r="C7" s="18">
        <v>0</v>
      </c>
      <c r="D7" s="18">
        <v>0</v>
      </c>
      <c r="E7" s="18">
        <v>1999</v>
      </c>
      <c r="F7" s="18">
        <v>1999</v>
      </c>
    </row>
    <row r="8" spans="1:6" ht="15" x14ac:dyDescent="0.2">
      <c r="A8">
        <v>802</v>
      </c>
      <c r="B8" t="s">
        <v>197</v>
      </c>
      <c r="C8" s="18">
        <v>110659</v>
      </c>
      <c r="D8" s="18">
        <v>21353</v>
      </c>
      <c r="E8" s="18">
        <v>0</v>
      </c>
      <c r="F8" s="18">
        <v>132012</v>
      </c>
    </row>
    <row r="10" spans="1:6" ht="18" x14ac:dyDescent="0.25">
      <c r="A10" s="19" t="s">
        <v>351</v>
      </c>
      <c r="C10" s="15">
        <v>185496</v>
      </c>
      <c r="D10" s="15">
        <v>34456</v>
      </c>
      <c r="E10" s="15">
        <v>22396</v>
      </c>
      <c r="F10" s="15">
        <v>242348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R140"/>
  <sheetViews>
    <sheetView rightToLeft="1" topLeftCell="B1" workbookViewId="0">
      <pane ySplit="1" topLeftCell="A4" activePane="bottomLeft" state="frozen"/>
      <selection pane="bottomLeft" activeCell="P4" sqref="P4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</cols>
  <sheetData>
    <row r="1" spans="1:18" ht="24.95" customHeight="1" x14ac:dyDescent="0.2">
      <c r="A1" s="1" t="s">
        <v>377</v>
      </c>
      <c r="B1" s="1" t="s">
        <v>123</v>
      </c>
      <c r="C1" s="1" t="s">
        <v>61</v>
      </c>
      <c r="D1" s="1" t="s">
        <v>124</v>
      </c>
      <c r="E1" s="1" t="s">
        <v>125</v>
      </c>
      <c r="F1" s="1" t="s">
        <v>255</v>
      </c>
      <c r="G1" s="1" t="s">
        <v>257</v>
      </c>
      <c r="H1" s="1" t="s">
        <v>258</v>
      </c>
      <c r="I1" s="1" t="s">
        <v>378</v>
      </c>
      <c r="J1" s="1" t="s">
        <v>379</v>
      </c>
      <c r="K1" s="1" t="s">
        <v>380</v>
      </c>
      <c r="L1" s="1" t="s">
        <v>63</v>
      </c>
      <c r="M1" s="1" t="s">
        <v>381</v>
      </c>
      <c r="N1" s="1" t="s">
        <v>382</v>
      </c>
      <c r="O1" s="1" t="s">
        <v>383</v>
      </c>
      <c r="P1" s="1" t="s">
        <v>384</v>
      </c>
      <c r="Q1" s="1" t="s">
        <v>66</v>
      </c>
      <c r="R1" s="23" t="s">
        <v>385</v>
      </c>
    </row>
    <row r="2" spans="1:18" ht="15" hidden="1" x14ac:dyDescent="0.2">
      <c r="A2" s="2" t="s">
        <v>266</v>
      </c>
      <c r="B2" s="2" t="s">
        <v>69</v>
      </c>
      <c r="C2" s="2" t="s">
        <v>70</v>
      </c>
      <c r="D2" s="2" t="s">
        <v>183</v>
      </c>
      <c r="E2" s="2" t="s">
        <v>183</v>
      </c>
      <c r="F2" s="2" t="s">
        <v>264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f>IFERROR(VLOOKUP(B2,'1️⃣ רשימת עובדים'!$D$3:$G$100,4,FALSE),0)</f>
        <v>863.72865712967234</v>
      </c>
      <c r="M2" s="2">
        <f t="shared" ref="M2:M33" si="0">H2*L2</f>
        <v>863.72865712967234</v>
      </c>
      <c r="N2" s="2">
        <f t="shared" ref="N2:N33" si="1">(I2+J2+K2)*L2</f>
        <v>0</v>
      </c>
      <c r="O2" s="2">
        <f t="shared" ref="O2:O33" si="2">M2*0.2</f>
        <v>172.74573142593448</v>
      </c>
      <c r="P2" s="2">
        <f t="shared" ref="P2:P33" si="3">N2+O2</f>
        <v>172.74573142593448</v>
      </c>
      <c r="Q2" s="3" t="s">
        <v>265</v>
      </c>
    </row>
    <row r="3" spans="1:18" ht="15" hidden="1" x14ac:dyDescent="0.2">
      <c r="A3" s="2" t="s">
        <v>268</v>
      </c>
      <c r="B3" s="2" t="s">
        <v>74</v>
      </c>
      <c r="C3" s="2" t="s">
        <v>75</v>
      </c>
      <c r="D3" s="2" t="s">
        <v>386</v>
      </c>
      <c r="E3" s="2" t="s">
        <v>387</v>
      </c>
      <c r="F3" s="2" t="s">
        <v>267</v>
      </c>
      <c r="G3" s="2">
        <v>17</v>
      </c>
      <c r="H3" s="2">
        <v>13</v>
      </c>
      <c r="I3" s="2">
        <v>2</v>
      </c>
      <c r="J3" s="2">
        <v>2</v>
      </c>
      <c r="K3" s="2">
        <v>0</v>
      </c>
      <c r="L3" s="2">
        <f>IFERROR(VLOOKUP(B3,'1️⃣ רשימת עובדים'!$D$3:$G$100,4,FALSE),0)</f>
        <v>1108.7217351176739</v>
      </c>
      <c r="M3" s="2">
        <f t="shared" si="0"/>
        <v>14413.382556529761</v>
      </c>
      <c r="N3" s="2">
        <f t="shared" si="1"/>
        <v>4434.8869404706957</v>
      </c>
      <c r="O3" s="2">
        <f t="shared" si="2"/>
        <v>2882.6765113059523</v>
      </c>
      <c r="P3" s="2">
        <f t="shared" si="3"/>
        <v>7317.5634517766484</v>
      </c>
      <c r="Q3" s="3" t="s">
        <v>265</v>
      </c>
    </row>
    <row r="4" spans="1:18" ht="15" x14ac:dyDescent="0.2">
      <c r="A4" s="2" t="s">
        <v>270</v>
      </c>
      <c r="B4" s="2" t="s">
        <v>78</v>
      </c>
      <c r="C4" s="2" t="s">
        <v>70</v>
      </c>
      <c r="D4" s="2" t="s">
        <v>140</v>
      </c>
      <c r="E4" s="2" t="s">
        <v>158</v>
      </c>
      <c r="F4" s="2" t="s">
        <v>269</v>
      </c>
      <c r="G4" s="2">
        <v>3</v>
      </c>
      <c r="H4" s="2">
        <v>3</v>
      </c>
      <c r="I4" s="2">
        <v>0</v>
      </c>
      <c r="J4" s="2">
        <v>0</v>
      </c>
      <c r="K4" s="2">
        <v>0</v>
      </c>
      <c r="L4" s="2">
        <f>IFERROR(VLOOKUP(B4,'1️⃣ רשימת עובדים'!$D$3:$G$100,4,FALSE),0)</f>
        <v>946.00830641439768</v>
      </c>
      <c r="M4" s="2">
        <f t="shared" si="0"/>
        <v>2838.0249192431929</v>
      </c>
      <c r="N4" s="2">
        <f t="shared" si="1"/>
        <v>0</v>
      </c>
      <c r="O4" s="2">
        <f t="shared" si="2"/>
        <v>567.60498384863865</v>
      </c>
      <c r="P4" s="2">
        <f t="shared" si="3"/>
        <v>567.60498384863865</v>
      </c>
      <c r="Q4" s="3" t="s">
        <v>265</v>
      </c>
    </row>
    <row r="5" spans="1:18" ht="15" hidden="1" x14ac:dyDescent="0.2">
      <c r="A5" s="2" t="s">
        <v>272</v>
      </c>
      <c r="B5" s="2" t="s">
        <v>78</v>
      </c>
      <c r="C5" s="2" t="s">
        <v>70</v>
      </c>
      <c r="D5" s="2" t="s">
        <v>225</v>
      </c>
      <c r="E5" s="2" t="s">
        <v>388</v>
      </c>
      <c r="F5" s="2" t="s">
        <v>271</v>
      </c>
      <c r="G5" s="2">
        <v>3</v>
      </c>
      <c r="H5" s="2">
        <v>3</v>
      </c>
      <c r="I5" s="2">
        <v>0</v>
      </c>
      <c r="J5" s="2">
        <v>0</v>
      </c>
      <c r="K5" s="2">
        <v>0</v>
      </c>
      <c r="L5" s="2">
        <f>IFERROR(VLOOKUP(B5,'1️⃣ רשימת עובדים'!$D$3:$G$100,4,FALSE),0)</f>
        <v>946.00830641439768</v>
      </c>
      <c r="M5" s="2">
        <f t="shared" si="0"/>
        <v>2838.0249192431929</v>
      </c>
      <c r="N5" s="2">
        <f t="shared" si="1"/>
        <v>0</v>
      </c>
      <c r="O5" s="2">
        <f t="shared" si="2"/>
        <v>567.60498384863865</v>
      </c>
      <c r="P5" s="2">
        <f t="shared" si="3"/>
        <v>567.60498384863865</v>
      </c>
      <c r="Q5" s="3" t="s">
        <v>265</v>
      </c>
    </row>
    <row r="6" spans="1:18" ht="15" hidden="1" x14ac:dyDescent="0.2">
      <c r="A6" s="2" t="s">
        <v>274</v>
      </c>
      <c r="B6" s="2" t="s">
        <v>78</v>
      </c>
      <c r="C6" s="2" t="s">
        <v>70</v>
      </c>
      <c r="D6" s="2" t="s">
        <v>218</v>
      </c>
      <c r="E6" s="2" t="s">
        <v>235</v>
      </c>
      <c r="F6" s="2" t="s">
        <v>273</v>
      </c>
      <c r="G6" s="2">
        <v>15</v>
      </c>
      <c r="H6" s="2">
        <v>11</v>
      </c>
      <c r="I6" s="2">
        <v>2</v>
      </c>
      <c r="J6" s="2">
        <v>2</v>
      </c>
      <c r="K6" s="2">
        <v>0</v>
      </c>
      <c r="L6" s="2">
        <f>IFERROR(VLOOKUP(B6,'1️⃣ רשימת עובדים'!$D$3:$G$100,4,FALSE),0)</f>
        <v>946.00830641439768</v>
      </c>
      <c r="M6" s="2">
        <f t="shared" si="0"/>
        <v>10406.091370558375</v>
      </c>
      <c r="N6" s="2">
        <f t="shared" si="1"/>
        <v>3784.0332256575907</v>
      </c>
      <c r="O6" s="2">
        <f t="shared" si="2"/>
        <v>2081.2182741116753</v>
      </c>
      <c r="P6" s="2">
        <f t="shared" si="3"/>
        <v>5865.251499769266</v>
      </c>
      <c r="Q6" s="3" t="s">
        <v>265</v>
      </c>
    </row>
    <row r="7" spans="1:18" ht="15" hidden="1" x14ac:dyDescent="0.2">
      <c r="A7" s="2" t="s">
        <v>276</v>
      </c>
      <c r="B7" s="2" t="s">
        <v>78</v>
      </c>
      <c r="C7" s="2" t="s">
        <v>70</v>
      </c>
      <c r="D7" s="2" t="s">
        <v>389</v>
      </c>
      <c r="E7" s="2" t="s">
        <v>209</v>
      </c>
      <c r="F7" s="2" t="s">
        <v>275</v>
      </c>
      <c r="G7" s="2">
        <v>3</v>
      </c>
      <c r="H7" s="2">
        <v>3</v>
      </c>
      <c r="I7" s="2">
        <v>0</v>
      </c>
      <c r="J7" s="2">
        <v>0</v>
      </c>
      <c r="K7" s="2">
        <v>0</v>
      </c>
      <c r="L7" s="2">
        <f>IFERROR(VLOOKUP(B7,'1️⃣ רשימת עובדים'!$D$3:$G$100,4,FALSE),0)</f>
        <v>946.00830641439768</v>
      </c>
      <c r="M7" s="2">
        <f t="shared" si="0"/>
        <v>2838.0249192431929</v>
      </c>
      <c r="N7" s="2">
        <f t="shared" si="1"/>
        <v>0</v>
      </c>
      <c r="O7" s="2">
        <f t="shared" si="2"/>
        <v>567.60498384863865</v>
      </c>
      <c r="P7" s="2">
        <f t="shared" si="3"/>
        <v>567.60498384863865</v>
      </c>
      <c r="Q7" s="3" t="s">
        <v>265</v>
      </c>
    </row>
    <row r="8" spans="1:18" ht="15" hidden="1" x14ac:dyDescent="0.2">
      <c r="A8" s="2" t="s">
        <v>277</v>
      </c>
      <c r="B8" s="2" t="s">
        <v>78</v>
      </c>
      <c r="C8" s="2" t="s">
        <v>70</v>
      </c>
      <c r="D8" s="2" t="s">
        <v>390</v>
      </c>
      <c r="E8" s="2" t="s">
        <v>391</v>
      </c>
      <c r="F8" s="2" t="s">
        <v>267</v>
      </c>
      <c r="G8" s="2">
        <v>4</v>
      </c>
      <c r="H8" s="2">
        <v>2</v>
      </c>
      <c r="I8" s="2">
        <v>1</v>
      </c>
      <c r="J8" s="2">
        <v>1</v>
      </c>
      <c r="K8" s="2">
        <v>0</v>
      </c>
      <c r="L8" s="2">
        <f>IFERROR(VLOOKUP(B8,'1️⃣ רשימת עובדים'!$D$3:$G$100,4,FALSE),0)</f>
        <v>946.00830641439768</v>
      </c>
      <c r="M8" s="2">
        <f t="shared" si="0"/>
        <v>1892.0166128287954</v>
      </c>
      <c r="N8" s="2">
        <f t="shared" si="1"/>
        <v>1892.0166128287954</v>
      </c>
      <c r="O8" s="2">
        <f t="shared" si="2"/>
        <v>378.40332256575908</v>
      </c>
      <c r="P8" s="2">
        <f t="shared" si="3"/>
        <v>2270.4199353945546</v>
      </c>
      <c r="Q8" s="3" t="s">
        <v>265</v>
      </c>
    </row>
    <row r="9" spans="1:18" ht="15" x14ac:dyDescent="0.2">
      <c r="A9" s="2" t="s">
        <v>279</v>
      </c>
      <c r="B9" s="2" t="s">
        <v>82</v>
      </c>
      <c r="C9" s="2" t="s">
        <v>75</v>
      </c>
      <c r="D9" s="2" t="s">
        <v>141</v>
      </c>
      <c r="E9" s="2" t="s">
        <v>392</v>
      </c>
      <c r="F9" s="2" t="s">
        <v>269</v>
      </c>
      <c r="G9" s="2">
        <v>4</v>
      </c>
      <c r="H9" s="2">
        <v>3</v>
      </c>
      <c r="I9" s="2">
        <v>0</v>
      </c>
      <c r="J9" s="2">
        <v>1</v>
      </c>
      <c r="K9" s="2">
        <v>0</v>
      </c>
      <c r="L9" s="2">
        <f>IFERROR(VLOOKUP(B9,'1️⃣ רשימת עובדים'!$D$3:$G$100,4,FALSE),0)</f>
        <v>868.85094600830632</v>
      </c>
      <c r="M9" s="2">
        <f t="shared" si="0"/>
        <v>2606.5528380249189</v>
      </c>
      <c r="N9" s="2">
        <f t="shared" si="1"/>
        <v>868.85094600830632</v>
      </c>
      <c r="O9" s="2">
        <f t="shared" si="2"/>
        <v>521.31056760498382</v>
      </c>
      <c r="P9" s="2">
        <f t="shared" si="3"/>
        <v>1390.16151361329</v>
      </c>
      <c r="Q9" s="3" t="s">
        <v>265</v>
      </c>
    </row>
    <row r="10" spans="1:18" ht="15" hidden="1" x14ac:dyDescent="0.2">
      <c r="A10" s="2" t="s">
        <v>280</v>
      </c>
      <c r="B10" s="2" t="s">
        <v>82</v>
      </c>
      <c r="C10" s="2" t="s">
        <v>75</v>
      </c>
      <c r="D10" s="2" t="s">
        <v>393</v>
      </c>
      <c r="E10" s="2" t="s">
        <v>219</v>
      </c>
      <c r="F10" s="2" t="s">
        <v>264</v>
      </c>
      <c r="G10" s="2">
        <v>4</v>
      </c>
      <c r="H10" s="2">
        <v>3</v>
      </c>
      <c r="I10" s="2">
        <v>0</v>
      </c>
      <c r="J10" s="2">
        <v>1</v>
      </c>
      <c r="K10" s="2">
        <v>0</v>
      </c>
      <c r="L10" s="2">
        <f>IFERROR(VLOOKUP(B10,'1️⃣ רשימת עובדים'!$D$3:$G$100,4,FALSE),0)</f>
        <v>868.85094600830632</v>
      </c>
      <c r="M10" s="2">
        <f t="shared" si="0"/>
        <v>2606.5528380249189</v>
      </c>
      <c r="N10" s="2">
        <f t="shared" si="1"/>
        <v>868.85094600830632</v>
      </c>
      <c r="O10" s="2">
        <f t="shared" si="2"/>
        <v>521.31056760498382</v>
      </c>
      <c r="P10" s="2">
        <f t="shared" si="3"/>
        <v>1390.16151361329</v>
      </c>
      <c r="Q10" s="3" t="s">
        <v>265</v>
      </c>
    </row>
    <row r="11" spans="1:18" ht="15" hidden="1" x14ac:dyDescent="0.2">
      <c r="A11" s="2" t="s">
        <v>394</v>
      </c>
      <c r="B11" s="2" t="s">
        <v>82</v>
      </c>
      <c r="C11" s="2" t="s">
        <v>75</v>
      </c>
      <c r="D11" s="2" t="s">
        <v>181</v>
      </c>
      <c r="E11" s="2" t="s">
        <v>181</v>
      </c>
      <c r="F11" s="2" t="s">
        <v>281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f>IFERROR(VLOOKUP(B11,'1️⃣ רשימת עובדים'!$D$3:$G$100,4,FALSE),0)</f>
        <v>868.85094600830632</v>
      </c>
      <c r="M11" s="2">
        <f t="shared" si="0"/>
        <v>868.85094600830632</v>
      </c>
      <c r="N11" s="2">
        <f t="shared" si="1"/>
        <v>0</v>
      </c>
      <c r="O11" s="2">
        <f t="shared" si="2"/>
        <v>173.77018920166128</v>
      </c>
      <c r="P11" s="2">
        <f t="shared" si="3"/>
        <v>173.77018920166128</v>
      </c>
      <c r="Q11" s="3" t="s">
        <v>265</v>
      </c>
    </row>
    <row r="12" spans="1:18" ht="15" hidden="1" x14ac:dyDescent="0.2">
      <c r="A12" s="2" t="s">
        <v>395</v>
      </c>
      <c r="B12" s="2" t="s">
        <v>82</v>
      </c>
      <c r="C12" s="2" t="s">
        <v>75</v>
      </c>
      <c r="D12" s="2" t="s">
        <v>396</v>
      </c>
      <c r="E12" s="2" t="s">
        <v>396</v>
      </c>
      <c r="F12" s="2" t="s">
        <v>281</v>
      </c>
      <c r="G12" s="2">
        <v>1</v>
      </c>
      <c r="H12" s="2">
        <v>0</v>
      </c>
      <c r="I12" s="2">
        <v>0</v>
      </c>
      <c r="J12" s="2">
        <v>1</v>
      </c>
      <c r="K12" s="2">
        <v>0</v>
      </c>
      <c r="L12" s="2">
        <f>IFERROR(VLOOKUP(B12,'1️⃣ רשימת עובדים'!$D$3:$G$100,4,FALSE),0)</f>
        <v>868.85094600830632</v>
      </c>
      <c r="M12" s="2">
        <f t="shared" si="0"/>
        <v>0</v>
      </c>
      <c r="N12" s="2">
        <f t="shared" si="1"/>
        <v>868.85094600830632</v>
      </c>
      <c r="O12" s="2">
        <f t="shared" si="2"/>
        <v>0</v>
      </c>
      <c r="P12" s="2">
        <f t="shared" si="3"/>
        <v>868.85094600830632</v>
      </c>
      <c r="Q12" s="3" t="s">
        <v>265</v>
      </c>
    </row>
    <row r="13" spans="1:18" ht="15" hidden="1" x14ac:dyDescent="0.2">
      <c r="A13" s="2" t="s">
        <v>283</v>
      </c>
      <c r="B13" s="2" t="s">
        <v>82</v>
      </c>
      <c r="C13" s="2" t="s">
        <v>75</v>
      </c>
      <c r="D13" s="2" t="s">
        <v>200</v>
      </c>
      <c r="E13" s="2" t="s">
        <v>203</v>
      </c>
      <c r="F13" s="2" t="s">
        <v>271</v>
      </c>
      <c r="G13" s="2">
        <v>21</v>
      </c>
      <c r="H13" s="2">
        <v>15</v>
      </c>
      <c r="I13" s="2">
        <v>3</v>
      </c>
      <c r="J13" s="2">
        <v>3</v>
      </c>
      <c r="K13" s="2">
        <v>0</v>
      </c>
      <c r="L13" s="2">
        <f>IFERROR(VLOOKUP(B13,'1️⃣ רשימת עובדים'!$D$3:$G$100,4,FALSE),0)</f>
        <v>868.85094600830632</v>
      </c>
      <c r="M13" s="2">
        <f t="shared" si="0"/>
        <v>13032.764190124595</v>
      </c>
      <c r="N13" s="2">
        <f t="shared" si="1"/>
        <v>5213.1056760498377</v>
      </c>
      <c r="O13" s="2">
        <f t="shared" si="2"/>
        <v>2606.5528380249193</v>
      </c>
      <c r="P13" s="2">
        <f t="shared" si="3"/>
        <v>7819.6585140747575</v>
      </c>
      <c r="Q13" s="3" t="s">
        <v>265</v>
      </c>
    </row>
    <row r="14" spans="1:18" ht="15" hidden="1" x14ac:dyDescent="0.2">
      <c r="A14" s="2" t="s">
        <v>285</v>
      </c>
      <c r="B14" s="2" t="s">
        <v>82</v>
      </c>
      <c r="C14" s="2" t="s">
        <v>75</v>
      </c>
      <c r="D14" s="2" t="s">
        <v>397</v>
      </c>
      <c r="E14" s="2" t="s">
        <v>398</v>
      </c>
      <c r="F14" s="2" t="s">
        <v>284</v>
      </c>
      <c r="G14" s="2">
        <v>5</v>
      </c>
      <c r="H14" s="2">
        <v>4</v>
      </c>
      <c r="I14" s="2">
        <v>0</v>
      </c>
      <c r="J14" s="2">
        <v>1</v>
      </c>
      <c r="K14" s="2">
        <v>0</v>
      </c>
      <c r="L14" s="2">
        <f>IFERROR(VLOOKUP(B14,'1️⃣ רשימת עובדים'!$D$3:$G$100,4,FALSE),0)</f>
        <v>868.85094600830632</v>
      </c>
      <c r="M14" s="2">
        <f t="shared" si="0"/>
        <v>3475.4037840332253</v>
      </c>
      <c r="N14" s="2">
        <f t="shared" si="1"/>
        <v>868.85094600830632</v>
      </c>
      <c r="O14" s="2">
        <f t="shared" si="2"/>
        <v>695.08075680664513</v>
      </c>
      <c r="P14" s="2">
        <f t="shared" si="3"/>
        <v>1563.9317028149514</v>
      </c>
      <c r="Q14" s="3" t="s">
        <v>265</v>
      </c>
    </row>
    <row r="15" spans="1:18" ht="15" x14ac:dyDescent="0.2">
      <c r="A15" s="2" t="s">
        <v>286</v>
      </c>
      <c r="B15" s="2" t="s">
        <v>85</v>
      </c>
      <c r="C15" s="2" t="s">
        <v>75</v>
      </c>
      <c r="D15" s="2" t="s">
        <v>399</v>
      </c>
      <c r="E15" s="2" t="s">
        <v>400</v>
      </c>
      <c r="F15" s="2" t="s">
        <v>269</v>
      </c>
      <c r="G15" s="2">
        <v>5</v>
      </c>
      <c r="H15" s="2">
        <v>4</v>
      </c>
      <c r="I15" s="2">
        <v>0</v>
      </c>
      <c r="J15" s="2">
        <v>1</v>
      </c>
      <c r="K15" s="2">
        <v>0</v>
      </c>
      <c r="L15" s="2">
        <f>IFERROR(VLOOKUP(B15,'1️⃣ רשימת עובדים'!$D$3:$G$100,4,FALSE),0)</f>
        <v>670.60452238117205</v>
      </c>
      <c r="M15" s="2">
        <f t="shared" si="0"/>
        <v>2682.4180895246882</v>
      </c>
      <c r="N15" s="2">
        <f t="shared" si="1"/>
        <v>670.60452238117205</v>
      </c>
      <c r="O15" s="2">
        <f t="shared" si="2"/>
        <v>536.48361790493766</v>
      </c>
      <c r="P15" s="2">
        <f t="shared" si="3"/>
        <v>1207.0881402861096</v>
      </c>
      <c r="Q15" s="3" t="s">
        <v>265</v>
      </c>
    </row>
    <row r="16" spans="1:18" ht="15" hidden="1" x14ac:dyDescent="0.2">
      <c r="A16" s="2" t="s">
        <v>287</v>
      </c>
      <c r="B16" s="2" t="s">
        <v>85</v>
      </c>
      <c r="C16" s="2" t="s">
        <v>75</v>
      </c>
      <c r="D16" s="2" t="s">
        <v>401</v>
      </c>
      <c r="E16" s="2" t="s">
        <v>402</v>
      </c>
      <c r="F16" s="2" t="s">
        <v>281</v>
      </c>
      <c r="G16" s="2">
        <v>38</v>
      </c>
      <c r="H16" s="2">
        <v>28</v>
      </c>
      <c r="I16" s="2">
        <v>5</v>
      </c>
      <c r="J16" s="2">
        <v>5</v>
      </c>
      <c r="K16" s="2">
        <v>0</v>
      </c>
      <c r="L16" s="2">
        <f>IFERROR(VLOOKUP(B16,'1️⃣ רשימת עובדים'!$D$3:$G$100,4,FALSE),0)</f>
        <v>670.60452238117205</v>
      </c>
      <c r="M16" s="2">
        <f t="shared" si="0"/>
        <v>18776.926626672815</v>
      </c>
      <c r="N16" s="2">
        <f t="shared" si="1"/>
        <v>6706.0452238117205</v>
      </c>
      <c r="O16" s="2">
        <f t="shared" si="2"/>
        <v>3755.3853253345633</v>
      </c>
      <c r="P16" s="2">
        <f t="shared" si="3"/>
        <v>10461.430549146284</v>
      </c>
      <c r="Q16" s="3" t="s">
        <v>265</v>
      </c>
    </row>
    <row r="17" spans="1:17" ht="15" hidden="1" x14ac:dyDescent="0.2">
      <c r="A17" s="2" t="s">
        <v>288</v>
      </c>
      <c r="B17" s="2" t="s">
        <v>85</v>
      </c>
      <c r="C17" s="2" t="s">
        <v>75</v>
      </c>
      <c r="D17" s="2" t="s">
        <v>403</v>
      </c>
      <c r="E17" s="2" t="s">
        <v>207</v>
      </c>
      <c r="F17" s="2" t="s">
        <v>273</v>
      </c>
      <c r="G17" s="2">
        <v>28</v>
      </c>
      <c r="H17" s="2">
        <v>20</v>
      </c>
      <c r="I17" s="2">
        <v>4</v>
      </c>
      <c r="J17" s="2">
        <v>4</v>
      </c>
      <c r="K17" s="2">
        <v>0</v>
      </c>
      <c r="L17" s="2">
        <f>IFERROR(VLOOKUP(B17,'1️⃣ רשימת עובדים'!$D$3:$G$100,4,FALSE),0)</f>
        <v>670.60452238117205</v>
      </c>
      <c r="M17" s="2">
        <f t="shared" si="0"/>
        <v>13412.090447623441</v>
      </c>
      <c r="N17" s="2">
        <f t="shared" si="1"/>
        <v>5364.8361790493764</v>
      </c>
      <c r="O17" s="2">
        <f t="shared" si="2"/>
        <v>2682.4180895246882</v>
      </c>
      <c r="P17" s="2">
        <f t="shared" si="3"/>
        <v>8047.2542685740646</v>
      </c>
      <c r="Q17" s="3" t="s">
        <v>265</v>
      </c>
    </row>
    <row r="18" spans="1:17" ht="15" hidden="1" x14ac:dyDescent="0.2">
      <c r="A18" s="2" t="s">
        <v>404</v>
      </c>
      <c r="B18" s="2" t="s">
        <v>85</v>
      </c>
      <c r="C18" s="2" t="s">
        <v>75</v>
      </c>
      <c r="D18" s="2" t="s">
        <v>405</v>
      </c>
      <c r="E18" s="2" t="s">
        <v>405</v>
      </c>
      <c r="F18" s="2" t="s">
        <v>275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f>IFERROR(VLOOKUP(B18,'1️⃣ רשימת עובדים'!$D$3:$G$100,4,FALSE),0)</f>
        <v>670.60452238117205</v>
      </c>
      <c r="M18" s="2">
        <f t="shared" si="0"/>
        <v>670.60452238117205</v>
      </c>
      <c r="N18" s="2">
        <f t="shared" si="1"/>
        <v>0</v>
      </c>
      <c r="O18" s="2">
        <f t="shared" si="2"/>
        <v>134.12090447623441</v>
      </c>
      <c r="P18" s="2">
        <f t="shared" si="3"/>
        <v>134.12090447623441</v>
      </c>
      <c r="Q18" s="3" t="s">
        <v>265</v>
      </c>
    </row>
    <row r="19" spans="1:17" ht="15" hidden="1" x14ac:dyDescent="0.2">
      <c r="A19" s="2" t="s">
        <v>406</v>
      </c>
      <c r="B19" s="2" t="s">
        <v>85</v>
      </c>
      <c r="C19" s="2" t="s">
        <v>75</v>
      </c>
      <c r="D19" s="2" t="s">
        <v>407</v>
      </c>
      <c r="E19" s="2" t="s">
        <v>408</v>
      </c>
      <c r="F19" s="2" t="s">
        <v>275</v>
      </c>
      <c r="G19" s="2">
        <v>2</v>
      </c>
      <c r="H19" s="2">
        <v>1</v>
      </c>
      <c r="I19" s="2">
        <v>0</v>
      </c>
      <c r="J19" s="2">
        <v>1</v>
      </c>
      <c r="K19" s="2">
        <v>0</v>
      </c>
      <c r="L19" s="2">
        <f>IFERROR(VLOOKUP(B19,'1️⃣ רשימת עובדים'!$D$3:$G$100,4,FALSE),0)</f>
        <v>670.60452238117205</v>
      </c>
      <c r="M19" s="2">
        <f t="shared" si="0"/>
        <v>670.60452238117205</v>
      </c>
      <c r="N19" s="2">
        <f t="shared" si="1"/>
        <v>670.60452238117205</v>
      </c>
      <c r="O19" s="2">
        <f t="shared" si="2"/>
        <v>134.12090447623441</v>
      </c>
      <c r="P19" s="2">
        <f t="shared" si="3"/>
        <v>804.72542685740643</v>
      </c>
      <c r="Q19" s="3" t="s">
        <v>265</v>
      </c>
    </row>
    <row r="20" spans="1:17" ht="15" hidden="1" x14ac:dyDescent="0.2">
      <c r="A20" s="2" t="s">
        <v>290</v>
      </c>
      <c r="B20" s="2" t="s">
        <v>85</v>
      </c>
      <c r="C20" s="2" t="s">
        <v>75</v>
      </c>
      <c r="D20" s="2" t="s">
        <v>409</v>
      </c>
      <c r="E20" s="2" t="s">
        <v>410</v>
      </c>
      <c r="F20" s="2" t="s">
        <v>284</v>
      </c>
      <c r="G20" s="2">
        <v>2</v>
      </c>
      <c r="H20" s="2">
        <v>2</v>
      </c>
      <c r="I20" s="2">
        <v>0</v>
      </c>
      <c r="J20" s="2">
        <v>0</v>
      </c>
      <c r="K20" s="2">
        <v>0</v>
      </c>
      <c r="L20" s="2">
        <f>IFERROR(VLOOKUP(B20,'1️⃣ רשימת עובדים'!$D$3:$G$100,4,FALSE),0)</f>
        <v>670.60452238117205</v>
      </c>
      <c r="M20" s="2">
        <f t="shared" si="0"/>
        <v>1341.2090447623441</v>
      </c>
      <c r="N20" s="2">
        <f t="shared" si="1"/>
        <v>0</v>
      </c>
      <c r="O20" s="2">
        <f t="shared" si="2"/>
        <v>268.24180895246883</v>
      </c>
      <c r="P20" s="2">
        <f t="shared" si="3"/>
        <v>268.24180895246883</v>
      </c>
      <c r="Q20" s="3" t="s">
        <v>265</v>
      </c>
    </row>
    <row r="21" spans="1:17" ht="15" hidden="1" x14ac:dyDescent="0.2">
      <c r="A21" s="2" t="s">
        <v>411</v>
      </c>
      <c r="B21" s="2" t="s">
        <v>85</v>
      </c>
      <c r="C21" s="2" t="s">
        <v>75</v>
      </c>
      <c r="D21" s="2" t="s">
        <v>412</v>
      </c>
      <c r="E21" s="2" t="s">
        <v>390</v>
      </c>
      <c r="F21" s="2" t="s">
        <v>267</v>
      </c>
      <c r="G21" s="2">
        <v>3</v>
      </c>
      <c r="H21" s="2">
        <v>3</v>
      </c>
      <c r="I21" s="2">
        <v>0</v>
      </c>
      <c r="J21" s="2">
        <v>0</v>
      </c>
      <c r="K21" s="2">
        <v>0</v>
      </c>
      <c r="L21" s="2">
        <f>IFERROR(VLOOKUP(B21,'1️⃣ רשימת עובדים'!$D$3:$G$100,4,FALSE),0)</f>
        <v>670.60452238117205</v>
      </c>
      <c r="M21" s="2">
        <f t="shared" si="0"/>
        <v>2011.8135671435161</v>
      </c>
      <c r="N21" s="2">
        <f t="shared" si="1"/>
        <v>0</v>
      </c>
      <c r="O21" s="2">
        <f t="shared" si="2"/>
        <v>402.36271342870327</v>
      </c>
      <c r="P21" s="2">
        <f t="shared" si="3"/>
        <v>402.36271342870327</v>
      </c>
      <c r="Q21" s="3" t="s">
        <v>265</v>
      </c>
    </row>
    <row r="22" spans="1:17" ht="15" hidden="1" x14ac:dyDescent="0.2">
      <c r="A22" s="2" t="s">
        <v>413</v>
      </c>
      <c r="B22" s="2" t="s">
        <v>85</v>
      </c>
      <c r="C22" s="2" t="s">
        <v>75</v>
      </c>
      <c r="D22" s="2" t="s">
        <v>414</v>
      </c>
      <c r="E22" s="2" t="s">
        <v>414</v>
      </c>
      <c r="F22" s="2" t="s">
        <v>267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>
        <f>IFERROR(VLOOKUP(B22,'1️⃣ רשימת עובדים'!$D$3:$G$100,4,FALSE),0)</f>
        <v>670.60452238117205</v>
      </c>
      <c r="M22" s="2">
        <f t="shared" si="0"/>
        <v>670.60452238117205</v>
      </c>
      <c r="N22" s="2">
        <f t="shared" si="1"/>
        <v>0</v>
      </c>
      <c r="O22" s="2">
        <f t="shared" si="2"/>
        <v>134.12090447623441</v>
      </c>
      <c r="P22" s="2">
        <f t="shared" si="3"/>
        <v>134.12090447623441</v>
      </c>
      <c r="Q22" s="3" t="s">
        <v>265</v>
      </c>
    </row>
    <row r="23" spans="1:17" ht="15" hidden="1" x14ac:dyDescent="0.2">
      <c r="A23" s="2" t="s">
        <v>292</v>
      </c>
      <c r="B23" s="2" t="s">
        <v>88</v>
      </c>
      <c r="C23" s="2" t="s">
        <v>75</v>
      </c>
      <c r="D23" s="2" t="s">
        <v>216</v>
      </c>
      <c r="E23" s="2" t="s">
        <v>216</v>
      </c>
      <c r="F23" s="2" t="s">
        <v>273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>
        <f>IFERROR(VLOOKUP(B23,'1️⃣ רשימת עובדים'!$D$3:$G$100,4,FALSE),0)</f>
        <v>950.00461467466528</v>
      </c>
      <c r="M23" s="2">
        <f t="shared" si="0"/>
        <v>950.00461467466528</v>
      </c>
      <c r="N23" s="2">
        <f t="shared" si="1"/>
        <v>0</v>
      </c>
      <c r="O23" s="2">
        <f t="shared" si="2"/>
        <v>190.00092293493307</v>
      </c>
      <c r="P23" s="2">
        <f t="shared" si="3"/>
        <v>190.00092293493307</v>
      </c>
      <c r="Q23" s="3" t="s">
        <v>265</v>
      </c>
    </row>
    <row r="24" spans="1:17" ht="15" hidden="1" x14ac:dyDescent="0.2">
      <c r="A24" s="2" t="s">
        <v>415</v>
      </c>
      <c r="B24" s="2" t="s">
        <v>91</v>
      </c>
      <c r="C24" s="2" t="s">
        <v>92</v>
      </c>
      <c r="D24" s="2" t="s">
        <v>416</v>
      </c>
      <c r="E24" s="2" t="s">
        <v>416</v>
      </c>
      <c r="F24" s="2" t="s">
        <v>293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">
        <f>IFERROR(VLOOKUP(B24,'1️⃣ רשימת עובדים'!$D$3:$G$100,4,FALSE),0)</f>
        <v>1282.464236271343</v>
      </c>
      <c r="M24" s="2">
        <f t="shared" si="0"/>
        <v>1282.464236271343</v>
      </c>
      <c r="N24" s="2">
        <f t="shared" si="1"/>
        <v>0</v>
      </c>
      <c r="O24" s="2">
        <f t="shared" si="2"/>
        <v>256.49284725426861</v>
      </c>
      <c r="P24" s="2">
        <f t="shared" si="3"/>
        <v>256.49284725426861</v>
      </c>
      <c r="Q24" s="3" t="s">
        <v>265</v>
      </c>
    </row>
    <row r="25" spans="1:17" ht="15" hidden="1" x14ac:dyDescent="0.2">
      <c r="A25" s="2" t="s">
        <v>417</v>
      </c>
      <c r="B25" s="2" t="s">
        <v>91</v>
      </c>
      <c r="C25" s="2" t="s">
        <v>92</v>
      </c>
      <c r="D25" s="2" t="s">
        <v>195</v>
      </c>
      <c r="E25" s="2" t="s">
        <v>195</v>
      </c>
      <c r="F25" s="2" t="s">
        <v>293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f>IFERROR(VLOOKUP(B25,'1️⃣ רשימת עובדים'!$D$3:$G$100,4,FALSE),0)</f>
        <v>1282.464236271343</v>
      </c>
      <c r="M25" s="2">
        <f t="shared" si="0"/>
        <v>0</v>
      </c>
      <c r="N25" s="2">
        <f t="shared" si="1"/>
        <v>1282.464236271343</v>
      </c>
      <c r="O25" s="2">
        <f t="shared" si="2"/>
        <v>0</v>
      </c>
      <c r="P25" s="2">
        <f t="shared" si="3"/>
        <v>1282.464236271343</v>
      </c>
      <c r="Q25" s="3" t="s">
        <v>265</v>
      </c>
    </row>
    <row r="26" spans="1:17" ht="15" hidden="1" x14ac:dyDescent="0.2">
      <c r="A26" s="2" t="s">
        <v>295</v>
      </c>
      <c r="B26" s="2" t="s">
        <v>91</v>
      </c>
      <c r="C26" s="2" t="s">
        <v>92</v>
      </c>
      <c r="D26" s="2" t="s">
        <v>218</v>
      </c>
      <c r="E26" s="2" t="s">
        <v>418</v>
      </c>
      <c r="F26" s="2" t="s">
        <v>273</v>
      </c>
      <c r="G26" s="2">
        <v>18</v>
      </c>
      <c r="H26" s="2">
        <v>12</v>
      </c>
      <c r="I26" s="2">
        <v>3</v>
      </c>
      <c r="J26" s="2">
        <v>3</v>
      </c>
      <c r="K26" s="2">
        <v>0</v>
      </c>
      <c r="L26" s="2">
        <f>IFERROR(VLOOKUP(B26,'1️⃣ רשימת עובדים'!$D$3:$G$100,4,FALSE),0)</f>
        <v>1282.464236271343</v>
      </c>
      <c r="M26" s="2">
        <f t="shared" si="0"/>
        <v>15389.570835256116</v>
      </c>
      <c r="N26" s="2">
        <f t="shared" si="1"/>
        <v>7694.785417628058</v>
      </c>
      <c r="O26" s="2">
        <f t="shared" si="2"/>
        <v>3077.9141670512236</v>
      </c>
      <c r="P26" s="2">
        <f t="shared" si="3"/>
        <v>10772.699584679282</v>
      </c>
      <c r="Q26" s="3" t="s">
        <v>265</v>
      </c>
    </row>
    <row r="27" spans="1:17" ht="15" x14ac:dyDescent="0.2">
      <c r="A27" s="2" t="s">
        <v>419</v>
      </c>
      <c r="B27" s="2" t="s">
        <v>96</v>
      </c>
      <c r="C27" s="2" t="s">
        <v>92</v>
      </c>
      <c r="D27" s="2" t="s">
        <v>140</v>
      </c>
      <c r="E27" s="2" t="s">
        <v>140</v>
      </c>
      <c r="F27" s="2" t="s">
        <v>269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">
        <f>IFERROR(VLOOKUP(B27,'1️⃣ רשימת עובדים'!$D$3:$G$100,4,FALSE),0)</f>
        <v>1096.169820027688</v>
      </c>
      <c r="M27" s="2">
        <f t="shared" si="0"/>
        <v>1096.169820027688</v>
      </c>
      <c r="N27" s="2">
        <f t="shared" si="1"/>
        <v>0</v>
      </c>
      <c r="O27" s="2">
        <f t="shared" si="2"/>
        <v>219.23396400553762</v>
      </c>
      <c r="P27" s="2">
        <f t="shared" si="3"/>
        <v>219.23396400553762</v>
      </c>
      <c r="Q27" s="3" t="s">
        <v>265</v>
      </c>
    </row>
    <row r="28" spans="1:17" ht="15" x14ac:dyDescent="0.2">
      <c r="A28" s="2" t="s">
        <v>420</v>
      </c>
      <c r="B28" s="2" t="s">
        <v>96</v>
      </c>
      <c r="C28" s="2" t="s">
        <v>92</v>
      </c>
      <c r="D28" s="2" t="s">
        <v>141</v>
      </c>
      <c r="E28" s="2" t="s">
        <v>142</v>
      </c>
      <c r="F28" s="2" t="s">
        <v>269</v>
      </c>
      <c r="G28" s="2">
        <v>5</v>
      </c>
      <c r="H28" s="2">
        <v>4</v>
      </c>
      <c r="I28" s="2">
        <v>0</v>
      </c>
      <c r="J28" s="2">
        <v>1</v>
      </c>
      <c r="K28" s="2">
        <v>0</v>
      </c>
      <c r="L28" s="2">
        <f>IFERROR(VLOOKUP(B28,'1️⃣ רשימת עובדים'!$D$3:$G$100,4,FALSE),0)</f>
        <v>1096.169820027688</v>
      </c>
      <c r="M28" s="2">
        <f t="shared" si="0"/>
        <v>4384.6792801107522</v>
      </c>
      <c r="N28" s="2">
        <f t="shared" si="1"/>
        <v>1096.169820027688</v>
      </c>
      <c r="O28" s="2">
        <f t="shared" si="2"/>
        <v>876.93585602215046</v>
      </c>
      <c r="P28" s="2">
        <f t="shared" si="3"/>
        <v>1973.1056760498386</v>
      </c>
      <c r="Q28" s="3" t="s">
        <v>265</v>
      </c>
    </row>
    <row r="29" spans="1:17" ht="15" hidden="1" x14ac:dyDescent="0.2">
      <c r="A29" s="2" t="s">
        <v>421</v>
      </c>
      <c r="B29" s="2" t="s">
        <v>96</v>
      </c>
      <c r="C29" s="2" t="s">
        <v>92</v>
      </c>
      <c r="D29" s="2" t="s">
        <v>186</v>
      </c>
      <c r="E29" s="2" t="s">
        <v>186</v>
      </c>
      <c r="F29" s="2" t="s">
        <v>293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">
        <f>IFERROR(VLOOKUP(B29,'1️⃣ רשימת עובדים'!$D$3:$G$100,4,FALSE),0)</f>
        <v>1096.169820027688</v>
      </c>
      <c r="M29" s="2">
        <f t="shared" si="0"/>
        <v>1096.169820027688</v>
      </c>
      <c r="N29" s="2">
        <f t="shared" si="1"/>
        <v>0</v>
      </c>
      <c r="O29" s="2">
        <f t="shared" si="2"/>
        <v>219.23396400553762</v>
      </c>
      <c r="P29" s="2">
        <f t="shared" si="3"/>
        <v>219.23396400553762</v>
      </c>
      <c r="Q29" s="3" t="s">
        <v>265</v>
      </c>
    </row>
    <row r="30" spans="1:17" ht="15" hidden="1" x14ac:dyDescent="0.2">
      <c r="A30" s="2" t="s">
        <v>422</v>
      </c>
      <c r="B30" s="2" t="s">
        <v>96</v>
      </c>
      <c r="C30" s="2" t="s">
        <v>92</v>
      </c>
      <c r="D30" s="2" t="s">
        <v>187</v>
      </c>
      <c r="E30" s="2" t="s">
        <v>188</v>
      </c>
      <c r="F30" s="2" t="s">
        <v>293</v>
      </c>
      <c r="G30" s="2">
        <v>2</v>
      </c>
      <c r="H30" s="2">
        <v>2</v>
      </c>
      <c r="I30" s="2">
        <v>0</v>
      </c>
      <c r="J30" s="2">
        <v>0</v>
      </c>
      <c r="K30" s="2">
        <v>0</v>
      </c>
      <c r="L30" s="2">
        <f>IFERROR(VLOOKUP(B30,'1️⃣ רשימת עובדים'!$D$3:$G$100,4,FALSE),0)</f>
        <v>1096.169820027688</v>
      </c>
      <c r="M30" s="2">
        <f t="shared" si="0"/>
        <v>2192.3396400553761</v>
      </c>
      <c r="N30" s="2">
        <f t="shared" si="1"/>
        <v>0</v>
      </c>
      <c r="O30" s="2">
        <f t="shared" si="2"/>
        <v>438.46792801107523</v>
      </c>
      <c r="P30" s="2">
        <f t="shared" si="3"/>
        <v>438.46792801107523</v>
      </c>
      <c r="Q30" s="3" t="s">
        <v>265</v>
      </c>
    </row>
    <row r="31" spans="1:17" ht="15" hidden="1" x14ac:dyDescent="0.2">
      <c r="A31" s="2" t="s">
        <v>423</v>
      </c>
      <c r="B31" s="2" t="s">
        <v>96</v>
      </c>
      <c r="C31" s="2" t="s">
        <v>92</v>
      </c>
      <c r="D31" s="2" t="s">
        <v>189</v>
      </c>
      <c r="E31" s="2" t="s">
        <v>189</v>
      </c>
      <c r="F31" s="2" t="s">
        <v>293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">
        <f>IFERROR(VLOOKUP(B31,'1️⃣ רשימת עובדים'!$D$3:$G$100,4,FALSE),0)</f>
        <v>1096.169820027688</v>
      </c>
      <c r="M31" s="2">
        <f t="shared" si="0"/>
        <v>1096.169820027688</v>
      </c>
      <c r="N31" s="2">
        <f t="shared" si="1"/>
        <v>0</v>
      </c>
      <c r="O31" s="2">
        <f t="shared" si="2"/>
        <v>219.23396400553762</v>
      </c>
      <c r="P31" s="2">
        <f t="shared" si="3"/>
        <v>219.23396400553762</v>
      </c>
      <c r="Q31" s="3" t="s">
        <v>265</v>
      </c>
    </row>
    <row r="32" spans="1:17" ht="15" hidden="1" x14ac:dyDescent="0.2">
      <c r="A32" s="2" t="s">
        <v>424</v>
      </c>
      <c r="B32" s="2" t="s">
        <v>96</v>
      </c>
      <c r="C32" s="2" t="s">
        <v>92</v>
      </c>
      <c r="D32" s="2" t="s">
        <v>190</v>
      </c>
      <c r="E32" s="2" t="s">
        <v>190</v>
      </c>
      <c r="F32" s="2" t="s">
        <v>264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">
        <f>IFERROR(VLOOKUP(B32,'1️⃣ רשימת עובדים'!$D$3:$G$100,4,FALSE),0)</f>
        <v>1096.169820027688</v>
      </c>
      <c r="M32" s="2">
        <f t="shared" si="0"/>
        <v>1096.169820027688</v>
      </c>
      <c r="N32" s="2">
        <f t="shared" si="1"/>
        <v>0</v>
      </c>
      <c r="O32" s="2">
        <f t="shared" si="2"/>
        <v>219.23396400553762</v>
      </c>
      <c r="P32" s="2">
        <f t="shared" si="3"/>
        <v>219.23396400553762</v>
      </c>
      <c r="Q32" s="3" t="s">
        <v>265</v>
      </c>
    </row>
    <row r="33" spans="1:17" ht="15" hidden="1" x14ac:dyDescent="0.2">
      <c r="A33" s="2" t="s">
        <v>425</v>
      </c>
      <c r="B33" s="2" t="s">
        <v>96</v>
      </c>
      <c r="C33" s="2" t="s">
        <v>92</v>
      </c>
      <c r="D33" s="2" t="s">
        <v>191</v>
      </c>
      <c r="E33" s="2" t="s">
        <v>192</v>
      </c>
      <c r="F33" s="2" t="s">
        <v>264</v>
      </c>
      <c r="G33" s="2">
        <v>3</v>
      </c>
      <c r="H33" s="2">
        <v>3</v>
      </c>
      <c r="I33" s="2">
        <v>0</v>
      </c>
      <c r="J33" s="2">
        <v>0</v>
      </c>
      <c r="K33" s="2">
        <v>0</v>
      </c>
      <c r="L33" s="2">
        <f>IFERROR(VLOOKUP(B33,'1️⃣ רשימת עובדים'!$D$3:$G$100,4,FALSE),0)</f>
        <v>1096.169820027688</v>
      </c>
      <c r="M33" s="2">
        <f t="shared" si="0"/>
        <v>3288.5094600830644</v>
      </c>
      <c r="N33" s="2">
        <f t="shared" si="1"/>
        <v>0</v>
      </c>
      <c r="O33" s="2">
        <f t="shared" si="2"/>
        <v>657.70189201661287</v>
      </c>
      <c r="P33" s="2">
        <f t="shared" si="3"/>
        <v>657.70189201661287</v>
      </c>
      <c r="Q33" s="3" t="s">
        <v>265</v>
      </c>
    </row>
    <row r="34" spans="1:17" ht="15" hidden="1" x14ac:dyDescent="0.2">
      <c r="A34" s="2" t="s">
        <v>426</v>
      </c>
      <c r="B34" s="2" t="s">
        <v>96</v>
      </c>
      <c r="C34" s="2" t="s">
        <v>92</v>
      </c>
      <c r="D34" s="2" t="s">
        <v>193</v>
      </c>
      <c r="E34" s="2" t="s">
        <v>211</v>
      </c>
      <c r="F34" s="2" t="s">
        <v>264</v>
      </c>
      <c r="G34" s="2">
        <v>5</v>
      </c>
      <c r="H34" s="2">
        <v>4</v>
      </c>
      <c r="I34" s="2">
        <v>0</v>
      </c>
      <c r="J34" s="2">
        <v>1</v>
      </c>
      <c r="K34" s="2">
        <v>0</v>
      </c>
      <c r="L34" s="2">
        <f>IFERROR(VLOOKUP(B34,'1️⃣ רשימת עובדים'!$D$3:$G$100,4,FALSE),0)</f>
        <v>1096.169820027688</v>
      </c>
      <c r="M34" s="2">
        <f t="shared" ref="M34:M65" si="4">H34*L34</f>
        <v>4384.6792801107522</v>
      </c>
      <c r="N34" s="2">
        <f t="shared" ref="N34:N65" si="5">(I34+J34+K34)*L34</f>
        <v>1096.169820027688</v>
      </c>
      <c r="O34" s="2">
        <f t="shared" ref="O34:O65" si="6">M34*0.2</f>
        <v>876.93585602215046</v>
      </c>
      <c r="P34" s="2">
        <f t="shared" ref="P34:P65" si="7">N34+O34</f>
        <v>1973.1056760498386</v>
      </c>
      <c r="Q34" s="3" t="s">
        <v>265</v>
      </c>
    </row>
    <row r="35" spans="1:17" ht="15" hidden="1" x14ac:dyDescent="0.2">
      <c r="A35" s="2" t="s">
        <v>299</v>
      </c>
      <c r="B35" s="2" t="s">
        <v>96</v>
      </c>
      <c r="C35" s="2" t="s">
        <v>92</v>
      </c>
      <c r="D35" s="2" t="s">
        <v>212</v>
      </c>
      <c r="E35" s="2" t="s">
        <v>213</v>
      </c>
      <c r="F35" s="2" t="s">
        <v>281</v>
      </c>
      <c r="G35" s="2">
        <v>2</v>
      </c>
      <c r="H35" s="2">
        <v>2</v>
      </c>
      <c r="I35" s="2">
        <v>0</v>
      </c>
      <c r="J35" s="2">
        <v>0</v>
      </c>
      <c r="K35" s="2">
        <v>0</v>
      </c>
      <c r="L35" s="2">
        <f>IFERROR(VLOOKUP(B35,'1️⃣ רשימת עובדים'!$D$3:$G$100,4,FALSE),0)</f>
        <v>1096.169820027688</v>
      </c>
      <c r="M35" s="2">
        <f t="shared" si="4"/>
        <v>2192.3396400553761</v>
      </c>
      <c r="N35" s="2">
        <f t="shared" si="5"/>
        <v>0</v>
      </c>
      <c r="O35" s="2">
        <f t="shared" si="6"/>
        <v>438.46792801107523</v>
      </c>
      <c r="P35" s="2">
        <f t="shared" si="7"/>
        <v>438.46792801107523</v>
      </c>
      <c r="Q35" s="3" t="s">
        <v>265</v>
      </c>
    </row>
    <row r="36" spans="1:17" ht="15" hidden="1" x14ac:dyDescent="0.2">
      <c r="A36" s="2" t="s">
        <v>427</v>
      </c>
      <c r="B36" s="2" t="s">
        <v>96</v>
      </c>
      <c r="C36" s="2" t="s">
        <v>92</v>
      </c>
      <c r="D36" s="2" t="s">
        <v>428</v>
      </c>
      <c r="E36" s="2" t="s">
        <v>214</v>
      </c>
      <c r="F36" s="2" t="s">
        <v>271</v>
      </c>
      <c r="G36" s="2">
        <v>4</v>
      </c>
      <c r="H36" s="2">
        <v>4</v>
      </c>
      <c r="I36" s="2">
        <v>0</v>
      </c>
      <c r="J36" s="2">
        <v>0</v>
      </c>
      <c r="K36" s="2">
        <v>0</v>
      </c>
      <c r="L36" s="2">
        <f>IFERROR(VLOOKUP(B36,'1️⃣ רשימת עובדים'!$D$3:$G$100,4,FALSE),0)</f>
        <v>1096.169820027688</v>
      </c>
      <c r="M36" s="2">
        <f t="shared" si="4"/>
        <v>4384.6792801107522</v>
      </c>
      <c r="N36" s="2">
        <f t="shared" si="5"/>
        <v>0</v>
      </c>
      <c r="O36" s="2">
        <f t="shared" si="6"/>
        <v>876.93585602215046</v>
      </c>
      <c r="P36" s="2">
        <f t="shared" si="7"/>
        <v>876.93585602215046</v>
      </c>
      <c r="Q36" s="3" t="s">
        <v>265</v>
      </c>
    </row>
    <row r="37" spans="1:17" ht="15" hidden="1" x14ac:dyDescent="0.2">
      <c r="A37" s="2" t="s">
        <v>429</v>
      </c>
      <c r="B37" s="2" t="s">
        <v>96</v>
      </c>
      <c r="C37" s="2" t="s">
        <v>92</v>
      </c>
      <c r="D37" s="2" t="s">
        <v>202</v>
      </c>
      <c r="E37" s="2" t="s">
        <v>202</v>
      </c>
      <c r="F37" s="2" t="s">
        <v>271</v>
      </c>
      <c r="G37" s="2">
        <v>1</v>
      </c>
      <c r="H37" s="2">
        <v>1</v>
      </c>
      <c r="I37" s="2">
        <v>0</v>
      </c>
      <c r="J37" s="2">
        <v>0</v>
      </c>
      <c r="K37" s="2">
        <v>0</v>
      </c>
      <c r="L37" s="2">
        <f>IFERROR(VLOOKUP(B37,'1️⃣ רשימת עובדים'!$D$3:$G$100,4,FALSE),0)</f>
        <v>1096.169820027688</v>
      </c>
      <c r="M37" s="2">
        <f t="shared" si="4"/>
        <v>1096.169820027688</v>
      </c>
      <c r="N37" s="2">
        <f t="shared" si="5"/>
        <v>0</v>
      </c>
      <c r="O37" s="2">
        <f t="shared" si="6"/>
        <v>219.23396400553762</v>
      </c>
      <c r="P37" s="2">
        <f t="shared" si="7"/>
        <v>219.23396400553762</v>
      </c>
      <c r="Q37" s="3" t="s">
        <v>265</v>
      </c>
    </row>
    <row r="38" spans="1:17" ht="15" hidden="1" x14ac:dyDescent="0.2">
      <c r="A38" s="2" t="s">
        <v>430</v>
      </c>
      <c r="B38" s="2" t="s">
        <v>96</v>
      </c>
      <c r="C38" s="2" t="s">
        <v>92</v>
      </c>
      <c r="D38" s="2" t="s">
        <v>215</v>
      </c>
      <c r="E38" s="2" t="s">
        <v>215</v>
      </c>
      <c r="F38" s="2" t="s">
        <v>271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">
        <f>IFERROR(VLOOKUP(B38,'1️⃣ רשימת עובדים'!$D$3:$G$100,4,FALSE),0)</f>
        <v>1096.169820027688</v>
      </c>
      <c r="M38" s="2">
        <f t="shared" si="4"/>
        <v>1096.169820027688</v>
      </c>
      <c r="N38" s="2">
        <f t="shared" si="5"/>
        <v>0</v>
      </c>
      <c r="O38" s="2">
        <f t="shared" si="6"/>
        <v>219.23396400553762</v>
      </c>
      <c r="P38" s="2">
        <f t="shared" si="7"/>
        <v>219.23396400553762</v>
      </c>
      <c r="Q38" s="3" t="s">
        <v>265</v>
      </c>
    </row>
    <row r="39" spans="1:17" ht="15" hidden="1" x14ac:dyDescent="0.2">
      <c r="A39" s="2" t="s">
        <v>431</v>
      </c>
      <c r="B39" s="2" t="s">
        <v>96</v>
      </c>
      <c r="C39" s="2" t="s">
        <v>92</v>
      </c>
      <c r="D39" s="2" t="s">
        <v>216</v>
      </c>
      <c r="E39" s="2" t="s">
        <v>216</v>
      </c>
      <c r="F39" s="2" t="s">
        <v>273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>
        <f>IFERROR(VLOOKUP(B39,'1️⃣ רשימת עובדים'!$D$3:$G$100,4,FALSE),0)</f>
        <v>1096.169820027688</v>
      </c>
      <c r="M39" s="2">
        <f t="shared" si="4"/>
        <v>1096.169820027688</v>
      </c>
      <c r="N39" s="2">
        <f t="shared" si="5"/>
        <v>0</v>
      </c>
      <c r="O39" s="2">
        <f t="shared" si="6"/>
        <v>219.23396400553762</v>
      </c>
      <c r="P39" s="2">
        <f t="shared" si="7"/>
        <v>219.23396400553762</v>
      </c>
      <c r="Q39" s="3" t="s">
        <v>265</v>
      </c>
    </row>
    <row r="40" spans="1:17" ht="15" hidden="1" x14ac:dyDescent="0.2">
      <c r="A40" s="2" t="s">
        <v>432</v>
      </c>
      <c r="B40" s="2" t="s">
        <v>96</v>
      </c>
      <c r="C40" s="2" t="s">
        <v>92</v>
      </c>
      <c r="D40" s="2" t="s">
        <v>217</v>
      </c>
      <c r="E40" s="2" t="s">
        <v>218</v>
      </c>
      <c r="F40" s="2" t="s">
        <v>273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">
        <f>IFERROR(VLOOKUP(B40,'1️⃣ רשימת עובדים'!$D$3:$G$100,4,FALSE),0)</f>
        <v>1096.169820027688</v>
      </c>
      <c r="M40" s="2">
        <f t="shared" si="4"/>
        <v>2192.3396400553761</v>
      </c>
      <c r="N40" s="2">
        <f t="shared" si="5"/>
        <v>0</v>
      </c>
      <c r="O40" s="2">
        <f t="shared" si="6"/>
        <v>438.46792801107523</v>
      </c>
      <c r="P40" s="2">
        <f t="shared" si="7"/>
        <v>438.46792801107523</v>
      </c>
      <c r="Q40" s="3" t="s">
        <v>265</v>
      </c>
    </row>
    <row r="41" spans="1:17" ht="15" hidden="1" x14ac:dyDescent="0.2">
      <c r="A41" s="2" t="s">
        <v>302</v>
      </c>
      <c r="B41" s="2" t="s">
        <v>96</v>
      </c>
      <c r="C41" s="2" t="s">
        <v>92</v>
      </c>
      <c r="D41" s="2" t="s">
        <v>408</v>
      </c>
      <c r="E41" s="2" t="s">
        <v>209</v>
      </c>
      <c r="F41" s="2" t="s">
        <v>275</v>
      </c>
      <c r="G41" s="2">
        <v>4</v>
      </c>
      <c r="H41" s="2">
        <v>4</v>
      </c>
      <c r="I41" s="2">
        <v>0</v>
      </c>
      <c r="J41" s="2">
        <v>0</v>
      </c>
      <c r="K41" s="2">
        <v>0</v>
      </c>
      <c r="L41" s="2">
        <f>IFERROR(VLOOKUP(B41,'1️⃣ רשימת עובדים'!$D$3:$G$100,4,FALSE),0)</f>
        <v>1096.169820027688</v>
      </c>
      <c r="M41" s="2">
        <f t="shared" si="4"/>
        <v>4384.6792801107522</v>
      </c>
      <c r="N41" s="2">
        <f t="shared" si="5"/>
        <v>0</v>
      </c>
      <c r="O41" s="2">
        <f t="shared" si="6"/>
        <v>876.93585602215046</v>
      </c>
      <c r="P41" s="2">
        <f t="shared" si="7"/>
        <v>876.93585602215046</v>
      </c>
      <c r="Q41" s="3" t="s">
        <v>265</v>
      </c>
    </row>
    <row r="42" spans="1:17" ht="15" hidden="1" x14ac:dyDescent="0.2">
      <c r="A42" s="2" t="s">
        <v>303</v>
      </c>
      <c r="B42" s="2" t="s">
        <v>96</v>
      </c>
      <c r="C42" s="2" t="s">
        <v>92</v>
      </c>
      <c r="D42" s="2" t="s">
        <v>387</v>
      </c>
      <c r="E42" s="2" t="s">
        <v>387</v>
      </c>
      <c r="F42" s="2" t="s">
        <v>267</v>
      </c>
      <c r="G42" s="2">
        <v>2</v>
      </c>
      <c r="H42" s="2">
        <v>2</v>
      </c>
      <c r="I42" s="2">
        <v>0</v>
      </c>
      <c r="J42" s="2">
        <v>0</v>
      </c>
      <c r="K42" s="2">
        <v>0</v>
      </c>
      <c r="L42" s="2">
        <f>IFERROR(VLOOKUP(B42,'1️⃣ רשימת עובדים'!$D$3:$G$100,4,FALSE),0)</f>
        <v>1096.169820027688</v>
      </c>
      <c r="M42" s="2">
        <f t="shared" si="4"/>
        <v>2192.3396400553761</v>
      </c>
      <c r="N42" s="2">
        <f t="shared" si="5"/>
        <v>0</v>
      </c>
      <c r="O42" s="2">
        <f t="shared" si="6"/>
        <v>438.46792801107523</v>
      </c>
      <c r="P42" s="2">
        <f t="shared" si="7"/>
        <v>438.46792801107523</v>
      </c>
      <c r="Q42" s="3" t="s">
        <v>265</v>
      </c>
    </row>
    <row r="43" spans="1:17" ht="15" hidden="1" x14ac:dyDescent="0.2">
      <c r="A43" s="2" t="s">
        <v>433</v>
      </c>
      <c r="B43" s="2" t="s">
        <v>99</v>
      </c>
      <c r="C43" s="2" t="s">
        <v>70</v>
      </c>
      <c r="D43" s="2" t="s">
        <v>434</v>
      </c>
      <c r="E43" s="2" t="s">
        <v>434</v>
      </c>
      <c r="F43" s="2" t="s">
        <v>275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L43" s="2">
        <f>IFERROR(VLOOKUP(B43,'1️⃣ רשימת עובדים'!$D$3:$G$100,4,FALSE),0)</f>
        <v>834.19473927088131</v>
      </c>
      <c r="M43" s="2">
        <f t="shared" si="4"/>
        <v>834.19473927088131</v>
      </c>
      <c r="N43" s="2">
        <f t="shared" si="5"/>
        <v>0</v>
      </c>
      <c r="O43" s="2">
        <f t="shared" si="6"/>
        <v>166.83894785417627</v>
      </c>
      <c r="P43" s="2">
        <f t="shared" si="7"/>
        <v>166.83894785417627</v>
      </c>
      <c r="Q43" s="3" t="s">
        <v>265</v>
      </c>
    </row>
    <row r="44" spans="1:17" ht="15" hidden="1" x14ac:dyDescent="0.2">
      <c r="A44" s="2" t="s">
        <v>435</v>
      </c>
      <c r="B44" s="2" t="s">
        <v>99</v>
      </c>
      <c r="C44" s="2" t="s">
        <v>70</v>
      </c>
      <c r="D44" s="2" t="s">
        <v>436</v>
      </c>
      <c r="E44" s="2" t="s">
        <v>437</v>
      </c>
      <c r="F44" s="2" t="s">
        <v>275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">
        <f>IFERROR(VLOOKUP(B44,'1️⃣ רשימת עובדים'!$D$3:$G$100,4,FALSE),0)</f>
        <v>834.19473927088131</v>
      </c>
      <c r="M44" s="2">
        <f t="shared" si="4"/>
        <v>1668.3894785417626</v>
      </c>
      <c r="N44" s="2">
        <f t="shared" si="5"/>
        <v>0</v>
      </c>
      <c r="O44" s="2">
        <f t="shared" si="6"/>
        <v>333.67789570835254</v>
      </c>
      <c r="P44" s="2">
        <f t="shared" si="7"/>
        <v>333.67789570835254</v>
      </c>
      <c r="Q44" s="3" t="s">
        <v>265</v>
      </c>
    </row>
    <row r="45" spans="1:17" ht="15" hidden="1" x14ac:dyDescent="0.2">
      <c r="A45" s="2" t="s">
        <v>438</v>
      </c>
      <c r="B45" s="2" t="s">
        <v>99</v>
      </c>
      <c r="C45" s="2" t="s">
        <v>70</v>
      </c>
      <c r="D45" s="2" t="s">
        <v>408</v>
      </c>
      <c r="E45" s="2" t="s">
        <v>439</v>
      </c>
      <c r="F45" s="2" t="s">
        <v>275</v>
      </c>
      <c r="G45" s="2">
        <v>3</v>
      </c>
      <c r="H45" s="2">
        <v>3</v>
      </c>
      <c r="I45" s="2">
        <v>0</v>
      </c>
      <c r="J45" s="2">
        <v>0</v>
      </c>
      <c r="K45" s="2">
        <v>0</v>
      </c>
      <c r="L45" s="2">
        <f>IFERROR(VLOOKUP(B45,'1️⃣ רשימת עובדים'!$D$3:$G$100,4,FALSE),0)</f>
        <v>834.19473927088131</v>
      </c>
      <c r="M45" s="2">
        <f t="shared" si="4"/>
        <v>2502.5842178126441</v>
      </c>
      <c r="N45" s="2">
        <f t="shared" si="5"/>
        <v>0</v>
      </c>
      <c r="O45" s="2">
        <f t="shared" si="6"/>
        <v>500.51684356252883</v>
      </c>
      <c r="P45" s="2">
        <f t="shared" si="7"/>
        <v>500.51684356252883</v>
      </c>
      <c r="Q45" s="3" t="s">
        <v>265</v>
      </c>
    </row>
    <row r="46" spans="1:17" ht="15" hidden="1" x14ac:dyDescent="0.2">
      <c r="A46" s="2" t="s">
        <v>440</v>
      </c>
      <c r="B46" s="2" t="s">
        <v>99</v>
      </c>
      <c r="C46" s="2" t="s">
        <v>70</v>
      </c>
      <c r="D46" s="2" t="s">
        <v>441</v>
      </c>
      <c r="E46" s="2" t="s">
        <v>441</v>
      </c>
      <c r="F46" s="2" t="s">
        <v>284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">
        <f>IFERROR(VLOOKUP(B46,'1️⃣ רשימת עובדים'!$D$3:$G$100,4,FALSE),0)</f>
        <v>834.19473927088131</v>
      </c>
      <c r="M46" s="2">
        <f t="shared" si="4"/>
        <v>834.19473927088131</v>
      </c>
      <c r="N46" s="2">
        <f t="shared" si="5"/>
        <v>0</v>
      </c>
      <c r="O46" s="2">
        <f t="shared" si="6"/>
        <v>166.83894785417627</v>
      </c>
      <c r="P46" s="2">
        <f t="shared" si="7"/>
        <v>166.83894785417627</v>
      </c>
      <c r="Q46" s="3" t="s">
        <v>265</v>
      </c>
    </row>
    <row r="47" spans="1:17" ht="15" hidden="1" x14ac:dyDescent="0.2">
      <c r="A47" s="2" t="s">
        <v>442</v>
      </c>
      <c r="B47" s="2" t="s">
        <v>99</v>
      </c>
      <c r="C47" s="2" t="s">
        <v>70</v>
      </c>
      <c r="D47" s="2" t="s">
        <v>410</v>
      </c>
      <c r="E47" s="2" t="s">
        <v>410</v>
      </c>
      <c r="F47" s="2" t="s">
        <v>284</v>
      </c>
      <c r="G47" s="2">
        <v>1</v>
      </c>
      <c r="H47" s="2">
        <v>1</v>
      </c>
      <c r="I47" s="2">
        <v>0</v>
      </c>
      <c r="J47" s="2">
        <v>0</v>
      </c>
      <c r="K47" s="2">
        <v>0</v>
      </c>
      <c r="L47" s="2">
        <f>IFERROR(VLOOKUP(B47,'1️⃣ רשימת עובדים'!$D$3:$G$100,4,FALSE),0)</f>
        <v>834.19473927088131</v>
      </c>
      <c r="M47" s="2">
        <f t="shared" si="4"/>
        <v>834.19473927088131</v>
      </c>
      <c r="N47" s="2">
        <f t="shared" si="5"/>
        <v>0</v>
      </c>
      <c r="O47" s="2">
        <f t="shared" si="6"/>
        <v>166.83894785417627</v>
      </c>
      <c r="P47" s="2">
        <f t="shared" si="7"/>
        <v>166.83894785417627</v>
      </c>
      <c r="Q47" s="3" t="s">
        <v>265</v>
      </c>
    </row>
    <row r="48" spans="1:17" ht="15" hidden="1" x14ac:dyDescent="0.2">
      <c r="A48" s="2" t="s">
        <v>443</v>
      </c>
      <c r="B48" s="2" t="s">
        <v>99</v>
      </c>
      <c r="C48" s="2" t="s">
        <v>70</v>
      </c>
      <c r="D48" s="2" t="s">
        <v>444</v>
      </c>
      <c r="E48" s="2" t="s">
        <v>444</v>
      </c>
      <c r="F48" s="2" t="s">
        <v>284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>
        <f>IFERROR(VLOOKUP(B48,'1️⃣ רשימת עובדים'!$D$3:$G$100,4,FALSE),0)</f>
        <v>834.19473927088131</v>
      </c>
      <c r="M48" s="2">
        <f t="shared" si="4"/>
        <v>834.19473927088131</v>
      </c>
      <c r="N48" s="2">
        <f t="shared" si="5"/>
        <v>0</v>
      </c>
      <c r="O48" s="2">
        <f t="shared" si="6"/>
        <v>166.83894785417627</v>
      </c>
      <c r="P48" s="2">
        <f t="shared" si="7"/>
        <v>166.83894785417627</v>
      </c>
      <c r="Q48" s="3" t="s">
        <v>265</v>
      </c>
    </row>
    <row r="49" spans="1:17" ht="15" hidden="1" x14ac:dyDescent="0.2">
      <c r="A49" s="2" t="s">
        <v>445</v>
      </c>
      <c r="B49" s="2" t="s">
        <v>99</v>
      </c>
      <c r="C49" s="2" t="s">
        <v>70</v>
      </c>
      <c r="D49" s="2" t="s">
        <v>446</v>
      </c>
      <c r="E49" s="2" t="s">
        <v>447</v>
      </c>
      <c r="F49" s="2" t="s">
        <v>267</v>
      </c>
      <c r="G49" s="2">
        <v>2</v>
      </c>
      <c r="H49" s="2">
        <v>2</v>
      </c>
      <c r="I49" s="2">
        <v>0</v>
      </c>
      <c r="J49" s="2">
        <v>0</v>
      </c>
      <c r="K49" s="2">
        <v>0</v>
      </c>
      <c r="L49" s="2">
        <f>IFERROR(VLOOKUP(B49,'1️⃣ רשימת עובדים'!$D$3:$G$100,4,FALSE),0)</f>
        <v>834.19473927088131</v>
      </c>
      <c r="M49" s="2">
        <f t="shared" si="4"/>
        <v>1668.3894785417626</v>
      </c>
      <c r="N49" s="2">
        <f t="shared" si="5"/>
        <v>0</v>
      </c>
      <c r="O49" s="2">
        <f t="shared" si="6"/>
        <v>333.67789570835254</v>
      </c>
      <c r="P49" s="2">
        <f t="shared" si="7"/>
        <v>333.67789570835254</v>
      </c>
      <c r="Q49" s="3" t="s">
        <v>265</v>
      </c>
    </row>
    <row r="50" spans="1:17" ht="15" hidden="1" x14ac:dyDescent="0.2">
      <c r="A50" s="2" t="s">
        <v>448</v>
      </c>
      <c r="B50" s="2" t="s">
        <v>99</v>
      </c>
      <c r="C50" s="2" t="s">
        <v>70</v>
      </c>
      <c r="D50" s="2" t="s">
        <v>449</v>
      </c>
      <c r="E50" s="2" t="s">
        <v>449</v>
      </c>
      <c r="F50" s="2" t="s">
        <v>267</v>
      </c>
      <c r="G50" s="2">
        <v>1</v>
      </c>
      <c r="H50" s="2">
        <v>0</v>
      </c>
      <c r="I50" s="2">
        <v>0</v>
      </c>
      <c r="J50" s="2">
        <v>1</v>
      </c>
      <c r="K50" s="2">
        <v>0</v>
      </c>
      <c r="L50" s="2">
        <f>IFERROR(VLOOKUP(B50,'1️⃣ רשימת עובדים'!$D$3:$G$100,4,FALSE),0)</f>
        <v>834.19473927088131</v>
      </c>
      <c r="M50" s="2">
        <f t="shared" si="4"/>
        <v>0</v>
      </c>
      <c r="N50" s="2">
        <f t="shared" si="5"/>
        <v>834.19473927088131</v>
      </c>
      <c r="O50" s="2">
        <f t="shared" si="6"/>
        <v>0</v>
      </c>
      <c r="P50" s="2">
        <f t="shared" si="7"/>
        <v>834.19473927088131</v>
      </c>
      <c r="Q50" s="3" t="s">
        <v>265</v>
      </c>
    </row>
    <row r="51" spans="1:17" ht="15" hidden="1" x14ac:dyDescent="0.2">
      <c r="A51" s="2" t="s">
        <v>307</v>
      </c>
      <c r="B51" s="2" t="s">
        <v>102</v>
      </c>
      <c r="C51" s="2" t="s">
        <v>92</v>
      </c>
      <c r="D51" s="2" t="s">
        <v>220</v>
      </c>
      <c r="E51" s="2" t="s">
        <v>220</v>
      </c>
      <c r="F51" s="2" t="s">
        <v>264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f>IFERROR(VLOOKUP(B51,'1️⃣ רשימת עובדים'!$D$3:$G$100,4,FALSE),0)</f>
        <v>730.27226580526064</v>
      </c>
      <c r="M51" s="2">
        <f t="shared" si="4"/>
        <v>730.27226580526064</v>
      </c>
      <c r="N51" s="2">
        <f t="shared" si="5"/>
        <v>0</v>
      </c>
      <c r="O51" s="2">
        <f t="shared" si="6"/>
        <v>146.05445316105212</v>
      </c>
      <c r="P51" s="2">
        <f t="shared" si="7"/>
        <v>146.05445316105212</v>
      </c>
      <c r="Q51" s="3" t="s">
        <v>265</v>
      </c>
    </row>
    <row r="52" spans="1:17" ht="15" hidden="1" x14ac:dyDescent="0.2">
      <c r="A52" s="2" t="s">
        <v>308</v>
      </c>
      <c r="B52" s="2" t="s">
        <v>102</v>
      </c>
      <c r="C52" s="2" t="s">
        <v>92</v>
      </c>
      <c r="D52" s="2" t="s">
        <v>204</v>
      </c>
      <c r="E52" s="2" t="s">
        <v>227</v>
      </c>
      <c r="F52" s="2" t="s">
        <v>271</v>
      </c>
      <c r="G52" s="2">
        <v>3</v>
      </c>
      <c r="H52" s="2">
        <v>2</v>
      </c>
      <c r="I52" s="2">
        <v>0</v>
      </c>
      <c r="J52" s="2">
        <v>1</v>
      </c>
      <c r="K52" s="2">
        <v>0</v>
      </c>
      <c r="L52" s="2">
        <f>IFERROR(VLOOKUP(B52,'1️⃣ רשימת עובדים'!$D$3:$G$100,4,FALSE),0)</f>
        <v>730.27226580526064</v>
      </c>
      <c r="M52" s="2">
        <f t="shared" si="4"/>
        <v>1460.5445316105213</v>
      </c>
      <c r="N52" s="2">
        <f t="shared" si="5"/>
        <v>730.27226580526064</v>
      </c>
      <c r="O52" s="2">
        <f t="shared" si="6"/>
        <v>292.10890632210425</v>
      </c>
      <c r="P52" s="2">
        <f t="shared" si="7"/>
        <v>1022.3811721273648</v>
      </c>
      <c r="Q52" s="3" t="s">
        <v>265</v>
      </c>
    </row>
    <row r="53" spans="1:17" ht="15" hidden="1" x14ac:dyDescent="0.2">
      <c r="A53" s="2" t="s">
        <v>309</v>
      </c>
      <c r="B53" s="2" t="s">
        <v>102</v>
      </c>
      <c r="C53" s="2" t="s">
        <v>92</v>
      </c>
      <c r="D53" s="2" t="s">
        <v>450</v>
      </c>
      <c r="E53" s="2" t="s">
        <v>451</v>
      </c>
      <c r="F53" s="2" t="s">
        <v>273</v>
      </c>
      <c r="G53" s="2">
        <v>8</v>
      </c>
      <c r="H53" s="2">
        <v>6</v>
      </c>
      <c r="I53" s="2">
        <v>1</v>
      </c>
      <c r="J53" s="2">
        <v>1</v>
      </c>
      <c r="K53" s="2">
        <v>0</v>
      </c>
      <c r="L53" s="2">
        <f>IFERROR(VLOOKUP(B53,'1️⃣ רשימת עובדים'!$D$3:$G$100,4,FALSE),0)</f>
        <v>730.27226580526064</v>
      </c>
      <c r="M53" s="2">
        <f t="shared" si="4"/>
        <v>4381.6335948315636</v>
      </c>
      <c r="N53" s="2">
        <f t="shared" si="5"/>
        <v>1460.5445316105213</v>
      </c>
      <c r="O53" s="2">
        <f t="shared" si="6"/>
        <v>876.3267189663128</v>
      </c>
      <c r="P53" s="2">
        <f t="shared" si="7"/>
        <v>2336.871250576834</v>
      </c>
      <c r="Q53" s="3" t="s">
        <v>265</v>
      </c>
    </row>
    <row r="54" spans="1:17" ht="15" hidden="1" x14ac:dyDescent="0.2">
      <c r="A54" s="2" t="s">
        <v>310</v>
      </c>
      <c r="B54" s="2" t="s">
        <v>102</v>
      </c>
      <c r="C54" s="2" t="s">
        <v>92</v>
      </c>
      <c r="D54" s="2" t="s">
        <v>407</v>
      </c>
      <c r="E54" s="2" t="s">
        <v>389</v>
      </c>
      <c r="F54" s="2" t="s">
        <v>275</v>
      </c>
      <c r="G54" s="2">
        <v>3</v>
      </c>
      <c r="H54" s="2">
        <v>2</v>
      </c>
      <c r="I54" s="2">
        <v>0</v>
      </c>
      <c r="J54" s="2">
        <v>1</v>
      </c>
      <c r="K54" s="2">
        <v>0</v>
      </c>
      <c r="L54" s="2">
        <f>IFERROR(VLOOKUP(B54,'1️⃣ רשימת עובדים'!$D$3:$G$100,4,FALSE),0)</f>
        <v>730.27226580526064</v>
      </c>
      <c r="M54" s="2">
        <f t="shared" si="4"/>
        <v>1460.5445316105213</v>
      </c>
      <c r="N54" s="2">
        <f t="shared" si="5"/>
        <v>730.27226580526064</v>
      </c>
      <c r="O54" s="2">
        <f t="shared" si="6"/>
        <v>292.10890632210425</v>
      </c>
      <c r="P54" s="2">
        <f t="shared" si="7"/>
        <v>1022.3811721273648</v>
      </c>
      <c r="Q54" s="3" t="s">
        <v>265</v>
      </c>
    </row>
    <row r="55" spans="1:17" ht="15" hidden="1" x14ac:dyDescent="0.2">
      <c r="A55" s="2" t="s">
        <v>311</v>
      </c>
      <c r="B55" s="2" t="s">
        <v>102</v>
      </c>
      <c r="C55" s="2" t="s">
        <v>92</v>
      </c>
      <c r="D55" s="2" t="s">
        <v>397</v>
      </c>
      <c r="E55" s="2" t="s">
        <v>452</v>
      </c>
      <c r="F55" s="2" t="s">
        <v>284</v>
      </c>
      <c r="G55" s="2">
        <v>4</v>
      </c>
      <c r="H55" s="2">
        <v>3</v>
      </c>
      <c r="I55" s="2">
        <v>0</v>
      </c>
      <c r="J55" s="2">
        <v>1</v>
      </c>
      <c r="K55" s="2">
        <v>0</v>
      </c>
      <c r="L55" s="2">
        <f>IFERROR(VLOOKUP(B55,'1️⃣ רשימת עובדים'!$D$3:$G$100,4,FALSE),0)</f>
        <v>730.27226580526064</v>
      </c>
      <c r="M55" s="2">
        <f t="shared" si="4"/>
        <v>2190.8167974157818</v>
      </c>
      <c r="N55" s="2">
        <f t="shared" si="5"/>
        <v>730.27226580526064</v>
      </c>
      <c r="O55" s="2">
        <f t="shared" si="6"/>
        <v>438.1633594831564</v>
      </c>
      <c r="P55" s="2">
        <f t="shared" si="7"/>
        <v>1168.435625288417</v>
      </c>
      <c r="Q55" s="3" t="s">
        <v>265</v>
      </c>
    </row>
    <row r="56" spans="1:17" ht="15" x14ac:dyDescent="0.2">
      <c r="A56" s="2" t="s">
        <v>312</v>
      </c>
      <c r="B56" s="2" t="s">
        <v>106</v>
      </c>
      <c r="C56" s="2" t="s">
        <v>70</v>
      </c>
      <c r="D56" s="2" t="s">
        <v>392</v>
      </c>
      <c r="E56" s="2" t="s">
        <v>400</v>
      </c>
      <c r="F56" s="2" t="s">
        <v>269</v>
      </c>
      <c r="G56" s="2">
        <v>9</v>
      </c>
      <c r="H56" s="2">
        <v>7</v>
      </c>
      <c r="I56" s="2">
        <v>1</v>
      </c>
      <c r="J56" s="2">
        <v>1</v>
      </c>
      <c r="K56" s="2">
        <v>0</v>
      </c>
      <c r="L56" s="2">
        <f>IFERROR(VLOOKUP(B56,'1️⃣ רשימת עובדים'!$D$3:$G$100,4,FALSE),0)</f>
        <v>826.99584679280099</v>
      </c>
      <c r="M56" s="2">
        <f t="shared" si="4"/>
        <v>5788.970927549607</v>
      </c>
      <c r="N56" s="2">
        <f t="shared" si="5"/>
        <v>1653.991693585602</v>
      </c>
      <c r="O56" s="2">
        <f t="shared" si="6"/>
        <v>1157.7941855099214</v>
      </c>
      <c r="P56" s="2">
        <f t="shared" si="7"/>
        <v>2811.7858790955233</v>
      </c>
      <c r="Q56" s="3" t="s">
        <v>265</v>
      </c>
    </row>
    <row r="57" spans="1:17" ht="15" hidden="1" x14ac:dyDescent="0.2">
      <c r="A57" s="2" t="s">
        <v>313</v>
      </c>
      <c r="B57" s="2" t="s">
        <v>106</v>
      </c>
      <c r="C57" s="2" t="s">
        <v>70</v>
      </c>
      <c r="D57" s="2" t="s">
        <v>401</v>
      </c>
      <c r="E57" s="2" t="s">
        <v>453</v>
      </c>
      <c r="F57" s="2" t="s">
        <v>281</v>
      </c>
      <c r="G57" s="2">
        <v>3</v>
      </c>
      <c r="H57" s="2">
        <v>3</v>
      </c>
      <c r="I57" s="2">
        <v>0</v>
      </c>
      <c r="J57" s="2">
        <v>0</v>
      </c>
      <c r="K57" s="2">
        <v>0</v>
      </c>
      <c r="L57" s="2">
        <f>IFERROR(VLOOKUP(B57,'1️⃣ רשימת עובדים'!$D$3:$G$100,4,FALSE),0)</f>
        <v>826.99584679280099</v>
      </c>
      <c r="M57" s="2">
        <f t="shared" si="4"/>
        <v>2480.9875403784031</v>
      </c>
      <c r="N57" s="2">
        <f t="shared" si="5"/>
        <v>0</v>
      </c>
      <c r="O57" s="2">
        <f t="shared" si="6"/>
        <v>496.19750807568062</v>
      </c>
      <c r="P57" s="2">
        <f t="shared" si="7"/>
        <v>496.19750807568062</v>
      </c>
      <c r="Q57" s="3" t="s">
        <v>265</v>
      </c>
    </row>
    <row r="58" spans="1:17" ht="15" hidden="1" x14ac:dyDescent="0.2">
      <c r="A58" s="2" t="s">
        <v>454</v>
      </c>
      <c r="B58" s="2" t="s">
        <v>106</v>
      </c>
      <c r="C58" s="2" t="s">
        <v>70</v>
      </c>
      <c r="D58" s="2" t="s">
        <v>455</v>
      </c>
      <c r="E58" s="2" t="s">
        <v>226</v>
      </c>
      <c r="F58" s="2" t="s">
        <v>271</v>
      </c>
      <c r="G58" s="2">
        <v>3</v>
      </c>
      <c r="H58" s="2">
        <v>3</v>
      </c>
      <c r="I58" s="2">
        <v>0</v>
      </c>
      <c r="J58" s="2">
        <v>0</v>
      </c>
      <c r="K58" s="2">
        <v>0</v>
      </c>
      <c r="L58" s="2">
        <f>IFERROR(VLOOKUP(B58,'1️⃣ רשימת עובדים'!$D$3:$G$100,4,FALSE),0)</f>
        <v>826.99584679280099</v>
      </c>
      <c r="M58" s="2">
        <f t="shared" si="4"/>
        <v>2480.9875403784031</v>
      </c>
      <c r="N58" s="2">
        <f t="shared" si="5"/>
        <v>0</v>
      </c>
      <c r="O58" s="2">
        <f t="shared" si="6"/>
        <v>496.19750807568062</v>
      </c>
      <c r="P58" s="2">
        <f t="shared" si="7"/>
        <v>496.19750807568062</v>
      </c>
      <c r="Q58" s="3" t="s">
        <v>265</v>
      </c>
    </row>
    <row r="59" spans="1:17" ht="15" hidden="1" x14ac:dyDescent="0.2">
      <c r="A59" s="2" t="s">
        <v>456</v>
      </c>
      <c r="B59" s="2" t="s">
        <v>106</v>
      </c>
      <c r="C59" s="2" t="s">
        <v>70</v>
      </c>
      <c r="D59" s="2" t="s">
        <v>457</v>
      </c>
      <c r="E59" s="2" t="s">
        <v>458</v>
      </c>
      <c r="F59" s="2" t="s">
        <v>271</v>
      </c>
      <c r="G59" s="2">
        <v>5</v>
      </c>
      <c r="H59" s="2">
        <v>5</v>
      </c>
      <c r="I59" s="2">
        <v>0</v>
      </c>
      <c r="J59" s="2">
        <v>0</v>
      </c>
      <c r="K59" s="2">
        <v>0</v>
      </c>
      <c r="L59" s="2">
        <f>IFERROR(VLOOKUP(B59,'1️⃣ רשימת עובדים'!$D$3:$G$100,4,FALSE),0)</f>
        <v>826.99584679280099</v>
      </c>
      <c r="M59" s="2">
        <f t="shared" si="4"/>
        <v>4134.9792339640053</v>
      </c>
      <c r="N59" s="2">
        <f t="shared" si="5"/>
        <v>0</v>
      </c>
      <c r="O59" s="2">
        <f t="shared" si="6"/>
        <v>826.9958467928011</v>
      </c>
      <c r="P59" s="2">
        <f t="shared" si="7"/>
        <v>826.9958467928011</v>
      </c>
      <c r="Q59" s="3" t="s">
        <v>265</v>
      </c>
    </row>
    <row r="60" spans="1:17" ht="15" hidden="1" x14ac:dyDescent="0.2">
      <c r="A60" s="2" t="s">
        <v>315</v>
      </c>
      <c r="B60" s="2" t="s">
        <v>106</v>
      </c>
      <c r="C60" s="2" t="s">
        <v>70</v>
      </c>
      <c r="D60" s="2" t="s">
        <v>459</v>
      </c>
      <c r="E60" s="2" t="s">
        <v>460</v>
      </c>
      <c r="F60" s="2" t="s">
        <v>273</v>
      </c>
      <c r="G60" s="2">
        <v>5</v>
      </c>
      <c r="H60" s="2">
        <v>3</v>
      </c>
      <c r="I60" s="2">
        <v>1</v>
      </c>
      <c r="J60" s="2">
        <v>1</v>
      </c>
      <c r="K60" s="2">
        <v>0</v>
      </c>
      <c r="L60" s="2">
        <f>IFERROR(VLOOKUP(B60,'1️⃣ רשימת עובדים'!$D$3:$G$100,4,FALSE),0)</f>
        <v>826.99584679280099</v>
      </c>
      <c r="M60" s="2">
        <f t="shared" si="4"/>
        <v>2480.9875403784031</v>
      </c>
      <c r="N60" s="2">
        <f t="shared" si="5"/>
        <v>1653.991693585602</v>
      </c>
      <c r="O60" s="2">
        <f t="shared" si="6"/>
        <v>496.19750807568062</v>
      </c>
      <c r="P60" s="2">
        <f t="shared" si="7"/>
        <v>2150.1892016612828</v>
      </c>
      <c r="Q60" s="3" t="s">
        <v>265</v>
      </c>
    </row>
    <row r="61" spans="1:17" ht="15" hidden="1" x14ac:dyDescent="0.2">
      <c r="A61" s="2" t="s">
        <v>316</v>
      </c>
      <c r="B61" s="2" t="s">
        <v>106</v>
      </c>
      <c r="C61" s="2" t="s">
        <v>70</v>
      </c>
      <c r="D61" s="2" t="s">
        <v>461</v>
      </c>
      <c r="E61" s="2" t="s">
        <v>461</v>
      </c>
      <c r="F61" s="2" t="s">
        <v>275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>
        <f>IFERROR(VLOOKUP(B61,'1️⃣ רשימת עובדים'!$D$3:$G$100,4,FALSE),0)</f>
        <v>826.99584679280099</v>
      </c>
      <c r="M61" s="2">
        <f t="shared" si="4"/>
        <v>826.99584679280099</v>
      </c>
      <c r="N61" s="2">
        <f t="shared" si="5"/>
        <v>0</v>
      </c>
      <c r="O61" s="2">
        <f t="shared" si="6"/>
        <v>165.39916935856021</v>
      </c>
      <c r="P61" s="2">
        <f t="shared" si="7"/>
        <v>165.39916935856021</v>
      </c>
      <c r="Q61" s="3" t="s">
        <v>265</v>
      </c>
    </row>
    <row r="62" spans="1:17" ht="15" hidden="1" x14ac:dyDescent="0.2">
      <c r="A62" s="2" t="s">
        <v>462</v>
      </c>
      <c r="B62" s="2" t="s">
        <v>106</v>
      </c>
      <c r="C62" s="2" t="s">
        <v>70</v>
      </c>
      <c r="D62" s="2" t="s">
        <v>463</v>
      </c>
      <c r="E62" s="2" t="s">
        <v>410</v>
      </c>
      <c r="F62" s="2" t="s">
        <v>284</v>
      </c>
      <c r="G62" s="2">
        <v>3</v>
      </c>
      <c r="H62" s="2">
        <v>3</v>
      </c>
      <c r="I62" s="2">
        <v>0</v>
      </c>
      <c r="J62" s="2">
        <v>0</v>
      </c>
      <c r="K62" s="2">
        <v>0</v>
      </c>
      <c r="L62" s="2">
        <f>IFERROR(VLOOKUP(B62,'1️⃣ רשימת עובדים'!$D$3:$G$100,4,FALSE),0)</f>
        <v>826.99584679280099</v>
      </c>
      <c r="M62" s="2">
        <f t="shared" si="4"/>
        <v>2480.9875403784031</v>
      </c>
      <c r="N62" s="2">
        <f t="shared" si="5"/>
        <v>0</v>
      </c>
      <c r="O62" s="2">
        <f t="shared" si="6"/>
        <v>496.19750807568062</v>
      </c>
      <c r="P62" s="2">
        <f t="shared" si="7"/>
        <v>496.19750807568062</v>
      </c>
      <c r="Q62" s="3" t="s">
        <v>265</v>
      </c>
    </row>
    <row r="63" spans="1:17" ht="15" hidden="1" x14ac:dyDescent="0.2">
      <c r="A63" s="2" t="s">
        <v>464</v>
      </c>
      <c r="B63" s="2" t="s">
        <v>106</v>
      </c>
      <c r="C63" s="2" t="s">
        <v>70</v>
      </c>
      <c r="D63" s="2" t="s">
        <v>465</v>
      </c>
      <c r="E63" s="2" t="s">
        <v>398</v>
      </c>
      <c r="F63" s="2" t="s">
        <v>284</v>
      </c>
      <c r="G63" s="2">
        <v>3</v>
      </c>
      <c r="H63" s="2">
        <v>3</v>
      </c>
      <c r="I63" s="2">
        <v>0</v>
      </c>
      <c r="J63" s="2">
        <v>0</v>
      </c>
      <c r="K63" s="2">
        <v>0</v>
      </c>
      <c r="L63" s="2">
        <f>IFERROR(VLOOKUP(B63,'1️⃣ רשימת עובדים'!$D$3:$G$100,4,FALSE),0)</f>
        <v>826.99584679280099</v>
      </c>
      <c r="M63" s="2">
        <f t="shared" si="4"/>
        <v>2480.9875403784031</v>
      </c>
      <c r="N63" s="2">
        <f t="shared" si="5"/>
        <v>0</v>
      </c>
      <c r="O63" s="2">
        <f t="shared" si="6"/>
        <v>496.19750807568062</v>
      </c>
      <c r="P63" s="2">
        <f t="shared" si="7"/>
        <v>496.19750807568062</v>
      </c>
      <c r="Q63" s="3" t="s">
        <v>265</v>
      </c>
    </row>
    <row r="64" spans="1:17" ht="15" x14ac:dyDescent="0.2">
      <c r="A64" s="2" t="s">
        <v>466</v>
      </c>
      <c r="B64" s="2" t="s">
        <v>109</v>
      </c>
      <c r="C64" s="2" t="s">
        <v>70</v>
      </c>
      <c r="D64" s="2" t="s">
        <v>134</v>
      </c>
      <c r="E64" s="2" t="s">
        <v>134</v>
      </c>
      <c r="F64" s="2" t="s">
        <v>269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">
        <f>IFERROR(VLOOKUP(B64,'1️⃣ רשימת עובדים'!$D$3:$G$100,4,FALSE),0)</f>
        <v>868.57406552838017</v>
      </c>
      <c r="M64" s="2">
        <f t="shared" si="4"/>
        <v>868.57406552838017</v>
      </c>
      <c r="N64" s="2">
        <f t="shared" si="5"/>
        <v>0</v>
      </c>
      <c r="O64" s="2">
        <f t="shared" si="6"/>
        <v>173.71481310567606</v>
      </c>
      <c r="P64" s="2">
        <f t="shared" si="7"/>
        <v>173.71481310567606</v>
      </c>
      <c r="Q64" s="3" t="s">
        <v>265</v>
      </c>
    </row>
    <row r="65" spans="1:17" ht="15" x14ac:dyDescent="0.2">
      <c r="A65" s="2" t="s">
        <v>467</v>
      </c>
      <c r="B65" s="2" t="s">
        <v>109</v>
      </c>
      <c r="C65" s="2" t="s">
        <v>70</v>
      </c>
      <c r="D65" s="2" t="s">
        <v>138</v>
      </c>
      <c r="E65" s="2" t="s">
        <v>138</v>
      </c>
      <c r="F65" s="2" t="s">
        <v>269</v>
      </c>
      <c r="G65" s="2">
        <v>1</v>
      </c>
      <c r="H65" s="2">
        <v>1</v>
      </c>
      <c r="I65" s="2">
        <v>0</v>
      </c>
      <c r="J65" s="2">
        <v>0</v>
      </c>
      <c r="K65" s="2">
        <v>0</v>
      </c>
      <c r="L65" s="2">
        <f>IFERROR(VLOOKUP(B65,'1️⃣ רשימת עובדים'!$D$3:$G$100,4,FALSE),0)</f>
        <v>868.57406552838017</v>
      </c>
      <c r="M65" s="2">
        <f t="shared" si="4"/>
        <v>868.57406552838017</v>
      </c>
      <c r="N65" s="2">
        <f t="shared" si="5"/>
        <v>0</v>
      </c>
      <c r="O65" s="2">
        <f t="shared" si="6"/>
        <v>173.71481310567606</v>
      </c>
      <c r="P65" s="2">
        <f t="shared" si="7"/>
        <v>173.71481310567606</v>
      </c>
      <c r="Q65" s="3" t="s">
        <v>265</v>
      </c>
    </row>
    <row r="66" spans="1:17" ht="15" hidden="1" x14ac:dyDescent="0.2">
      <c r="A66" s="2" t="s">
        <v>319</v>
      </c>
      <c r="B66" s="2" t="s">
        <v>109</v>
      </c>
      <c r="C66" s="2" t="s">
        <v>70</v>
      </c>
      <c r="D66" s="2" t="s">
        <v>179</v>
      </c>
      <c r="E66" s="2" t="s">
        <v>180</v>
      </c>
      <c r="F66" s="2" t="s">
        <v>293</v>
      </c>
      <c r="G66" s="2">
        <v>5</v>
      </c>
      <c r="H66" s="2">
        <v>5</v>
      </c>
      <c r="I66" s="2">
        <v>0</v>
      </c>
      <c r="J66" s="2">
        <v>0</v>
      </c>
      <c r="K66" s="2">
        <v>0</v>
      </c>
      <c r="L66" s="2">
        <f>IFERROR(VLOOKUP(B66,'1️⃣ רשימת עובדים'!$D$3:$G$100,4,FALSE),0)</f>
        <v>868.57406552838017</v>
      </c>
      <c r="M66" s="2">
        <f t="shared" ref="M66:M97" si="8">H66*L66</f>
        <v>4342.870327641901</v>
      </c>
      <c r="N66" s="2">
        <f t="shared" ref="N66:N97" si="9">(I66+J66+K66)*L66</f>
        <v>0</v>
      </c>
      <c r="O66" s="2">
        <f t="shared" ref="O66:O97" si="10">M66*0.2</f>
        <v>868.57406552838029</v>
      </c>
      <c r="P66" s="2">
        <f t="shared" ref="P66:P97" si="11">N66+O66</f>
        <v>868.57406552838029</v>
      </c>
      <c r="Q66" s="3" t="s">
        <v>265</v>
      </c>
    </row>
    <row r="67" spans="1:17" ht="15" hidden="1" x14ac:dyDescent="0.2">
      <c r="A67" s="2" t="s">
        <v>468</v>
      </c>
      <c r="B67" s="2" t="s">
        <v>109</v>
      </c>
      <c r="C67" s="2" t="s">
        <v>70</v>
      </c>
      <c r="D67" s="2" t="s">
        <v>183</v>
      </c>
      <c r="E67" s="2" t="s">
        <v>184</v>
      </c>
      <c r="F67" s="2" t="s">
        <v>264</v>
      </c>
      <c r="G67" s="2">
        <v>2</v>
      </c>
      <c r="H67" s="2">
        <v>2</v>
      </c>
      <c r="I67" s="2">
        <v>0</v>
      </c>
      <c r="J67" s="2">
        <v>0</v>
      </c>
      <c r="K67" s="2">
        <v>0</v>
      </c>
      <c r="L67" s="2">
        <f>IFERROR(VLOOKUP(B67,'1️⃣ רשימת עובדים'!$D$3:$G$100,4,FALSE),0)</f>
        <v>868.57406552838017</v>
      </c>
      <c r="M67" s="2">
        <f t="shared" si="8"/>
        <v>1737.1481310567603</v>
      </c>
      <c r="N67" s="2">
        <f t="shared" si="9"/>
        <v>0</v>
      </c>
      <c r="O67" s="2">
        <f t="shared" si="10"/>
        <v>347.42962621135212</v>
      </c>
      <c r="P67" s="2">
        <f t="shared" si="11"/>
        <v>347.42962621135212</v>
      </c>
      <c r="Q67" s="3" t="s">
        <v>265</v>
      </c>
    </row>
    <row r="68" spans="1:17" ht="15" hidden="1" x14ac:dyDescent="0.2">
      <c r="A68" s="2" t="s">
        <v>469</v>
      </c>
      <c r="B68" s="2" t="s">
        <v>109</v>
      </c>
      <c r="C68" s="2" t="s">
        <v>70</v>
      </c>
      <c r="D68" s="2" t="s">
        <v>185</v>
      </c>
      <c r="E68" s="2" t="s">
        <v>185</v>
      </c>
      <c r="F68" s="2" t="s">
        <v>264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2">
        <f>IFERROR(VLOOKUP(B68,'1️⃣ רשימת עובדים'!$D$3:$G$100,4,FALSE),0)</f>
        <v>868.57406552838017</v>
      </c>
      <c r="M68" s="2">
        <f t="shared" si="8"/>
        <v>868.57406552838017</v>
      </c>
      <c r="N68" s="2">
        <f t="shared" si="9"/>
        <v>0</v>
      </c>
      <c r="O68" s="2">
        <f t="shared" si="10"/>
        <v>173.71481310567606</v>
      </c>
      <c r="P68" s="2">
        <f t="shared" si="11"/>
        <v>173.71481310567606</v>
      </c>
      <c r="Q68" s="3" t="s">
        <v>265</v>
      </c>
    </row>
    <row r="69" spans="1:17" ht="15" hidden="1" x14ac:dyDescent="0.2">
      <c r="A69" s="2" t="s">
        <v>470</v>
      </c>
      <c r="B69" s="2" t="s">
        <v>109</v>
      </c>
      <c r="C69" s="2" t="s">
        <v>70</v>
      </c>
      <c r="D69" s="2" t="s">
        <v>196</v>
      </c>
      <c r="E69" s="2" t="s">
        <v>196</v>
      </c>
      <c r="F69" s="2" t="s">
        <v>281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">
        <f>IFERROR(VLOOKUP(B69,'1️⃣ רשימת עובדים'!$D$3:$G$100,4,FALSE),0)</f>
        <v>868.57406552838017</v>
      </c>
      <c r="M69" s="2">
        <f t="shared" si="8"/>
        <v>868.57406552838017</v>
      </c>
      <c r="N69" s="2">
        <f t="shared" si="9"/>
        <v>0</v>
      </c>
      <c r="O69" s="2">
        <f t="shared" si="10"/>
        <v>173.71481310567606</v>
      </c>
      <c r="P69" s="2">
        <f t="shared" si="11"/>
        <v>173.71481310567606</v>
      </c>
      <c r="Q69" s="3" t="s">
        <v>265</v>
      </c>
    </row>
    <row r="70" spans="1:17" ht="15" hidden="1" x14ac:dyDescent="0.2">
      <c r="A70" s="2" t="s">
        <v>471</v>
      </c>
      <c r="B70" s="2" t="s">
        <v>109</v>
      </c>
      <c r="C70" s="2" t="s">
        <v>70</v>
      </c>
      <c r="D70" s="2" t="s">
        <v>199</v>
      </c>
      <c r="E70" s="2" t="s">
        <v>199</v>
      </c>
      <c r="F70" s="2" t="s">
        <v>281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>
        <f>IFERROR(VLOOKUP(B70,'1️⃣ רשימת עובדים'!$D$3:$G$100,4,FALSE),0)</f>
        <v>868.57406552838017</v>
      </c>
      <c r="M70" s="2">
        <f t="shared" si="8"/>
        <v>868.57406552838017</v>
      </c>
      <c r="N70" s="2">
        <f t="shared" si="9"/>
        <v>0</v>
      </c>
      <c r="O70" s="2">
        <f t="shared" si="10"/>
        <v>173.71481310567606</v>
      </c>
      <c r="P70" s="2">
        <f t="shared" si="11"/>
        <v>173.71481310567606</v>
      </c>
      <c r="Q70" s="3" t="s">
        <v>265</v>
      </c>
    </row>
    <row r="71" spans="1:17" ht="15" hidden="1" x14ac:dyDescent="0.2">
      <c r="A71" s="2" t="s">
        <v>472</v>
      </c>
      <c r="B71" s="2" t="s">
        <v>109</v>
      </c>
      <c r="C71" s="2" t="s">
        <v>70</v>
      </c>
      <c r="D71" s="2" t="s">
        <v>200</v>
      </c>
      <c r="E71" s="2" t="s">
        <v>200</v>
      </c>
      <c r="F71" s="2" t="s">
        <v>271</v>
      </c>
      <c r="G71" s="2">
        <v>1</v>
      </c>
      <c r="H71" s="2">
        <v>0</v>
      </c>
      <c r="I71" s="2">
        <v>0</v>
      </c>
      <c r="J71" s="2">
        <v>1</v>
      </c>
      <c r="K71" s="2">
        <v>0</v>
      </c>
      <c r="L71" s="2">
        <f>IFERROR(VLOOKUP(B71,'1️⃣ רשימת עובדים'!$D$3:$G$100,4,FALSE),0)</f>
        <v>868.57406552838017</v>
      </c>
      <c r="M71" s="2">
        <f t="shared" si="8"/>
        <v>0</v>
      </c>
      <c r="N71" s="2">
        <f t="shared" si="9"/>
        <v>868.57406552838017</v>
      </c>
      <c r="O71" s="2">
        <f t="shared" si="10"/>
        <v>0</v>
      </c>
      <c r="P71" s="2">
        <f t="shared" si="11"/>
        <v>868.57406552838017</v>
      </c>
      <c r="Q71" s="3" t="s">
        <v>265</v>
      </c>
    </row>
    <row r="72" spans="1:17" ht="15" hidden="1" x14ac:dyDescent="0.2">
      <c r="A72" s="2" t="s">
        <v>473</v>
      </c>
      <c r="B72" s="2" t="s">
        <v>109</v>
      </c>
      <c r="C72" s="2" t="s">
        <v>70</v>
      </c>
      <c r="D72" s="2" t="s">
        <v>201</v>
      </c>
      <c r="E72" s="2" t="s">
        <v>201</v>
      </c>
      <c r="F72" s="2" t="s">
        <v>271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>
        <f>IFERROR(VLOOKUP(B72,'1️⃣ רשימת עובדים'!$D$3:$G$100,4,FALSE),0)</f>
        <v>868.57406552838017</v>
      </c>
      <c r="M72" s="2">
        <f t="shared" si="8"/>
        <v>868.57406552838017</v>
      </c>
      <c r="N72" s="2">
        <f t="shared" si="9"/>
        <v>0</v>
      </c>
      <c r="O72" s="2">
        <f t="shared" si="10"/>
        <v>173.71481310567606</v>
      </c>
      <c r="P72" s="2">
        <f t="shared" si="11"/>
        <v>173.71481310567606</v>
      </c>
      <c r="Q72" s="3" t="s">
        <v>265</v>
      </c>
    </row>
    <row r="73" spans="1:17" ht="15" hidden="1" x14ac:dyDescent="0.2">
      <c r="A73" s="2" t="s">
        <v>474</v>
      </c>
      <c r="B73" s="2" t="s">
        <v>109</v>
      </c>
      <c r="C73" s="2" t="s">
        <v>70</v>
      </c>
      <c r="D73" s="2" t="s">
        <v>202</v>
      </c>
      <c r="E73" s="2" t="s">
        <v>202</v>
      </c>
      <c r="F73" s="2" t="s">
        <v>271</v>
      </c>
      <c r="G73" s="2">
        <v>1</v>
      </c>
      <c r="H73" s="2">
        <v>1</v>
      </c>
      <c r="I73" s="2">
        <v>0</v>
      </c>
      <c r="J73" s="2">
        <v>0</v>
      </c>
      <c r="K73" s="2">
        <v>0</v>
      </c>
      <c r="L73" s="2">
        <f>IFERROR(VLOOKUP(B73,'1️⃣ רשימת עובדים'!$D$3:$G$100,4,FALSE),0)</f>
        <v>868.57406552838017</v>
      </c>
      <c r="M73" s="2">
        <f t="shared" si="8"/>
        <v>868.57406552838017</v>
      </c>
      <c r="N73" s="2">
        <f t="shared" si="9"/>
        <v>0</v>
      </c>
      <c r="O73" s="2">
        <f t="shared" si="10"/>
        <v>173.71481310567606</v>
      </c>
      <c r="P73" s="2">
        <f t="shared" si="11"/>
        <v>173.71481310567606</v>
      </c>
      <c r="Q73" s="3" t="s">
        <v>265</v>
      </c>
    </row>
    <row r="74" spans="1:17" ht="15" hidden="1" x14ac:dyDescent="0.2">
      <c r="A74" s="2" t="s">
        <v>475</v>
      </c>
      <c r="B74" s="2" t="s">
        <v>109</v>
      </c>
      <c r="C74" s="2" t="s">
        <v>70</v>
      </c>
      <c r="D74" s="2" t="s">
        <v>203</v>
      </c>
      <c r="E74" s="2" t="s">
        <v>414</v>
      </c>
      <c r="F74" s="2" t="s">
        <v>271</v>
      </c>
      <c r="G74" s="2">
        <v>130</v>
      </c>
      <c r="H74" s="2">
        <v>92</v>
      </c>
      <c r="I74" s="2">
        <v>19</v>
      </c>
      <c r="J74" s="2">
        <v>19</v>
      </c>
      <c r="K74" s="2">
        <v>0</v>
      </c>
      <c r="L74" s="2">
        <f>IFERROR(VLOOKUP(B74,'1️⃣ רשימת עובדים'!$D$3:$G$100,4,FALSE),0)</f>
        <v>868.57406552838017</v>
      </c>
      <c r="M74" s="2">
        <f t="shared" si="8"/>
        <v>79908.81402861097</v>
      </c>
      <c r="N74" s="2">
        <f t="shared" si="9"/>
        <v>33005.814490078446</v>
      </c>
      <c r="O74" s="2">
        <f t="shared" si="10"/>
        <v>15981.762805722195</v>
      </c>
      <c r="P74" s="2">
        <f t="shared" si="11"/>
        <v>48987.577295800642</v>
      </c>
      <c r="Q74" s="3" t="s">
        <v>265</v>
      </c>
    </row>
    <row r="75" spans="1:17" ht="15" x14ac:dyDescent="0.2">
      <c r="A75" s="2" t="s">
        <v>476</v>
      </c>
      <c r="B75" s="2" t="s">
        <v>112</v>
      </c>
      <c r="C75" s="2" t="s">
        <v>70</v>
      </c>
      <c r="D75" s="2" t="s">
        <v>149</v>
      </c>
      <c r="E75" s="2" t="s">
        <v>149</v>
      </c>
      <c r="F75" s="2" t="s">
        <v>269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">
        <f>IFERROR(VLOOKUP(B75,'1️⃣ רשימת עובדים'!$D$3:$G$100,4,FALSE),0)</f>
        <v>929.85694508537142</v>
      </c>
      <c r="M75" s="2">
        <f t="shared" si="8"/>
        <v>929.85694508537142</v>
      </c>
      <c r="N75" s="2">
        <f t="shared" si="9"/>
        <v>0</v>
      </c>
      <c r="O75" s="2">
        <f t="shared" si="10"/>
        <v>185.9713890170743</v>
      </c>
      <c r="P75" s="2">
        <f t="shared" si="11"/>
        <v>185.9713890170743</v>
      </c>
      <c r="Q75" s="3" t="s">
        <v>265</v>
      </c>
    </row>
    <row r="76" spans="1:17" ht="15" x14ac:dyDescent="0.2">
      <c r="A76" s="2" t="s">
        <v>477</v>
      </c>
      <c r="B76" s="2" t="s">
        <v>112</v>
      </c>
      <c r="C76" s="2" t="s">
        <v>70</v>
      </c>
      <c r="D76" s="2" t="s">
        <v>478</v>
      </c>
      <c r="E76" s="2" t="s">
        <v>400</v>
      </c>
      <c r="F76" s="2" t="s">
        <v>269</v>
      </c>
      <c r="G76" s="2">
        <v>2</v>
      </c>
      <c r="H76" s="2">
        <v>2</v>
      </c>
      <c r="I76" s="2">
        <v>0</v>
      </c>
      <c r="J76" s="2">
        <v>0</v>
      </c>
      <c r="K76" s="2">
        <v>0</v>
      </c>
      <c r="L76" s="2">
        <f>IFERROR(VLOOKUP(B76,'1️⃣ רשימת עובדים'!$D$3:$G$100,4,FALSE),0)</f>
        <v>929.85694508537142</v>
      </c>
      <c r="M76" s="2">
        <f t="shared" si="8"/>
        <v>1859.7138901707428</v>
      </c>
      <c r="N76" s="2">
        <f t="shared" si="9"/>
        <v>0</v>
      </c>
      <c r="O76" s="2">
        <f t="shared" si="10"/>
        <v>371.9427780341486</v>
      </c>
      <c r="P76" s="2">
        <f t="shared" si="11"/>
        <v>371.9427780341486</v>
      </c>
      <c r="Q76" s="3" t="s">
        <v>265</v>
      </c>
    </row>
    <row r="77" spans="1:17" ht="15" hidden="1" x14ac:dyDescent="0.2">
      <c r="A77" s="2" t="s">
        <v>479</v>
      </c>
      <c r="B77" s="2" t="s">
        <v>112</v>
      </c>
      <c r="C77" s="2" t="s">
        <v>70</v>
      </c>
      <c r="D77" s="2" t="s">
        <v>195</v>
      </c>
      <c r="E77" s="2" t="s">
        <v>195</v>
      </c>
      <c r="F77" s="2" t="s">
        <v>293</v>
      </c>
      <c r="G77" s="2">
        <v>1</v>
      </c>
      <c r="H77" s="2">
        <v>0</v>
      </c>
      <c r="I77" s="2">
        <v>0</v>
      </c>
      <c r="J77" s="2">
        <v>1</v>
      </c>
      <c r="K77" s="2">
        <v>0</v>
      </c>
      <c r="L77" s="2">
        <f>IFERROR(VLOOKUP(B77,'1️⃣ רשימת עובדים'!$D$3:$G$100,4,FALSE),0)</f>
        <v>929.85694508537142</v>
      </c>
      <c r="M77" s="2">
        <f t="shared" si="8"/>
        <v>0</v>
      </c>
      <c r="N77" s="2">
        <f t="shared" si="9"/>
        <v>929.85694508537142</v>
      </c>
      <c r="O77" s="2">
        <f t="shared" si="10"/>
        <v>0</v>
      </c>
      <c r="P77" s="2">
        <f t="shared" si="11"/>
        <v>929.85694508537142</v>
      </c>
      <c r="Q77" s="3" t="s">
        <v>265</v>
      </c>
    </row>
    <row r="78" spans="1:17" ht="15" hidden="1" x14ac:dyDescent="0.2">
      <c r="A78" s="2" t="s">
        <v>480</v>
      </c>
      <c r="B78" s="2" t="s">
        <v>112</v>
      </c>
      <c r="C78" s="2" t="s">
        <v>70</v>
      </c>
      <c r="D78" s="2" t="s">
        <v>189</v>
      </c>
      <c r="E78" s="2" t="s">
        <v>189</v>
      </c>
      <c r="F78" s="2" t="s">
        <v>293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">
        <f>IFERROR(VLOOKUP(B78,'1️⃣ רשימת עובדים'!$D$3:$G$100,4,FALSE),0)</f>
        <v>929.85694508537142</v>
      </c>
      <c r="M78" s="2">
        <f t="shared" si="8"/>
        <v>929.85694508537142</v>
      </c>
      <c r="N78" s="2">
        <f t="shared" si="9"/>
        <v>0</v>
      </c>
      <c r="O78" s="2">
        <f t="shared" si="10"/>
        <v>185.9713890170743</v>
      </c>
      <c r="P78" s="2">
        <f t="shared" si="11"/>
        <v>185.9713890170743</v>
      </c>
      <c r="Q78" s="3" t="s">
        <v>265</v>
      </c>
    </row>
    <row r="79" spans="1:17" ht="15" hidden="1" x14ac:dyDescent="0.2">
      <c r="A79" s="2" t="s">
        <v>481</v>
      </c>
      <c r="B79" s="2" t="s">
        <v>112</v>
      </c>
      <c r="C79" s="2" t="s">
        <v>70</v>
      </c>
      <c r="D79" s="2" t="s">
        <v>219</v>
      </c>
      <c r="E79" s="2" t="s">
        <v>219</v>
      </c>
      <c r="F79" s="2" t="s">
        <v>264</v>
      </c>
      <c r="G79" s="2">
        <v>1</v>
      </c>
      <c r="H79" s="2">
        <v>1</v>
      </c>
      <c r="I79" s="2">
        <v>0</v>
      </c>
      <c r="J79" s="2">
        <v>0</v>
      </c>
      <c r="K79" s="2">
        <v>0</v>
      </c>
      <c r="L79" s="2">
        <f>IFERROR(VLOOKUP(B79,'1️⃣ רשימת עובדים'!$D$3:$G$100,4,FALSE),0)</f>
        <v>929.85694508537142</v>
      </c>
      <c r="M79" s="2">
        <f t="shared" si="8"/>
        <v>929.85694508537142</v>
      </c>
      <c r="N79" s="2">
        <f t="shared" si="9"/>
        <v>0</v>
      </c>
      <c r="O79" s="2">
        <f t="shared" si="10"/>
        <v>185.9713890170743</v>
      </c>
      <c r="P79" s="2">
        <f t="shared" si="11"/>
        <v>185.9713890170743</v>
      </c>
      <c r="Q79" s="3" t="s">
        <v>265</v>
      </c>
    </row>
    <row r="80" spans="1:17" ht="15" hidden="1" x14ac:dyDescent="0.2">
      <c r="A80" s="2" t="s">
        <v>482</v>
      </c>
      <c r="B80" s="2" t="s">
        <v>112</v>
      </c>
      <c r="C80" s="2" t="s">
        <v>70</v>
      </c>
      <c r="D80" s="2" t="s">
        <v>220</v>
      </c>
      <c r="E80" s="2" t="s">
        <v>221</v>
      </c>
      <c r="F80" s="2" t="s">
        <v>264</v>
      </c>
      <c r="G80" s="2">
        <v>2</v>
      </c>
      <c r="H80" s="2">
        <v>2</v>
      </c>
      <c r="I80" s="2">
        <v>0</v>
      </c>
      <c r="J80" s="2">
        <v>0</v>
      </c>
      <c r="K80" s="2">
        <v>0</v>
      </c>
      <c r="L80" s="2">
        <f>IFERROR(VLOOKUP(B80,'1️⃣ רשימת עובדים'!$D$3:$G$100,4,FALSE),0)</f>
        <v>929.85694508537142</v>
      </c>
      <c r="M80" s="2">
        <f t="shared" si="8"/>
        <v>1859.7138901707428</v>
      </c>
      <c r="N80" s="2">
        <f t="shared" si="9"/>
        <v>0</v>
      </c>
      <c r="O80" s="2">
        <f t="shared" si="10"/>
        <v>371.9427780341486</v>
      </c>
      <c r="P80" s="2">
        <f t="shared" si="11"/>
        <v>371.9427780341486</v>
      </c>
      <c r="Q80" s="3" t="s">
        <v>265</v>
      </c>
    </row>
    <row r="81" spans="1:17" ht="15" hidden="1" x14ac:dyDescent="0.2">
      <c r="A81" s="2" t="s">
        <v>483</v>
      </c>
      <c r="B81" s="2" t="s">
        <v>112</v>
      </c>
      <c r="C81" s="2" t="s">
        <v>70</v>
      </c>
      <c r="D81" s="2" t="s">
        <v>222</v>
      </c>
      <c r="E81" s="2" t="s">
        <v>222</v>
      </c>
      <c r="F81" s="2" t="s">
        <v>264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">
        <f>IFERROR(VLOOKUP(B81,'1️⃣ רשימת עובדים'!$D$3:$G$100,4,FALSE),0)</f>
        <v>929.85694508537142</v>
      </c>
      <c r="M81" s="2">
        <f t="shared" si="8"/>
        <v>929.85694508537142</v>
      </c>
      <c r="N81" s="2">
        <f t="shared" si="9"/>
        <v>0</v>
      </c>
      <c r="O81" s="2">
        <f t="shared" si="10"/>
        <v>185.9713890170743</v>
      </c>
      <c r="P81" s="2">
        <f t="shared" si="11"/>
        <v>185.9713890170743</v>
      </c>
      <c r="Q81" s="3" t="s">
        <v>265</v>
      </c>
    </row>
    <row r="82" spans="1:17" ht="15" hidden="1" x14ac:dyDescent="0.2">
      <c r="A82" s="2" t="s">
        <v>484</v>
      </c>
      <c r="B82" s="2" t="s">
        <v>112</v>
      </c>
      <c r="C82" s="2" t="s">
        <v>70</v>
      </c>
      <c r="D82" s="2" t="s">
        <v>223</v>
      </c>
      <c r="E82" s="2" t="s">
        <v>223</v>
      </c>
      <c r="F82" s="2" t="s">
        <v>281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">
        <f>IFERROR(VLOOKUP(B82,'1️⃣ רשימת עובדים'!$D$3:$G$100,4,FALSE),0)</f>
        <v>929.85694508537142</v>
      </c>
      <c r="M82" s="2">
        <f t="shared" si="8"/>
        <v>929.85694508537142</v>
      </c>
      <c r="N82" s="2">
        <f t="shared" si="9"/>
        <v>0</v>
      </c>
      <c r="O82" s="2">
        <f t="shared" si="10"/>
        <v>185.9713890170743</v>
      </c>
      <c r="P82" s="2">
        <f t="shared" si="11"/>
        <v>185.9713890170743</v>
      </c>
      <c r="Q82" s="3" t="s">
        <v>265</v>
      </c>
    </row>
    <row r="83" spans="1:17" ht="15" hidden="1" x14ac:dyDescent="0.2">
      <c r="A83" s="2" t="s">
        <v>485</v>
      </c>
      <c r="B83" s="2" t="s">
        <v>112</v>
      </c>
      <c r="C83" s="2" t="s">
        <v>70</v>
      </c>
      <c r="D83" s="2" t="s">
        <v>396</v>
      </c>
      <c r="E83" s="2" t="s">
        <v>396</v>
      </c>
      <c r="F83" s="2" t="s">
        <v>281</v>
      </c>
      <c r="G83" s="2">
        <v>1</v>
      </c>
      <c r="H83" s="2">
        <v>0</v>
      </c>
      <c r="I83" s="2">
        <v>0</v>
      </c>
      <c r="J83" s="2">
        <v>1</v>
      </c>
      <c r="K83" s="2">
        <v>0</v>
      </c>
      <c r="L83" s="2">
        <f>IFERROR(VLOOKUP(B83,'1️⃣ רשימת עובדים'!$D$3:$G$100,4,FALSE),0)</f>
        <v>929.85694508537142</v>
      </c>
      <c r="M83" s="2">
        <f t="shared" si="8"/>
        <v>0</v>
      </c>
      <c r="N83" s="2">
        <f t="shared" si="9"/>
        <v>929.85694508537142</v>
      </c>
      <c r="O83" s="2">
        <f t="shared" si="10"/>
        <v>0</v>
      </c>
      <c r="P83" s="2">
        <f t="shared" si="11"/>
        <v>929.85694508537142</v>
      </c>
      <c r="Q83" s="3" t="s">
        <v>265</v>
      </c>
    </row>
    <row r="84" spans="1:17" ht="15" hidden="1" x14ac:dyDescent="0.2">
      <c r="A84" s="2" t="s">
        <v>486</v>
      </c>
      <c r="B84" s="2" t="s">
        <v>112</v>
      </c>
      <c r="C84" s="2" t="s">
        <v>70</v>
      </c>
      <c r="D84" s="2" t="s">
        <v>200</v>
      </c>
      <c r="E84" s="2" t="s">
        <v>200</v>
      </c>
      <c r="F84" s="2" t="s">
        <v>271</v>
      </c>
      <c r="G84" s="2">
        <v>1</v>
      </c>
      <c r="H84" s="2">
        <v>0</v>
      </c>
      <c r="I84" s="2">
        <v>0</v>
      </c>
      <c r="J84" s="2">
        <v>1</v>
      </c>
      <c r="K84" s="2">
        <v>0</v>
      </c>
      <c r="L84" s="2">
        <f>IFERROR(VLOOKUP(B84,'1️⃣ רשימת עובדים'!$D$3:$G$100,4,FALSE),0)</f>
        <v>929.85694508537142</v>
      </c>
      <c r="M84" s="2">
        <f t="shared" si="8"/>
        <v>0</v>
      </c>
      <c r="N84" s="2">
        <f t="shared" si="9"/>
        <v>929.85694508537142</v>
      </c>
      <c r="O84" s="2">
        <f t="shared" si="10"/>
        <v>0</v>
      </c>
      <c r="P84" s="2">
        <f t="shared" si="11"/>
        <v>929.85694508537142</v>
      </c>
      <c r="Q84" s="3" t="s">
        <v>265</v>
      </c>
    </row>
    <row r="85" spans="1:17" ht="15" hidden="1" x14ac:dyDescent="0.2">
      <c r="A85" s="2" t="s">
        <v>487</v>
      </c>
      <c r="B85" s="2" t="s">
        <v>112</v>
      </c>
      <c r="C85" s="2" t="s">
        <v>70</v>
      </c>
      <c r="D85" s="2" t="s">
        <v>202</v>
      </c>
      <c r="E85" s="2" t="s">
        <v>224</v>
      </c>
      <c r="F85" s="2" t="s">
        <v>271</v>
      </c>
      <c r="G85" s="2">
        <v>4</v>
      </c>
      <c r="H85" s="2">
        <v>4</v>
      </c>
      <c r="I85" s="2">
        <v>0</v>
      </c>
      <c r="J85" s="2">
        <v>0</v>
      </c>
      <c r="K85" s="2">
        <v>0</v>
      </c>
      <c r="L85" s="2">
        <f>IFERROR(VLOOKUP(B85,'1️⃣ רשימת עובדים'!$D$3:$G$100,4,FALSE),0)</f>
        <v>929.85694508537142</v>
      </c>
      <c r="M85" s="2">
        <f t="shared" si="8"/>
        <v>3719.4277803414857</v>
      </c>
      <c r="N85" s="2">
        <f t="shared" si="9"/>
        <v>0</v>
      </c>
      <c r="O85" s="2">
        <f t="shared" si="10"/>
        <v>743.88555606829721</v>
      </c>
      <c r="P85" s="2">
        <f t="shared" si="11"/>
        <v>743.88555606829721</v>
      </c>
      <c r="Q85" s="3" t="s">
        <v>265</v>
      </c>
    </row>
    <row r="86" spans="1:17" ht="15" hidden="1" x14ac:dyDescent="0.2">
      <c r="A86" s="2" t="s">
        <v>488</v>
      </c>
      <c r="B86" s="2" t="s">
        <v>112</v>
      </c>
      <c r="C86" s="2" t="s">
        <v>70</v>
      </c>
      <c r="D86" s="2" t="s">
        <v>225</v>
      </c>
      <c r="E86" s="2" t="s">
        <v>226</v>
      </c>
      <c r="F86" s="2" t="s">
        <v>271</v>
      </c>
      <c r="G86" s="2">
        <v>4</v>
      </c>
      <c r="H86" s="2">
        <v>4</v>
      </c>
      <c r="I86" s="2">
        <v>0</v>
      </c>
      <c r="J86" s="2">
        <v>0</v>
      </c>
      <c r="K86" s="2">
        <v>0</v>
      </c>
      <c r="L86" s="2">
        <f>IFERROR(VLOOKUP(B86,'1️⃣ רשימת עובדים'!$D$3:$G$100,4,FALSE),0)</f>
        <v>929.85694508537142</v>
      </c>
      <c r="M86" s="2">
        <f t="shared" si="8"/>
        <v>3719.4277803414857</v>
      </c>
      <c r="N86" s="2">
        <f t="shared" si="9"/>
        <v>0</v>
      </c>
      <c r="O86" s="2">
        <f t="shared" si="10"/>
        <v>743.88555606829721</v>
      </c>
      <c r="P86" s="2">
        <f t="shared" si="11"/>
        <v>743.88555606829721</v>
      </c>
      <c r="Q86" s="3" t="s">
        <v>265</v>
      </c>
    </row>
    <row r="87" spans="1:17" ht="15" hidden="1" x14ac:dyDescent="0.2">
      <c r="A87" s="2" t="s">
        <v>489</v>
      </c>
      <c r="B87" s="2" t="s">
        <v>112</v>
      </c>
      <c r="C87" s="2" t="s">
        <v>70</v>
      </c>
      <c r="D87" s="2" t="s">
        <v>204</v>
      </c>
      <c r="E87" s="2" t="s">
        <v>227</v>
      </c>
      <c r="F87" s="2" t="s">
        <v>271</v>
      </c>
      <c r="G87" s="2">
        <v>3</v>
      </c>
      <c r="H87" s="2">
        <v>2</v>
      </c>
      <c r="I87" s="2">
        <v>0</v>
      </c>
      <c r="J87" s="2">
        <v>1</v>
      </c>
      <c r="K87" s="2">
        <v>0</v>
      </c>
      <c r="L87" s="2">
        <f>IFERROR(VLOOKUP(B87,'1️⃣ רשימת עובדים'!$D$3:$G$100,4,FALSE),0)</f>
        <v>929.85694508537142</v>
      </c>
      <c r="M87" s="2">
        <f t="shared" si="8"/>
        <v>1859.7138901707428</v>
      </c>
      <c r="N87" s="2">
        <f t="shared" si="9"/>
        <v>929.85694508537142</v>
      </c>
      <c r="O87" s="2">
        <f t="shared" si="10"/>
        <v>371.9427780341486</v>
      </c>
      <c r="P87" s="2">
        <f t="shared" si="11"/>
        <v>1301.79972311952</v>
      </c>
      <c r="Q87" s="3" t="s">
        <v>265</v>
      </c>
    </row>
    <row r="88" spans="1:17" ht="15" hidden="1" x14ac:dyDescent="0.2">
      <c r="A88" s="2" t="s">
        <v>328</v>
      </c>
      <c r="B88" s="2" t="s">
        <v>112</v>
      </c>
      <c r="C88" s="2" t="s">
        <v>70</v>
      </c>
      <c r="D88" s="2" t="s">
        <v>228</v>
      </c>
      <c r="E88" s="2" t="s">
        <v>228</v>
      </c>
      <c r="F88" s="2" t="s">
        <v>275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">
        <f>IFERROR(VLOOKUP(B88,'1️⃣ רשימת עובדים'!$D$3:$G$100,4,FALSE),0)</f>
        <v>929.85694508537142</v>
      </c>
      <c r="M88" s="2">
        <f t="shared" si="8"/>
        <v>929.85694508537142</v>
      </c>
      <c r="N88" s="2">
        <f t="shared" si="9"/>
        <v>0</v>
      </c>
      <c r="O88" s="2">
        <f t="shared" si="10"/>
        <v>185.9713890170743</v>
      </c>
      <c r="P88" s="2">
        <f t="shared" si="11"/>
        <v>185.9713890170743</v>
      </c>
      <c r="Q88" s="3" t="s">
        <v>265</v>
      </c>
    </row>
    <row r="89" spans="1:17" ht="15" hidden="1" x14ac:dyDescent="0.2">
      <c r="A89" s="2" t="s">
        <v>490</v>
      </c>
      <c r="B89" s="2" t="s">
        <v>112</v>
      </c>
      <c r="C89" s="2" t="s">
        <v>70</v>
      </c>
      <c r="D89" s="2" t="s">
        <v>441</v>
      </c>
      <c r="E89" s="2" t="s">
        <v>441</v>
      </c>
      <c r="F89" s="2" t="s">
        <v>284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">
        <f>IFERROR(VLOOKUP(B89,'1️⃣ רשימת עובדים'!$D$3:$G$100,4,FALSE),0)</f>
        <v>929.85694508537142</v>
      </c>
      <c r="M89" s="2">
        <f t="shared" si="8"/>
        <v>929.85694508537142</v>
      </c>
      <c r="N89" s="2">
        <f t="shared" si="9"/>
        <v>0</v>
      </c>
      <c r="O89" s="2">
        <f t="shared" si="10"/>
        <v>185.9713890170743</v>
      </c>
      <c r="P89" s="2">
        <f t="shared" si="11"/>
        <v>185.9713890170743</v>
      </c>
      <c r="Q89" s="3" t="s">
        <v>265</v>
      </c>
    </row>
    <row r="90" spans="1:17" ht="15" hidden="1" x14ac:dyDescent="0.2">
      <c r="A90" s="2" t="s">
        <v>491</v>
      </c>
      <c r="B90" s="2" t="s">
        <v>112</v>
      </c>
      <c r="C90" s="2" t="s">
        <v>70</v>
      </c>
      <c r="D90" s="2" t="s">
        <v>492</v>
      </c>
      <c r="E90" s="2" t="s">
        <v>492</v>
      </c>
      <c r="F90" s="2" t="s">
        <v>284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f>IFERROR(VLOOKUP(B90,'1️⃣ רשימת עובדים'!$D$3:$G$100,4,FALSE),0)</f>
        <v>929.85694508537142</v>
      </c>
      <c r="M90" s="2">
        <f t="shared" si="8"/>
        <v>929.85694508537142</v>
      </c>
      <c r="N90" s="2">
        <f t="shared" si="9"/>
        <v>0</v>
      </c>
      <c r="O90" s="2">
        <f t="shared" si="10"/>
        <v>185.9713890170743</v>
      </c>
      <c r="P90" s="2">
        <f t="shared" si="11"/>
        <v>185.9713890170743</v>
      </c>
      <c r="Q90" s="3" t="s">
        <v>265</v>
      </c>
    </row>
    <row r="91" spans="1:17" ht="15" hidden="1" x14ac:dyDescent="0.2">
      <c r="A91" s="2" t="s">
        <v>493</v>
      </c>
      <c r="B91" s="2" t="s">
        <v>112</v>
      </c>
      <c r="C91" s="2" t="s">
        <v>70</v>
      </c>
      <c r="D91" s="2" t="s">
        <v>397</v>
      </c>
      <c r="E91" s="2" t="s">
        <v>465</v>
      </c>
      <c r="F91" s="2" t="s">
        <v>284</v>
      </c>
      <c r="G91" s="2">
        <v>3</v>
      </c>
      <c r="H91" s="2">
        <v>2</v>
      </c>
      <c r="I91" s="2">
        <v>0</v>
      </c>
      <c r="J91" s="2">
        <v>1</v>
      </c>
      <c r="K91" s="2">
        <v>0</v>
      </c>
      <c r="L91" s="2">
        <f>IFERROR(VLOOKUP(B91,'1️⃣ רשימת עובדים'!$D$3:$G$100,4,FALSE),0)</f>
        <v>929.85694508537142</v>
      </c>
      <c r="M91" s="2">
        <f t="shared" si="8"/>
        <v>1859.7138901707428</v>
      </c>
      <c r="N91" s="2">
        <f t="shared" si="9"/>
        <v>929.85694508537142</v>
      </c>
      <c r="O91" s="2">
        <f t="shared" si="10"/>
        <v>371.9427780341486</v>
      </c>
      <c r="P91" s="2">
        <f t="shared" si="11"/>
        <v>1301.79972311952</v>
      </c>
      <c r="Q91" s="3" t="s">
        <v>265</v>
      </c>
    </row>
    <row r="92" spans="1:17" ht="15" hidden="1" x14ac:dyDescent="0.2">
      <c r="A92" s="2" t="s">
        <v>494</v>
      </c>
      <c r="B92" s="2" t="s">
        <v>112</v>
      </c>
      <c r="C92" s="2" t="s">
        <v>70</v>
      </c>
      <c r="D92" s="2" t="s">
        <v>412</v>
      </c>
      <c r="E92" s="2" t="s">
        <v>390</v>
      </c>
      <c r="F92" s="2" t="s">
        <v>267</v>
      </c>
      <c r="G92" s="2">
        <v>3</v>
      </c>
      <c r="H92" s="2">
        <v>3</v>
      </c>
      <c r="I92" s="2">
        <v>0</v>
      </c>
      <c r="J92" s="2">
        <v>0</v>
      </c>
      <c r="K92" s="2">
        <v>0</v>
      </c>
      <c r="L92" s="2">
        <f>IFERROR(VLOOKUP(B92,'1️⃣ רשימת עובדים'!$D$3:$G$100,4,FALSE),0)</f>
        <v>929.85694508537142</v>
      </c>
      <c r="M92" s="2">
        <f t="shared" si="8"/>
        <v>2789.5708352561142</v>
      </c>
      <c r="N92" s="2">
        <f t="shared" si="9"/>
        <v>0</v>
      </c>
      <c r="O92" s="2">
        <f t="shared" si="10"/>
        <v>557.91416705122288</v>
      </c>
      <c r="P92" s="2">
        <f t="shared" si="11"/>
        <v>557.91416705122288</v>
      </c>
      <c r="Q92" s="3" t="s">
        <v>265</v>
      </c>
    </row>
    <row r="93" spans="1:17" ht="15" hidden="1" x14ac:dyDescent="0.2">
      <c r="A93" s="2" t="s">
        <v>495</v>
      </c>
      <c r="B93" s="2" t="s">
        <v>112</v>
      </c>
      <c r="C93" s="2" t="s">
        <v>70</v>
      </c>
      <c r="D93" s="2" t="s">
        <v>391</v>
      </c>
      <c r="E93" s="2" t="s">
        <v>391</v>
      </c>
      <c r="F93" s="2" t="s">
        <v>267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">
        <f>IFERROR(VLOOKUP(B93,'1️⃣ רשימת עובדים'!$D$3:$G$100,4,FALSE),0)</f>
        <v>929.85694508537142</v>
      </c>
      <c r="M93" s="2">
        <f t="shared" si="8"/>
        <v>0</v>
      </c>
      <c r="N93" s="2">
        <f t="shared" si="9"/>
        <v>929.85694508537142</v>
      </c>
      <c r="O93" s="2">
        <f t="shared" si="10"/>
        <v>0</v>
      </c>
      <c r="P93" s="2">
        <f t="shared" si="11"/>
        <v>929.85694508537142</v>
      </c>
      <c r="Q93" s="3" t="s">
        <v>265</v>
      </c>
    </row>
    <row r="94" spans="1:17" ht="15" hidden="1" x14ac:dyDescent="0.2">
      <c r="A94" s="2" t="s">
        <v>331</v>
      </c>
      <c r="B94" s="2" t="s">
        <v>114</v>
      </c>
      <c r="C94" s="2" t="s">
        <v>92</v>
      </c>
      <c r="D94" s="2" t="s">
        <v>192</v>
      </c>
      <c r="E94" s="2" t="s">
        <v>184</v>
      </c>
      <c r="F94" s="2" t="s">
        <v>264</v>
      </c>
      <c r="G94" s="2">
        <v>3</v>
      </c>
      <c r="H94" s="2">
        <v>3</v>
      </c>
      <c r="I94" s="2">
        <v>0</v>
      </c>
      <c r="J94" s="2">
        <v>0</v>
      </c>
      <c r="K94" s="2">
        <v>0</v>
      </c>
      <c r="L94" s="2">
        <f>IFERROR(VLOOKUP(B94,'1️⃣ רשימת עובדים'!$D$3:$G$100,4,FALSE),0)</f>
        <v>914.90539916935847</v>
      </c>
      <c r="M94" s="2">
        <f t="shared" si="8"/>
        <v>2744.7161975080753</v>
      </c>
      <c r="N94" s="2">
        <f t="shared" si="9"/>
        <v>0</v>
      </c>
      <c r="O94" s="2">
        <f t="shared" si="10"/>
        <v>548.94323950161504</v>
      </c>
      <c r="P94" s="2">
        <f t="shared" si="11"/>
        <v>548.94323950161504</v>
      </c>
      <c r="Q94" s="3" t="s">
        <v>265</v>
      </c>
    </row>
    <row r="95" spans="1:17" ht="15" hidden="1" x14ac:dyDescent="0.2">
      <c r="A95" s="2" t="s">
        <v>332</v>
      </c>
      <c r="B95" s="2" t="s">
        <v>114</v>
      </c>
      <c r="C95" s="2" t="s">
        <v>92</v>
      </c>
      <c r="D95" s="2" t="s">
        <v>496</v>
      </c>
      <c r="E95" s="2" t="s">
        <v>497</v>
      </c>
      <c r="F95" s="2" t="s">
        <v>273</v>
      </c>
      <c r="G95" s="2">
        <v>6</v>
      </c>
      <c r="H95" s="2">
        <v>4</v>
      </c>
      <c r="I95" s="2">
        <v>1</v>
      </c>
      <c r="J95" s="2">
        <v>1</v>
      </c>
      <c r="K95" s="2">
        <v>0</v>
      </c>
      <c r="L95" s="2">
        <f>IFERROR(VLOOKUP(B95,'1️⃣ רשימת עובדים'!$D$3:$G$100,4,FALSE),0)</f>
        <v>914.90539916935847</v>
      </c>
      <c r="M95" s="2">
        <f t="shared" si="8"/>
        <v>3659.6215966774339</v>
      </c>
      <c r="N95" s="2">
        <f t="shared" si="9"/>
        <v>1829.8107983387169</v>
      </c>
      <c r="O95" s="2">
        <f t="shared" si="10"/>
        <v>731.92431933548687</v>
      </c>
      <c r="P95" s="2">
        <f t="shared" si="11"/>
        <v>2561.735117674204</v>
      </c>
      <c r="Q95" s="3" t="s">
        <v>265</v>
      </c>
    </row>
    <row r="96" spans="1:17" ht="15" x14ac:dyDescent="0.2">
      <c r="A96" s="2" t="s">
        <v>498</v>
      </c>
      <c r="B96" s="2" t="s">
        <v>117</v>
      </c>
      <c r="C96" s="2" t="s">
        <v>92</v>
      </c>
      <c r="D96" s="2" t="s">
        <v>140</v>
      </c>
      <c r="E96" s="2" t="s">
        <v>140</v>
      </c>
      <c r="F96" s="2" t="s">
        <v>269</v>
      </c>
      <c r="G96" s="2">
        <v>1</v>
      </c>
      <c r="H96" s="2">
        <v>1</v>
      </c>
      <c r="I96" s="2">
        <v>0</v>
      </c>
      <c r="J96" s="2">
        <v>0</v>
      </c>
      <c r="K96" s="2">
        <v>0</v>
      </c>
      <c r="L96" s="2">
        <f>IFERROR(VLOOKUP(B96,'1️⃣ רשימת עובדים'!$D$3:$G$100,4,FALSE),0)</f>
        <v>914.85925242270412</v>
      </c>
      <c r="M96" s="2">
        <f t="shared" si="8"/>
        <v>914.85925242270412</v>
      </c>
      <c r="N96" s="2">
        <f t="shared" si="9"/>
        <v>0</v>
      </c>
      <c r="O96" s="2">
        <f t="shared" si="10"/>
        <v>182.97185048454082</v>
      </c>
      <c r="P96" s="2">
        <f t="shared" si="11"/>
        <v>182.97185048454082</v>
      </c>
      <c r="Q96" s="3" t="s">
        <v>265</v>
      </c>
    </row>
    <row r="97" spans="1:17" ht="15" x14ac:dyDescent="0.2">
      <c r="A97" s="2" t="s">
        <v>499</v>
      </c>
      <c r="B97" s="2" t="s">
        <v>117</v>
      </c>
      <c r="C97" s="2" t="s">
        <v>92</v>
      </c>
      <c r="D97" s="2" t="s">
        <v>146</v>
      </c>
      <c r="E97" s="2" t="s">
        <v>151</v>
      </c>
      <c r="F97" s="2" t="s">
        <v>269</v>
      </c>
      <c r="G97" s="2">
        <v>7</v>
      </c>
      <c r="H97" s="2">
        <v>5</v>
      </c>
      <c r="I97" s="2">
        <v>1</v>
      </c>
      <c r="J97" s="2">
        <v>1</v>
      </c>
      <c r="K97" s="2">
        <v>0</v>
      </c>
      <c r="L97" s="2">
        <f>IFERROR(VLOOKUP(B97,'1️⃣ רשימת עובדים'!$D$3:$G$100,4,FALSE),0)</f>
        <v>914.85925242270412</v>
      </c>
      <c r="M97" s="2">
        <f t="shared" si="8"/>
        <v>4574.2962621135202</v>
      </c>
      <c r="N97" s="2">
        <f t="shared" si="9"/>
        <v>1829.7185048454082</v>
      </c>
      <c r="O97" s="2">
        <f t="shared" si="10"/>
        <v>914.85925242270412</v>
      </c>
      <c r="P97" s="2">
        <f t="shared" si="11"/>
        <v>2744.5777572681122</v>
      </c>
      <c r="Q97" s="3" t="s">
        <v>265</v>
      </c>
    </row>
    <row r="98" spans="1:17" ht="15" x14ac:dyDescent="0.2">
      <c r="A98" s="2" t="s">
        <v>500</v>
      </c>
      <c r="B98" s="2" t="s">
        <v>117</v>
      </c>
      <c r="C98" s="2" t="s">
        <v>92</v>
      </c>
      <c r="D98" s="2" t="s">
        <v>152</v>
      </c>
      <c r="E98" s="2" t="s">
        <v>154</v>
      </c>
      <c r="F98" s="2" t="s">
        <v>269</v>
      </c>
      <c r="G98" s="2">
        <v>4</v>
      </c>
      <c r="H98" s="2">
        <v>4</v>
      </c>
      <c r="I98" s="2">
        <v>0</v>
      </c>
      <c r="J98" s="2">
        <v>0</v>
      </c>
      <c r="K98" s="2">
        <v>0</v>
      </c>
      <c r="L98" s="2">
        <f>IFERROR(VLOOKUP(B98,'1️⃣ רשימת עובדים'!$D$3:$G$100,4,FALSE),0)</f>
        <v>914.85925242270412</v>
      </c>
      <c r="M98" s="2">
        <f t="shared" ref="M98:M129" si="12">H98*L98</f>
        <v>3659.4370096908165</v>
      </c>
      <c r="N98" s="2">
        <f t="shared" ref="N98:N129" si="13">(I98+J98+K98)*L98</f>
        <v>0</v>
      </c>
      <c r="O98" s="2">
        <f t="shared" ref="O98:O129" si="14">M98*0.2</f>
        <v>731.88740193816329</v>
      </c>
      <c r="P98" s="2">
        <f t="shared" ref="P98:P129" si="15">N98+O98</f>
        <v>731.88740193816329</v>
      </c>
      <c r="Q98" s="3" t="s">
        <v>265</v>
      </c>
    </row>
    <row r="99" spans="1:17" ht="15" x14ac:dyDescent="0.2">
      <c r="A99" s="2" t="s">
        <v>501</v>
      </c>
      <c r="B99" s="2" t="s">
        <v>117</v>
      </c>
      <c r="C99" s="2" t="s">
        <v>92</v>
      </c>
      <c r="D99" s="2" t="s">
        <v>155</v>
      </c>
      <c r="E99" s="2" t="s">
        <v>155</v>
      </c>
      <c r="F99" s="2" t="s">
        <v>269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">
        <f>IFERROR(VLOOKUP(B99,'1️⃣ רשימת עובדים'!$D$3:$G$100,4,FALSE),0)</f>
        <v>914.85925242270412</v>
      </c>
      <c r="M99" s="2">
        <f t="shared" si="12"/>
        <v>914.85925242270412</v>
      </c>
      <c r="N99" s="2">
        <f t="shared" si="13"/>
        <v>0</v>
      </c>
      <c r="O99" s="2">
        <f t="shared" si="14"/>
        <v>182.97185048454082</v>
      </c>
      <c r="P99" s="2">
        <f t="shared" si="15"/>
        <v>182.97185048454082</v>
      </c>
      <c r="Q99" s="3" t="s">
        <v>265</v>
      </c>
    </row>
    <row r="100" spans="1:17" ht="15" x14ac:dyDescent="0.2">
      <c r="A100" s="2" t="s">
        <v>502</v>
      </c>
      <c r="B100" s="2" t="s">
        <v>117</v>
      </c>
      <c r="C100" s="2" t="s">
        <v>92</v>
      </c>
      <c r="D100" s="2" t="s">
        <v>156</v>
      </c>
      <c r="E100" s="2" t="s">
        <v>399</v>
      </c>
      <c r="F100" s="2" t="s">
        <v>269</v>
      </c>
      <c r="G100" s="2">
        <v>3</v>
      </c>
      <c r="H100" s="2">
        <v>1</v>
      </c>
      <c r="I100" s="2">
        <v>1</v>
      </c>
      <c r="J100" s="2">
        <v>1</v>
      </c>
      <c r="K100" s="2">
        <v>0</v>
      </c>
      <c r="L100" s="2">
        <f>IFERROR(VLOOKUP(B100,'1️⃣ רשימת עובדים'!$D$3:$G$100,4,FALSE),0)</f>
        <v>914.85925242270412</v>
      </c>
      <c r="M100" s="2">
        <f t="shared" si="12"/>
        <v>914.85925242270412</v>
      </c>
      <c r="N100" s="2">
        <f t="shared" si="13"/>
        <v>1829.7185048454082</v>
      </c>
      <c r="O100" s="2">
        <f t="shared" si="14"/>
        <v>182.97185048454082</v>
      </c>
      <c r="P100" s="2">
        <f t="shared" si="15"/>
        <v>2012.6903553299489</v>
      </c>
      <c r="Q100" s="3" t="s">
        <v>265</v>
      </c>
    </row>
    <row r="101" spans="1:17" ht="15" hidden="1" x14ac:dyDescent="0.2">
      <c r="A101" s="2" t="s">
        <v>503</v>
      </c>
      <c r="B101" s="2" t="s">
        <v>117</v>
      </c>
      <c r="C101" s="2" t="s">
        <v>92</v>
      </c>
      <c r="D101" s="2" t="s">
        <v>186</v>
      </c>
      <c r="E101" s="2" t="s">
        <v>504</v>
      </c>
      <c r="F101" s="2" t="s">
        <v>293</v>
      </c>
      <c r="G101" s="2">
        <v>2</v>
      </c>
      <c r="H101" s="2">
        <v>2</v>
      </c>
      <c r="I101" s="2">
        <v>0</v>
      </c>
      <c r="J101" s="2">
        <v>0</v>
      </c>
      <c r="K101" s="2">
        <v>0</v>
      </c>
      <c r="L101" s="2">
        <f>IFERROR(VLOOKUP(B101,'1️⃣ רשימת עובדים'!$D$3:$G$100,4,FALSE),0)</f>
        <v>914.85925242270412</v>
      </c>
      <c r="M101" s="2">
        <f t="shared" si="12"/>
        <v>1829.7185048454082</v>
      </c>
      <c r="N101" s="2">
        <f t="shared" si="13"/>
        <v>0</v>
      </c>
      <c r="O101" s="2">
        <f t="shared" si="14"/>
        <v>365.94370096908165</v>
      </c>
      <c r="P101" s="2">
        <f t="shared" si="15"/>
        <v>365.94370096908165</v>
      </c>
      <c r="Q101" s="3" t="s">
        <v>265</v>
      </c>
    </row>
    <row r="102" spans="1:17" ht="15" hidden="1" x14ac:dyDescent="0.2">
      <c r="A102" s="2" t="s">
        <v>505</v>
      </c>
      <c r="B102" s="2" t="s">
        <v>117</v>
      </c>
      <c r="C102" s="2" t="s">
        <v>92</v>
      </c>
      <c r="D102" s="2" t="s">
        <v>506</v>
      </c>
      <c r="E102" s="2" t="s">
        <v>506</v>
      </c>
      <c r="F102" s="2" t="s">
        <v>293</v>
      </c>
      <c r="G102" s="2">
        <v>1</v>
      </c>
      <c r="H102" s="2">
        <v>1</v>
      </c>
      <c r="I102" s="2">
        <v>0</v>
      </c>
      <c r="J102" s="2">
        <v>0</v>
      </c>
      <c r="K102" s="2">
        <v>0</v>
      </c>
      <c r="L102" s="2">
        <f>IFERROR(VLOOKUP(B102,'1️⃣ רשימת עובדים'!$D$3:$G$100,4,FALSE),0)</f>
        <v>914.85925242270412</v>
      </c>
      <c r="M102" s="2">
        <f t="shared" si="12"/>
        <v>914.85925242270412</v>
      </c>
      <c r="N102" s="2">
        <f t="shared" si="13"/>
        <v>0</v>
      </c>
      <c r="O102" s="2">
        <f t="shared" si="14"/>
        <v>182.97185048454082</v>
      </c>
      <c r="P102" s="2">
        <f t="shared" si="15"/>
        <v>182.97185048454082</v>
      </c>
      <c r="Q102" s="3" t="s">
        <v>265</v>
      </c>
    </row>
    <row r="103" spans="1:17" ht="15" hidden="1" x14ac:dyDescent="0.2">
      <c r="A103" s="2" t="s">
        <v>507</v>
      </c>
      <c r="B103" s="2" t="s">
        <v>117</v>
      </c>
      <c r="C103" s="2" t="s">
        <v>92</v>
      </c>
      <c r="D103" s="2" t="s">
        <v>508</v>
      </c>
      <c r="E103" s="2" t="s">
        <v>187</v>
      </c>
      <c r="F103" s="2" t="s">
        <v>293</v>
      </c>
      <c r="G103" s="2">
        <v>2</v>
      </c>
      <c r="H103" s="2">
        <v>2</v>
      </c>
      <c r="I103" s="2">
        <v>0</v>
      </c>
      <c r="J103" s="2">
        <v>0</v>
      </c>
      <c r="K103" s="2">
        <v>0</v>
      </c>
      <c r="L103" s="2">
        <f>IFERROR(VLOOKUP(B103,'1️⃣ רשימת עובדים'!$D$3:$G$100,4,FALSE),0)</f>
        <v>914.85925242270412</v>
      </c>
      <c r="M103" s="2">
        <f t="shared" si="12"/>
        <v>1829.7185048454082</v>
      </c>
      <c r="N103" s="2">
        <f t="shared" si="13"/>
        <v>0</v>
      </c>
      <c r="O103" s="2">
        <f t="shared" si="14"/>
        <v>365.94370096908165</v>
      </c>
      <c r="P103" s="2">
        <f t="shared" si="15"/>
        <v>365.94370096908165</v>
      </c>
      <c r="Q103" s="3" t="s">
        <v>265</v>
      </c>
    </row>
    <row r="104" spans="1:17" ht="15" hidden="1" x14ac:dyDescent="0.2">
      <c r="A104" s="2" t="s">
        <v>509</v>
      </c>
      <c r="B104" s="2" t="s">
        <v>117</v>
      </c>
      <c r="C104" s="2" t="s">
        <v>92</v>
      </c>
      <c r="D104" s="2" t="s">
        <v>179</v>
      </c>
      <c r="E104" s="2" t="s">
        <v>510</v>
      </c>
      <c r="F104" s="2" t="s">
        <v>293</v>
      </c>
      <c r="G104" s="2">
        <v>2</v>
      </c>
      <c r="H104" s="2">
        <v>2</v>
      </c>
      <c r="I104" s="2">
        <v>0</v>
      </c>
      <c r="J104" s="2">
        <v>0</v>
      </c>
      <c r="K104" s="2">
        <v>0</v>
      </c>
      <c r="L104" s="2">
        <f>IFERROR(VLOOKUP(B104,'1️⃣ רשימת עובדים'!$D$3:$G$100,4,FALSE),0)</f>
        <v>914.85925242270412</v>
      </c>
      <c r="M104" s="2">
        <f t="shared" si="12"/>
        <v>1829.7185048454082</v>
      </c>
      <c r="N104" s="2">
        <f t="shared" si="13"/>
        <v>0</v>
      </c>
      <c r="O104" s="2">
        <f t="shared" si="14"/>
        <v>365.94370096908165</v>
      </c>
      <c r="P104" s="2">
        <f t="shared" si="15"/>
        <v>365.94370096908165</v>
      </c>
      <c r="Q104" s="3" t="s">
        <v>265</v>
      </c>
    </row>
    <row r="105" spans="1:17" ht="15" hidden="1" x14ac:dyDescent="0.2">
      <c r="A105" s="2" t="s">
        <v>511</v>
      </c>
      <c r="B105" s="2" t="s">
        <v>117</v>
      </c>
      <c r="C105" s="2" t="s">
        <v>92</v>
      </c>
      <c r="D105" s="2" t="s">
        <v>229</v>
      </c>
      <c r="E105" s="2" t="s">
        <v>232</v>
      </c>
      <c r="F105" s="2" t="s">
        <v>264</v>
      </c>
      <c r="G105" s="2">
        <v>4</v>
      </c>
      <c r="H105" s="2">
        <v>4</v>
      </c>
      <c r="I105" s="2">
        <v>0</v>
      </c>
      <c r="J105" s="2">
        <v>0</v>
      </c>
      <c r="K105" s="2">
        <v>0</v>
      </c>
      <c r="L105" s="2">
        <f>IFERROR(VLOOKUP(B105,'1️⃣ רשימת עובדים'!$D$3:$G$100,4,FALSE),0)</f>
        <v>914.85925242270412</v>
      </c>
      <c r="M105" s="2">
        <f t="shared" si="12"/>
        <v>3659.4370096908165</v>
      </c>
      <c r="N105" s="2">
        <f t="shared" si="13"/>
        <v>0</v>
      </c>
      <c r="O105" s="2">
        <f t="shared" si="14"/>
        <v>731.88740193816329</v>
      </c>
      <c r="P105" s="2">
        <f t="shared" si="15"/>
        <v>731.88740193816329</v>
      </c>
      <c r="Q105" s="3" t="s">
        <v>265</v>
      </c>
    </row>
    <row r="106" spans="1:17" ht="15" hidden="1" x14ac:dyDescent="0.2">
      <c r="A106" s="2" t="s">
        <v>512</v>
      </c>
      <c r="B106" s="2" t="s">
        <v>117</v>
      </c>
      <c r="C106" s="2" t="s">
        <v>92</v>
      </c>
      <c r="D106" s="2" t="s">
        <v>191</v>
      </c>
      <c r="E106" s="2" t="s">
        <v>192</v>
      </c>
      <c r="F106" s="2" t="s">
        <v>264</v>
      </c>
      <c r="G106" s="2">
        <v>3</v>
      </c>
      <c r="H106" s="2">
        <v>3</v>
      </c>
      <c r="I106" s="2">
        <v>0</v>
      </c>
      <c r="J106" s="2">
        <v>0</v>
      </c>
      <c r="K106" s="2">
        <v>0</v>
      </c>
      <c r="L106" s="2">
        <f>IFERROR(VLOOKUP(B106,'1️⃣ רשימת עובדים'!$D$3:$G$100,4,FALSE),0)</f>
        <v>914.85925242270412</v>
      </c>
      <c r="M106" s="2">
        <f t="shared" si="12"/>
        <v>2744.5777572681122</v>
      </c>
      <c r="N106" s="2">
        <f t="shared" si="13"/>
        <v>0</v>
      </c>
      <c r="O106" s="2">
        <f t="shared" si="14"/>
        <v>548.91555145362247</v>
      </c>
      <c r="P106" s="2">
        <f t="shared" si="15"/>
        <v>548.91555145362247</v>
      </c>
      <c r="Q106" s="3" t="s">
        <v>265</v>
      </c>
    </row>
    <row r="107" spans="1:17" ht="15" hidden="1" x14ac:dyDescent="0.2">
      <c r="A107" s="2" t="s">
        <v>513</v>
      </c>
      <c r="B107" s="2" t="s">
        <v>117</v>
      </c>
      <c r="C107" s="2" t="s">
        <v>92</v>
      </c>
      <c r="D107" s="2" t="s">
        <v>220</v>
      </c>
      <c r="E107" s="2" t="s">
        <v>221</v>
      </c>
      <c r="F107" s="2" t="s">
        <v>264</v>
      </c>
      <c r="G107" s="2">
        <v>2</v>
      </c>
      <c r="H107" s="2">
        <v>2</v>
      </c>
      <c r="I107" s="2">
        <v>0</v>
      </c>
      <c r="J107" s="2">
        <v>0</v>
      </c>
      <c r="K107" s="2">
        <v>0</v>
      </c>
      <c r="L107" s="2">
        <f>IFERROR(VLOOKUP(B107,'1️⃣ רשימת עובדים'!$D$3:$G$100,4,FALSE),0)</f>
        <v>914.85925242270412</v>
      </c>
      <c r="M107" s="2">
        <f t="shared" si="12"/>
        <v>1829.7185048454082</v>
      </c>
      <c r="N107" s="2">
        <f t="shared" si="13"/>
        <v>0</v>
      </c>
      <c r="O107" s="2">
        <f t="shared" si="14"/>
        <v>365.94370096908165</v>
      </c>
      <c r="P107" s="2">
        <f t="shared" si="15"/>
        <v>365.94370096908165</v>
      </c>
      <c r="Q107" s="3" t="s">
        <v>265</v>
      </c>
    </row>
    <row r="108" spans="1:17" ht="15" hidden="1" x14ac:dyDescent="0.2">
      <c r="A108" s="2" t="s">
        <v>514</v>
      </c>
      <c r="B108" s="2" t="s">
        <v>117</v>
      </c>
      <c r="C108" s="2" t="s">
        <v>92</v>
      </c>
      <c r="D108" s="2" t="s">
        <v>222</v>
      </c>
      <c r="E108" s="2" t="s">
        <v>515</v>
      </c>
      <c r="F108" s="2" t="s">
        <v>264</v>
      </c>
      <c r="G108" s="2">
        <v>2</v>
      </c>
      <c r="H108" s="2">
        <v>2</v>
      </c>
      <c r="I108" s="2">
        <v>0</v>
      </c>
      <c r="J108" s="2">
        <v>0</v>
      </c>
      <c r="K108" s="2">
        <v>0</v>
      </c>
      <c r="L108" s="2">
        <f>IFERROR(VLOOKUP(B108,'1️⃣ רשימת עובדים'!$D$3:$G$100,4,FALSE),0)</f>
        <v>914.85925242270412</v>
      </c>
      <c r="M108" s="2">
        <f t="shared" si="12"/>
        <v>1829.7185048454082</v>
      </c>
      <c r="N108" s="2">
        <f t="shared" si="13"/>
        <v>0</v>
      </c>
      <c r="O108" s="2">
        <f t="shared" si="14"/>
        <v>365.94370096908165</v>
      </c>
      <c r="P108" s="2">
        <f t="shared" si="15"/>
        <v>365.94370096908165</v>
      </c>
      <c r="Q108" s="3" t="s">
        <v>265</v>
      </c>
    </row>
    <row r="109" spans="1:17" ht="15" hidden="1" x14ac:dyDescent="0.2">
      <c r="A109" s="2" t="s">
        <v>516</v>
      </c>
      <c r="B109" s="2" t="s">
        <v>117</v>
      </c>
      <c r="C109" s="2" t="s">
        <v>92</v>
      </c>
      <c r="D109" s="2" t="s">
        <v>193</v>
      </c>
      <c r="E109" s="2" t="s">
        <v>211</v>
      </c>
      <c r="F109" s="2" t="s">
        <v>264</v>
      </c>
      <c r="G109" s="2">
        <v>5</v>
      </c>
      <c r="H109" s="2">
        <v>4</v>
      </c>
      <c r="I109" s="2">
        <v>0</v>
      </c>
      <c r="J109" s="2">
        <v>1</v>
      </c>
      <c r="K109" s="2">
        <v>0</v>
      </c>
      <c r="L109" s="2">
        <f>IFERROR(VLOOKUP(B109,'1️⃣ רשימת עובדים'!$D$3:$G$100,4,FALSE),0)</f>
        <v>914.85925242270412</v>
      </c>
      <c r="M109" s="2">
        <f t="shared" si="12"/>
        <v>3659.4370096908165</v>
      </c>
      <c r="N109" s="2">
        <f t="shared" si="13"/>
        <v>914.85925242270412</v>
      </c>
      <c r="O109" s="2">
        <f t="shared" si="14"/>
        <v>731.88740193816329</v>
      </c>
      <c r="P109" s="2">
        <f t="shared" si="15"/>
        <v>1646.7466543608675</v>
      </c>
      <c r="Q109" s="3" t="s">
        <v>265</v>
      </c>
    </row>
    <row r="110" spans="1:17" ht="15" hidden="1" x14ac:dyDescent="0.2">
      <c r="A110" s="2" t="s">
        <v>517</v>
      </c>
      <c r="B110" s="2" t="s">
        <v>117</v>
      </c>
      <c r="C110" s="2" t="s">
        <v>92</v>
      </c>
      <c r="D110" s="2" t="s">
        <v>518</v>
      </c>
      <c r="E110" s="2" t="s">
        <v>518</v>
      </c>
      <c r="F110" s="2" t="s">
        <v>281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">
        <f>IFERROR(VLOOKUP(B110,'1️⃣ רשימת עובדים'!$D$3:$G$100,4,FALSE),0)</f>
        <v>914.85925242270412</v>
      </c>
      <c r="M110" s="2">
        <f t="shared" si="12"/>
        <v>0</v>
      </c>
      <c r="N110" s="2">
        <f t="shared" si="13"/>
        <v>914.85925242270412</v>
      </c>
      <c r="O110" s="2">
        <f t="shared" si="14"/>
        <v>0</v>
      </c>
      <c r="P110" s="2">
        <f t="shared" si="15"/>
        <v>914.85925242270412</v>
      </c>
      <c r="Q110" s="3" t="s">
        <v>265</v>
      </c>
    </row>
    <row r="111" spans="1:17" ht="15" hidden="1" x14ac:dyDescent="0.2">
      <c r="A111" s="2" t="s">
        <v>519</v>
      </c>
      <c r="B111" s="2" t="s">
        <v>117</v>
      </c>
      <c r="C111" s="2" t="s">
        <v>92</v>
      </c>
      <c r="D111" s="2" t="s">
        <v>212</v>
      </c>
      <c r="E111" s="2" t="s">
        <v>212</v>
      </c>
      <c r="F111" s="2" t="s">
        <v>281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">
        <f>IFERROR(VLOOKUP(B111,'1️⃣ רשימת עובדים'!$D$3:$G$100,4,FALSE),0)</f>
        <v>914.85925242270412</v>
      </c>
      <c r="M111" s="2">
        <f t="shared" si="12"/>
        <v>914.85925242270412</v>
      </c>
      <c r="N111" s="2">
        <f t="shared" si="13"/>
        <v>0</v>
      </c>
      <c r="O111" s="2">
        <f t="shared" si="14"/>
        <v>182.97185048454082</v>
      </c>
      <c r="P111" s="2">
        <f t="shared" si="15"/>
        <v>182.97185048454082</v>
      </c>
      <c r="Q111" s="3" t="s">
        <v>265</v>
      </c>
    </row>
    <row r="112" spans="1:17" ht="15" hidden="1" x14ac:dyDescent="0.2">
      <c r="A112" s="2" t="s">
        <v>520</v>
      </c>
      <c r="B112" s="2" t="s">
        <v>117</v>
      </c>
      <c r="C112" s="2" t="s">
        <v>92</v>
      </c>
      <c r="D112" s="2" t="s">
        <v>223</v>
      </c>
      <c r="E112" s="2" t="s">
        <v>181</v>
      </c>
      <c r="F112" s="2" t="s">
        <v>281</v>
      </c>
      <c r="G112" s="2">
        <v>3</v>
      </c>
      <c r="H112" s="2">
        <v>3</v>
      </c>
      <c r="I112" s="2">
        <v>0</v>
      </c>
      <c r="J112" s="2">
        <v>0</v>
      </c>
      <c r="K112" s="2">
        <v>0</v>
      </c>
      <c r="L112" s="2">
        <f>IFERROR(VLOOKUP(B112,'1️⃣ רשימת עובדים'!$D$3:$G$100,4,FALSE),0)</f>
        <v>914.85925242270412</v>
      </c>
      <c r="M112" s="2">
        <f t="shared" si="12"/>
        <v>2744.5777572681122</v>
      </c>
      <c r="N112" s="2">
        <f t="shared" si="13"/>
        <v>0</v>
      </c>
      <c r="O112" s="2">
        <f t="shared" si="14"/>
        <v>548.91555145362247</v>
      </c>
      <c r="P112" s="2">
        <f t="shared" si="15"/>
        <v>548.91555145362247</v>
      </c>
      <c r="Q112" s="3" t="s">
        <v>265</v>
      </c>
    </row>
    <row r="113" spans="1:17" ht="15" hidden="1" x14ac:dyDescent="0.2">
      <c r="A113" s="2" t="s">
        <v>521</v>
      </c>
      <c r="B113" s="2" t="s">
        <v>117</v>
      </c>
      <c r="C113" s="2" t="s">
        <v>92</v>
      </c>
      <c r="D113" s="2" t="s">
        <v>522</v>
      </c>
      <c r="E113" s="2" t="s">
        <v>522</v>
      </c>
      <c r="F113" s="2" t="s">
        <v>281</v>
      </c>
      <c r="G113" s="2">
        <v>1</v>
      </c>
      <c r="H113" s="2">
        <v>1</v>
      </c>
      <c r="I113" s="2">
        <v>0</v>
      </c>
      <c r="J113" s="2">
        <v>0</v>
      </c>
      <c r="K113" s="2">
        <v>0</v>
      </c>
      <c r="L113" s="2">
        <f>IFERROR(VLOOKUP(B113,'1️⃣ רשימת עובדים'!$D$3:$G$100,4,FALSE),0)</f>
        <v>914.85925242270412</v>
      </c>
      <c r="M113" s="2">
        <f t="shared" si="12"/>
        <v>914.85925242270412</v>
      </c>
      <c r="N113" s="2">
        <f t="shared" si="13"/>
        <v>0</v>
      </c>
      <c r="O113" s="2">
        <f t="shared" si="14"/>
        <v>182.97185048454082</v>
      </c>
      <c r="P113" s="2">
        <f t="shared" si="15"/>
        <v>182.97185048454082</v>
      </c>
      <c r="Q113" s="3" t="s">
        <v>265</v>
      </c>
    </row>
    <row r="114" spans="1:17" ht="15" hidden="1" x14ac:dyDescent="0.2">
      <c r="A114" s="2" t="s">
        <v>523</v>
      </c>
      <c r="B114" s="2" t="s">
        <v>117</v>
      </c>
      <c r="C114" s="2" t="s">
        <v>92</v>
      </c>
      <c r="D114" s="2" t="s">
        <v>428</v>
      </c>
      <c r="E114" s="2" t="s">
        <v>524</v>
      </c>
      <c r="F114" s="2" t="s">
        <v>271</v>
      </c>
      <c r="G114" s="2">
        <v>2</v>
      </c>
      <c r="H114" s="2">
        <v>2</v>
      </c>
      <c r="I114" s="2">
        <v>0</v>
      </c>
      <c r="J114" s="2">
        <v>0</v>
      </c>
      <c r="K114" s="2">
        <v>0</v>
      </c>
      <c r="L114" s="2">
        <f>IFERROR(VLOOKUP(B114,'1️⃣ רשימת עובדים'!$D$3:$G$100,4,FALSE),0)</f>
        <v>914.85925242270412</v>
      </c>
      <c r="M114" s="2">
        <f t="shared" si="12"/>
        <v>1829.7185048454082</v>
      </c>
      <c r="N114" s="2">
        <f t="shared" si="13"/>
        <v>0</v>
      </c>
      <c r="O114" s="2">
        <f t="shared" si="14"/>
        <v>365.94370096908165</v>
      </c>
      <c r="P114" s="2">
        <f t="shared" si="15"/>
        <v>365.94370096908165</v>
      </c>
      <c r="Q114" s="3" t="s">
        <v>265</v>
      </c>
    </row>
    <row r="115" spans="1:17" ht="15" hidden="1" x14ac:dyDescent="0.2">
      <c r="A115" s="2" t="s">
        <v>525</v>
      </c>
      <c r="B115" s="2" t="s">
        <v>117</v>
      </c>
      <c r="C115" s="2" t="s">
        <v>92</v>
      </c>
      <c r="D115" s="2" t="s">
        <v>526</v>
      </c>
      <c r="E115" s="2" t="s">
        <v>526</v>
      </c>
      <c r="F115" s="2" t="s">
        <v>271</v>
      </c>
      <c r="G115" s="2">
        <v>1</v>
      </c>
      <c r="H115" s="2">
        <v>0</v>
      </c>
      <c r="I115" s="2">
        <v>0</v>
      </c>
      <c r="J115" s="2">
        <v>1</v>
      </c>
      <c r="K115" s="2">
        <v>0</v>
      </c>
      <c r="L115" s="2">
        <f>IFERROR(VLOOKUP(B115,'1️⃣ רשימת עובדים'!$D$3:$G$100,4,FALSE),0)</f>
        <v>914.85925242270412</v>
      </c>
      <c r="M115" s="2">
        <f t="shared" si="12"/>
        <v>0</v>
      </c>
      <c r="N115" s="2">
        <f t="shared" si="13"/>
        <v>914.85925242270412</v>
      </c>
      <c r="O115" s="2">
        <f t="shared" si="14"/>
        <v>0</v>
      </c>
      <c r="P115" s="2">
        <f t="shared" si="15"/>
        <v>914.85925242270412</v>
      </c>
      <c r="Q115" s="3" t="s">
        <v>265</v>
      </c>
    </row>
    <row r="116" spans="1:17" ht="15" hidden="1" x14ac:dyDescent="0.2">
      <c r="A116" s="2" t="s">
        <v>527</v>
      </c>
      <c r="B116" s="2" t="s">
        <v>117</v>
      </c>
      <c r="C116" s="2" t="s">
        <v>92</v>
      </c>
      <c r="D116" s="2" t="s">
        <v>455</v>
      </c>
      <c r="E116" s="2" t="s">
        <v>455</v>
      </c>
      <c r="F116" s="2" t="s">
        <v>271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">
        <f>IFERROR(VLOOKUP(B116,'1️⃣ רשימת עובדים'!$D$3:$G$100,4,FALSE),0)</f>
        <v>914.85925242270412</v>
      </c>
      <c r="M116" s="2">
        <f t="shared" si="12"/>
        <v>914.85925242270412</v>
      </c>
      <c r="N116" s="2">
        <f t="shared" si="13"/>
        <v>0</v>
      </c>
      <c r="O116" s="2">
        <f t="shared" si="14"/>
        <v>182.97185048454082</v>
      </c>
      <c r="P116" s="2">
        <f t="shared" si="15"/>
        <v>182.97185048454082</v>
      </c>
      <c r="Q116" s="3" t="s">
        <v>265</v>
      </c>
    </row>
    <row r="117" spans="1:17" ht="15" hidden="1" x14ac:dyDescent="0.2">
      <c r="A117" s="2" t="s">
        <v>528</v>
      </c>
      <c r="B117" s="2" t="s">
        <v>117</v>
      </c>
      <c r="C117" s="2" t="s">
        <v>92</v>
      </c>
      <c r="D117" s="2" t="s">
        <v>226</v>
      </c>
      <c r="E117" s="2" t="s">
        <v>226</v>
      </c>
      <c r="F117" s="2" t="s">
        <v>271</v>
      </c>
      <c r="G117" s="2">
        <v>1</v>
      </c>
      <c r="H117" s="2">
        <v>1</v>
      </c>
      <c r="I117" s="2">
        <v>0</v>
      </c>
      <c r="J117" s="2">
        <v>0</v>
      </c>
      <c r="K117" s="2">
        <v>0</v>
      </c>
      <c r="L117" s="2">
        <f>IFERROR(VLOOKUP(B117,'1️⃣ רשימת עובדים'!$D$3:$G$100,4,FALSE),0)</f>
        <v>914.85925242270412</v>
      </c>
      <c r="M117" s="2">
        <f t="shared" si="12"/>
        <v>914.85925242270412</v>
      </c>
      <c r="N117" s="2">
        <f t="shared" si="13"/>
        <v>0</v>
      </c>
      <c r="O117" s="2">
        <f t="shared" si="14"/>
        <v>182.97185048454082</v>
      </c>
      <c r="P117" s="2">
        <f t="shared" si="15"/>
        <v>182.97185048454082</v>
      </c>
      <c r="Q117" s="3" t="s">
        <v>265</v>
      </c>
    </row>
    <row r="118" spans="1:17" ht="15" hidden="1" x14ac:dyDescent="0.2">
      <c r="A118" s="2" t="s">
        <v>529</v>
      </c>
      <c r="B118" s="2" t="s">
        <v>117</v>
      </c>
      <c r="C118" s="2" t="s">
        <v>92</v>
      </c>
      <c r="D118" s="2" t="s">
        <v>204</v>
      </c>
      <c r="E118" s="2" t="s">
        <v>204</v>
      </c>
      <c r="F118" s="2" t="s">
        <v>271</v>
      </c>
      <c r="G118" s="2">
        <v>1</v>
      </c>
      <c r="H118" s="2">
        <v>0</v>
      </c>
      <c r="I118" s="2">
        <v>0</v>
      </c>
      <c r="J118" s="2">
        <v>1</v>
      </c>
      <c r="K118" s="2">
        <v>0</v>
      </c>
      <c r="L118" s="2">
        <f>IFERROR(VLOOKUP(B118,'1️⃣ רשימת עובדים'!$D$3:$G$100,4,FALSE),0)</f>
        <v>914.85925242270412</v>
      </c>
      <c r="M118" s="2">
        <f t="shared" si="12"/>
        <v>0</v>
      </c>
      <c r="N118" s="2">
        <f t="shared" si="13"/>
        <v>914.85925242270412</v>
      </c>
      <c r="O118" s="2">
        <f t="shared" si="14"/>
        <v>0</v>
      </c>
      <c r="P118" s="2">
        <f t="shared" si="15"/>
        <v>914.85925242270412</v>
      </c>
      <c r="Q118" s="3" t="s">
        <v>265</v>
      </c>
    </row>
    <row r="119" spans="1:17" ht="15" hidden="1" x14ac:dyDescent="0.2">
      <c r="A119" s="2" t="s">
        <v>530</v>
      </c>
      <c r="B119" s="2" t="s">
        <v>117</v>
      </c>
      <c r="C119" s="2" t="s">
        <v>92</v>
      </c>
      <c r="D119" s="2" t="s">
        <v>403</v>
      </c>
      <c r="E119" s="2" t="s">
        <v>531</v>
      </c>
      <c r="F119" s="2" t="s">
        <v>273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">
        <f>IFERROR(VLOOKUP(B119,'1️⃣ רשימת עובדים'!$D$3:$G$100,4,FALSE),0)</f>
        <v>914.85925242270412</v>
      </c>
      <c r="M119" s="2">
        <f t="shared" si="12"/>
        <v>1829.7185048454082</v>
      </c>
      <c r="N119" s="2">
        <f t="shared" si="13"/>
        <v>0</v>
      </c>
      <c r="O119" s="2">
        <f t="shared" si="14"/>
        <v>365.94370096908165</v>
      </c>
      <c r="P119" s="2">
        <f t="shared" si="15"/>
        <v>365.94370096908165</v>
      </c>
      <c r="Q119" s="3" t="s">
        <v>265</v>
      </c>
    </row>
    <row r="120" spans="1:17" ht="15" hidden="1" x14ac:dyDescent="0.2">
      <c r="A120" s="2" t="s">
        <v>532</v>
      </c>
      <c r="B120" s="2" t="s">
        <v>117</v>
      </c>
      <c r="C120" s="2" t="s">
        <v>92</v>
      </c>
      <c r="D120" s="2" t="s">
        <v>533</v>
      </c>
      <c r="E120" s="2" t="s">
        <v>533</v>
      </c>
      <c r="F120" s="2" t="s">
        <v>273</v>
      </c>
      <c r="G120" s="2">
        <v>1</v>
      </c>
      <c r="H120" s="2">
        <v>0</v>
      </c>
      <c r="I120" s="2">
        <v>0</v>
      </c>
      <c r="J120" s="2">
        <v>1</v>
      </c>
      <c r="K120" s="2">
        <v>0</v>
      </c>
      <c r="L120" s="2">
        <f>IFERROR(VLOOKUP(B120,'1️⃣ רשימת עובדים'!$D$3:$G$100,4,FALSE),0)</f>
        <v>914.85925242270412</v>
      </c>
      <c r="M120" s="2">
        <f t="shared" si="12"/>
        <v>0</v>
      </c>
      <c r="N120" s="2">
        <f t="shared" si="13"/>
        <v>914.85925242270412</v>
      </c>
      <c r="O120" s="2">
        <f t="shared" si="14"/>
        <v>0</v>
      </c>
      <c r="P120" s="2">
        <f t="shared" si="15"/>
        <v>914.85925242270412</v>
      </c>
      <c r="Q120" s="3" t="s">
        <v>265</v>
      </c>
    </row>
    <row r="121" spans="1:17" ht="15" hidden="1" x14ac:dyDescent="0.2">
      <c r="A121" s="2" t="s">
        <v>534</v>
      </c>
      <c r="B121" s="2" t="s">
        <v>117</v>
      </c>
      <c r="C121" s="2" t="s">
        <v>92</v>
      </c>
      <c r="D121" s="2" t="s">
        <v>217</v>
      </c>
      <c r="E121" s="2" t="s">
        <v>418</v>
      </c>
      <c r="F121" s="2" t="s">
        <v>273</v>
      </c>
      <c r="G121" s="2">
        <v>19</v>
      </c>
      <c r="H121" s="2">
        <v>13</v>
      </c>
      <c r="I121" s="2">
        <v>3</v>
      </c>
      <c r="J121" s="2">
        <v>3</v>
      </c>
      <c r="K121" s="2">
        <v>0</v>
      </c>
      <c r="L121" s="2">
        <f>IFERROR(VLOOKUP(B121,'1️⃣ רשימת עובדים'!$D$3:$G$100,4,FALSE),0)</f>
        <v>914.85925242270412</v>
      </c>
      <c r="M121" s="2">
        <f t="shared" si="12"/>
        <v>11893.170281495153</v>
      </c>
      <c r="N121" s="2">
        <f t="shared" si="13"/>
        <v>5489.1555145362245</v>
      </c>
      <c r="O121" s="2">
        <f t="shared" si="14"/>
        <v>2378.6340562990308</v>
      </c>
      <c r="P121" s="2">
        <f t="shared" si="15"/>
        <v>7867.7895708352553</v>
      </c>
      <c r="Q121" s="3" t="s">
        <v>265</v>
      </c>
    </row>
    <row r="122" spans="1:17" ht="15" hidden="1" x14ac:dyDescent="0.2">
      <c r="A122" s="2" t="s">
        <v>535</v>
      </c>
      <c r="B122" s="2" t="s">
        <v>117</v>
      </c>
      <c r="C122" s="2" t="s">
        <v>92</v>
      </c>
      <c r="D122" s="2" t="s">
        <v>228</v>
      </c>
      <c r="E122" s="2" t="s">
        <v>536</v>
      </c>
      <c r="F122" s="2" t="s">
        <v>275</v>
      </c>
      <c r="G122" s="2">
        <v>2</v>
      </c>
      <c r="H122" s="2">
        <v>2</v>
      </c>
      <c r="I122" s="2">
        <v>0</v>
      </c>
      <c r="J122" s="2">
        <v>0</v>
      </c>
      <c r="K122" s="2">
        <v>0</v>
      </c>
      <c r="L122" s="2">
        <f>IFERROR(VLOOKUP(B122,'1️⃣ רשימת עובדים'!$D$3:$G$100,4,FALSE),0)</f>
        <v>914.85925242270412</v>
      </c>
      <c r="M122" s="2">
        <f t="shared" si="12"/>
        <v>1829.7185048454082</v>
      </c>
      <c r="N122" s="2">
        <f t="shared" si="13"/>
        <v>0</v>
      </c>
      <c r="O122" s="2">
        <f t="shared" si="14"/>
        <v>365.94370096908165</v>
      </c>
      <c r="P122" s="2">
        <f t="shared" si="15"/>
        <v>365.94370096908165</v>
      </c>
      <c r="Q122" s="3" t="s">
        <v>265</v>
      </c>
    </row>
    <row r="123" spans="1:17" ht="15" hidden="1" x14ac:dyDescent="0.2">
      <c r="A123" s="2" t="s">
        <v>537</v>
      </c>
      <c r="B123" s="2" t="s">
        <v>117</v>
      </c>
      <c r="C123" s="2" t="s">
        <v>92</v>
      </c>
      <c r="D123" s="2" t="s">
        <v>436</v>
      </c>
      <c r="E123" s="2" t="s">
        <v>437</v>
      </c>
      <c r="F123" s="2" t="s">
        <v>275</v>
      </c>
      <c r="G123" s="2">
        <v>2</v>
      </c>
      <c r="H123" s="2">
        <v>2</v>
      </c>
      <c r="I123" s="2">
        <v>0</v>
      </c>
      <c r="J123" s="2">
        <v>0</v>
      </c>
      <c r="K123" s="2">
        <v>0</v>
      </c>
      <c r="L123" s="2">
        <f>IFERROR(VLOOKUP(B123,'1️⃣ רשימת עובדים'!$D$3:$G$100,4,FALSE),0)</f>
        <v>914.85925242270412</v>
      </c>
      <c r="M123" s="2">
        <f t="shared" si="12"/>
        <v>1829.7185048454082</v>
      </c>
      <c r="N123" s="2">
        <f t="shared" si="13"/>
        <v>0</v>
      </c>
      <c r="O123" s="2">
        <f t="shared" si="14"/>
        <v>365.94370096908165</v>
      </c>
      <c r="P123" s="2">
        <f t="shared" si="15"/>
        <v>365.94370096908165</v>
      </c>
      <c r="Q123" s="3" t="s">
        <v>265</v>
      </c>
    </row>
    <row r="124" spans="1:17" ht="15" hidden="1" x14ac:dyDescent="0.2">
      <c r="A124" s="2" t="s">
        <v>538</v>
      </c>
      <c r="B124" s="2" t="s">
        <v>117</v>
      </c>
      <c r="C124" s="2" t="s">
        <v>92</v>
      </c>
      <c r="D124" s="2" t="s">
        <v>408</v>
      </c>
      <c r="E124" s="2" t="s">
        <v>408</v>
      </c>
      <c r="F124" s="2" t="s">
        <v>275</v>
      </c>
      <c r="G124" s="2">
        <v>1</v>
      </c>
      <c r="H124" s="2">
        <v>1</v>
      </c>
      <c r="I124" s="2">
        <v>0</v>
      </c>
      <c r="J124" s="2">
        <v>0</v>
      </c>
      <c r="K124" s="2">
        <v>0</v>
      </c>
      <c r="L124" s="2">
        <f>IFERROR(VLOOKUP(B124,'1️⃣ רשימת עובדים'!$D$3:$G$100,4,FALSE),0)</f>
        <v>914.85925242270412</v>
      </c>
      <c r="M124" s="2">
        <f t="shared" si="12"/>
        <v>914.85925242270412</v>
      </c>
      <c r="N124" s="2">
        <f t="shared" si="13"/>
        <v>0</v>
      </c>
      <c r="O124" s="2">
        <f t="shared" si="14"/>
        <v>182.97185048454082</v>
      </c>
      <c r="P124" s="2">
        <f t="shared" si="15"/>
        <v>182.97185048454082</v>
      </c>
      <c r="Q124" s="3" t="s">
        <v>265</v>
      </c>
    </row>
    <row r="125" spans="1:17" ht="15" hidden="1" x14ac:dyDescent="0.2">
      <c r="A125" s="2" t="s">
        <v>539</v>
      </c>
      <c r="B125" s="2" t="s">
        <v>117</v>
      </c>
      <c r="C125" s="2" t="s">
        <v>92</v>
      </c>
      <c r="D125" s="2" t="s">
        <v>463</v>
      </c>
      <c r="E125" s="2" t="s">
        <v>463</v>
      </c>
      <c r="F125" s="2" t="s">
        <v>284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">
        <f>IFERROR(VLOOKUP(B125,'1️⃣ רשימת עובדים'!$D$3:$G$100,4,FALSE),0)</f>
        <v>914.85925242270412</v>
      </c>
      <c r="M125" s="2">
        <f t="shared" si="12"/>
        <v>914.85925242270412</v>
      </c>
      <c r="N125" s="2">
        <f t="shared" si="13"/>
        <v>0</v>
      </c>
      <c r="O125" s="2">
        <f t="shared" si="14"/>
        <v>182.97185048454082</v>
      </c>
      <c r="P125" s="2">
        <f t="shared" si="15"/>
        <v>182.97185048454082</v>
      </c>
      <c r="Q125" s="3" t="s">
        <v>265</v>
      </c>
    </row>
    <row r="126" spans="1:17" ht="15" hidden="1" x14ac:dyDescent="0.2">
      <c r="A126" s="2" t="s">
        <v>540</v>
      </c>
      <c r="B126" s="2" t="s">
        <v>117</v>
      </c>
      <c r="C126" s="2" t="s">
        <v>92</v>
      </c>
      <c r="D126" s="2" t="s">
        <v>541</v>
      </c>
      <c r="E126" s="2" t="s">
        <v>541</v>
      </c>
      <c r="F126" s="2" t="s">
        <v>284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">
        <f>IFERROR(VLOOKUP(B126,'1️⃣ רשימת עובדים'!$D$3:$G$100,4,FALSE),0)</f>
        <v>914.85925242270412</v>
      </c>
      <c r="M126" s="2">
        <f t="shared" si="12"/>
        <v>914.85925242270412</v>
      </c>
      <c r="N126" s="2">
        <f t="shared" si="13"/>
        <v>0</v>
      </c>
      <c r="O126" s="2">
        <f t="shared" si="14"/>
        <v>182.97185048454082</v>
      </c>
      <c r="P126" s="2">
        <f t="shared" si="15"/>
        <v>182.97185048454082</v>
      </c>
      <c r="Q126" s="3" t="s">
        <v>265</v>
      </c>
    </row>
    <row r="127" spans="1:17" ht="15" hidden="1" x14ac:dyDescent="0.2">
      <c r="A127" s="2" t="s">
        <v>542</v>
      </c>
      <c r="B127" s="2" t="s">
        <v>117</v>
      </c>
      <c r="C127" s="2" t="s">
        <v>92</v>
      </c>
      <c r="D127" s="2" t="s">
        <v>543</v>
      </c>
      <c r="E127" s="2" t="s">
        <v>544</v>
      </c>
      <c r="F127" s="2" t="s">
        <v>267</v>
      </c>
      <c r="G127" s="2">
        <v>2</v>
      </c>
      <c r="H127" s="2">
        <v>2</v>
      </c>
      <c r="I127" s="2">
        <v>0</v>
      </c>
      <c r="J127" s="2">
        <v>0</v>
      </c>
      <c r="K127" s="2">
        <v>0</v>
      </c>
      <c r="L127" s="2">
        <f>IFERROR(VLOOKUP(B127,'1️⃣ רשימת עובדים'!$D$3:$G$100,4,FALSE),0)</f>
        <v>914.85925242270412</v>
      </c>
      <c r="M127" s="2">
        <f t="shared" si="12"/>
        <v>1829.7185048454082</v>
      </c>
      <c r="N127" s="2">
        <f t="shared" si="13"/>
        <v>0</v>
      </c>
      <c r="O127" s="2">
        <f t="shared" si="14"/>
        <v>365.94370096908165</v>
      </c>
      <c r="P127" s="2">
        <f t="shared" si="15"/>
        <v>365.94370096908165</v>
      </c>
      <c r="Q127" s="3" t="s">
        <v>265</v>
      </c>
    </row>
    <row r="128" spans="1:17" ht="15" hidden="1" x14ac:dyDescent="0.2">
      <c r="A128" s="2" t="s">
        <v>545</v>
      </c>
      <c r="B128" s="2" t="s">
        <v>117</v>
      </c>
      <c r="C128" s="2" t="s">
        <v>92</v>
      </c>
      <c r="D128" s="2" t="s">
        <v>391</v>
      </c>
      <c r="E128" s="2" t="s">
        <v>391</v>
      </c>
      <c r="F128" s="2" t="s">
        <v>267</v>
      </c>
      <c r="G128" s="2">
        <v>2</v>
      </c>
      <c r="H128" s="2">
        <v>0</v>
      </c>
      <c r="I128" s="2">
        <v>0</v>
      </c>
      <c r="J128" s="2">
        <v>2</v>
      </c>
      <c r="K128" s="2">
        <v>0</v>
      </c>
      <c r="L128" s="2">
        <f>IFERROR(VLOOKUP(B128,'1️⃣ רשימת עובדים'!$D$3:$G$100,4,FALSE),0)</f>
        <v>914.85925242270412</v>
      </c>
      <c r="M128" s="2">
        <f t="shared" si="12"/>
        <v>0</v>
      </c>
      <c r="N128" s="2">
        <f t="shared" si="13"/>
        <v>1829.7185048454082</v>
      </c>
      <c r="O128" s="2">
        <f t="shared" si="14"/>
        <v>0</v>
      </c>
      <c r="P128" s="2">
        <f t="shared" si="15"/>
        <v>1829.7185048454082</v>
      </c>
      <c r="Q128" s="3" t="s">
        <v>265</v>
      </c>
    </row>
    <row r="129" spans="1:17" ht="15" hidden="1" x14ac:dyDescent="0.2">
      <c r="A129" s="2" t="s">
        <v>342</v>
      </c>
      <c r="B129" s="2" t="s">
        <v>120</v>
      </c>
      <c r="C129" s="2" t="s">
        <v>70</v>
      </c>
      <c r="D129" s="2" t="s">
        <v>191</v>
      </c>
      <c r="E129" s="2" t="s">
        <v>184</v>
      </c>
      <c r="F129" s="2" t="s">
        <v>264</v>
      </c>
      <c r="G129" s="2">
        <v>4</v>
      </c>
      <c r="H129" s="2">
        <v>4</v>
      </c>
      <c r="I129" s="2">
        <v>0</v>
      </c>
      <c r="J129" s="2">
        <v>0</v>
      </c>
      <c r="K129" s="2">
        <v>0</v>
      </c>
      <c r="L129" s="2">
        <f>IFERROR(VLOOKUP(B129,'1️⃣ רשימת עובדים'!$D$3:$G$100,4,FALSE),0)</f>
        <v>812.22888786340559</v>
      </c>
      <c r="M129" s="2">
        <f t="shared" si="12"/>
        <v>3248.9155514536224</v>
      </c>
      <c r="N129" s="2">
        <f t="shared" si="13"/>
        <v>0</v>
      </c>
      <c r="O129" s="2">
        <f t="shared" si="14"/>
        <v>649.78311029072449</v>
      </c>
      <c r="P129" s="2">
        <f t="shared" si="15"/>
        <v>649.78311029072449</v>
      </c>
      <c r="Q129" s="3" t="s">
        <v>265</v>
      </c>
    </row>
    <row r="130" spans="1:17" ht="15" hidden="1" x14ac:dyDescent="0.2">
      <c r="A130" s="2" t="s">
        <v>546</v>
      </c>
      <c r="B130" s="2" t="s">
        <v>120</v>
      </c>
      <c r="C130" s="2" t="s">
        <v>70</v>
      </c>
      <c r="D130" s="2" t="s">
        <v>388</v>
      </c>
      <c r="E130" s="2" t="s">
        <v>226</v>
      </c>
      <c r="F130" s="2" t="s">
        <v>271</v>
      </c>
      <c r="G130" s="2">
        <v>2</v>
      </c>
      <c r="H130" s="2">
        <v>2</v>
      </c>
      <c r="I130" s="2">
        <v>0</v>
      </c>
      <c r="J130" s="2">
        <v>0</v>
      </c>
      <c r="K130" s="2">
        <v>0</v>
      </c>
      <c r="L130" s="2">
        <f>IFERROR(VLOOKUP(B130,'1️⃣ רשימת עובדים'!$D$3:$G$100,4,FALSE),0)</f>
        <v>812.22888786340559</v>
      </c>
      <c r="M130" s="2">
        <f t="shared" ref="M130:M161" si="16">H130*L130</f>
        <v>1624.4577757268112</v>
      </c>
      <c r="N130" s="2">
        <f t="shared" ref="N130:N140" si="17">(I130+J130+K130)*L130</f>
        <v>0</v>
      </c>
      <c r="O130" s="2">
        <f t="shared" ref="O130:O140" si="18">M130*0.2</f>
        <v>324.89155514536225</v>
      </c>
      <c r="P130" s="2">
        <f t="shared" ref="P130:P161" si="19">N130+O130</f>
        <v>324.89155514536225</v>
      </c>
      <c r="Q130" s="3" t="s">
        <v>265</v>
      </c>
    </row>
    <row r="131" spans="1:17" ht="15" hidden="1" x14ac:dyDescent="0.2">
      <c r="A131" s="2" t="s">
        <v>547</v>
      </c>
      <c r="B131" s="2" t="s">
        <v>120</v>
      </c>
      <c r="C131" s="2" t="s">
        <v>70</v>
      </c>
      <c r="D131" s="2" t="s">
        <v>204</v>
      </c>
      <c r="E131" s="2" t="s">
        <v>402</v>
      </c>
      <c r="F131" s="2" t="s">
        <v>271</v>
      </c>
      <c r="G131" s="2">
        <v>5</v>
      </c>
      <c r="H131" s="2">
        <v>4</v>
      </c>
      <c r="I131" s="2">
        <v>0</v>
      </c>
      <c r="J131" s="2">
        <v>1</v>
      </c>
      <c r="K131" s="2">
        <v>0</v>
      </c>
      <c r="L131" s="2">
        <f>IFERROR(VLOOKUP(B131,'1️⃣ רשימת עובדים'!$D$3:$G$100,4,FALSE),0)</f>
        <v>812.22888786340559</v>
      </c>
      <c r="M131" s="2">
        <f t="shared" si="16"/>
        <v>3248.9155514536224</v>
      </c>
      <c r="N131" s="2">
        <f t="shared" si="17"/>
        <v>812.22888786340559</v>
      </c>
      <c r="O131" s="2">
        <f t="shared" si="18"/>
        <v>649.78311029072449</v>
      </c>
      <c r="P131" s="2">
        <f t="shared" si="19"/>
        <v>1462.0119981541302</v>
      </c>
      <c r="Q131" s="3" t="s">
        <v>265</v>
      </c>
    </row>
    <row r="132" spans="1:17" ht="15" hidden="1" x14ac:dyDescent="0.2">
      <c r="A132" s="2" t="s">
        <v>548</v>
      </c>
      <c r="B132" s="2" t="s">
        <v>120</v>
      </c>
      <c r="C132" s="2" t="s">
        <v>70</v>
      </c>
      <c r="D132" s="2" t="s">
        <v>549</v>
      </c>
      <c r="E132" s="2" t="s">
        <v>218</v>
      </c>
      <c r="F132" s="2" t="s">
        <v>273</v>
      </c>
      <c r="G132" s="2">
        <v>3</v>
      </c>
      <c r="H132" s="2">
        <v>3</v>
      </c>
      <c r="I132" s="2">
        <v>0</v>
      </c>
      <c r="J132" s="2">
        <v>0</v>
      </c>
      <c r="K132" s="2">
        <v>0</v>
      </c>
      <c r="L132" s="2">
        <f>IFERROR(VLOOKUP(B132,'1️⃣ רשימת עובדים'!$D$3:$G$100,4,FALSE),0)</f>
        <v>812.22888786340559</v>
      </c>
      <c r="M132" s="2">
        <f t="shared" si="16"/>
        <v>2436.686663590217</v>
      </c>
      <c r="N132" s="2">
        <f t="shared" si="17"/>
        <v>0</v>
      </c>
      <c r="O132" s="2">
        <f t="shared" si="18"/>
        <v>487.3373327180434</v>
      </c>
      <c r="P132" s="2">
        <f t="shared" si="19"/>
        <v>487.3373327180434</v>
      </c>
      <c r="Q132" s="3" t="s">
        <v>265</v>
      </c>
    </row>
    <row r="133" spans="1:17" ht="15" hidden="1" x14ac:dyDescent="0.2">
      <c r="A133" s="2" t="s">
        <v>550</v>
      </c>
      <c r="B133" s="2" t="s">
        <v>120</v>
      </c>
      <c r="C133" s="2" t="s">
        <v>70</v>
      </c>
      <c r="D133" s="2" t="s">
        <v>551</v>
      </c>
      <c r="E133" s="2" t="s">
        <v>551</v>
      </c>
      <c r="F133" s="2" t="s">
        <v>273</v>
      </c>
      <c r="G133" s="2">
        <v>1</v>
      </c>
      <c r="H133" s="2">
        <v>0</v>
      </c>
      <c r="I133" s="2">
        <v>0</v>
      </c>
      <c r="J133" s="2">
        <v>1</v>
      </c>
      <c r="K133" s="2">
        <v>0</v>
      </c>
      <c r="L133" s="2">
        <f>IFERROR(VLOOKUP(B133,'1️⃣ רשימת עובדים'!$D$3:$G$100,4,FALSE),0)</f>
        <v>812.22888786340559</v>
      </c>
      <c r="M133" s="2">
        <f t="shared" si="16"/>
        <v>0</v>
      </c>
      <c r="N133" s="2">
        <f t="shared" si="17"/>
        <v>812.22888786340559</v>
      </c>
      <c r="O133" s="2">
        <f t="shared" si="18"/>
        <v>0</v>
      </c>
      <c r="P133" s="2">
        <f t="shared" si="19"/>
        <v>812.22888786340559</v>
      </c>
      <c r="Q133" s="3" t="s">
        <v>265</v>
      </c>
    </row>
    <row r="134" spans="1:17" ht="15" hidden="1" x14ac:dyDescent="0.2">
      <c r="A134" s="2" t="s">
        <v>552</v>
      </c>
      <c r="B134" s="2" t="s">
        <v>120</v>
      </c>
      <c r="C134" s="2" t="s">
        <v>70</v>
      </c>
      <c r="D134" s="2" t="s">
        <v>409</v>
      </c>
      <c r="E134" s="2" t="s">
        <v>410</v>
      </c>
      <c r="F134" s="2" t="s">
        <v>284</v>
      </c>
      <c r="G134" s="2">
        <v>2</v>
      </c>
      <c r="H134" s="2">
        <v>2</v>
      </c>
      <c r="I134" s="2">
        <v>0</v>
      </c>
      <c r="J134" s="2">
        <v>0</v>
      </c>
      <c r="K134" s="2">
        <v>0</v>
      </c>
      <c r="L134" s="2">
        <f>IFERROR(VLOOKUP(B134,'1️⃣ רשימת עובדים'!$D$3:$G$100,4,FALSE),0)</f>
        <v>812.22888786340559</v>
      </c>
      <c r="M134" s="2">
        <f t="shared" si="16"/>
        <v>1624.4577757268112</v>
      </c>
      <c r="N134" s="2">
        <f t="shared" si="17"/>
        <v>0</v>
      </c>
      <c r="O134" s="2">
        <f t="shared" si="18"/>
        <v>324.89155514536225</v>
      </c>
      <c r="P134" s="2">
        <f t="shared" si="19"/>
        <v>324.89155514536225</v>
      </c>
      <c r="Q134" s="3" t="s">
        <v>265</v>
      </c>
    </row>
    <row r="135" spans="1:17" ht="15" hidden="1" x14ac:dyDescent="0.2">
      <c r="A135" s="2" t="s">
        <v>553</v>
      </c>
      <c r="B135" s="2" t="s">
        <v>120</v>
      </c>
      <c r="C135" s="2" t="s">
        <v>70</v>
      </c>
      <c r="D135" s="2" t="s">
        <v>554</v>
      </c>
      <c r="E135" s="2" t="s">
        <v>444</v>
      </c>
      <c r="F135" s="2" t="s">
        <v>284</v>
      </c>
      <c r="G135" s="2">
        <v>2</v>
      </c>
      <c r="H135" s="2">
        <v>2</v>
      </c>
      <c r="I135" s="2">
        <v>0</v>
      </c>
      <c r="J135" s="2">
        <v>0</v>
      </c>
      <c r="K135" s="2">
        <v>0</v>
      </c>
      <c r="L135" s="2">
        <f>IFERROR(VLOOKUP(B135,'1️⃣ רשימת עובדים'!$D$3:$G$100,4,FALSE),0)</f>
        <v>812.22888786340559</v>
      </c>
      <c r="M135" s="2">
        <f t="shared" si="16"/>
        <v>1624.4577757268112</v>
      </c>
      <c r="N135" s="2">
        <f t="shared" si="17"/>
        <v>0</v>
      </c>
      <c r="O135" s="2">
        <f t="shared" si="18"/>
        <v>324.89155514536225</v>
      </c>
      <c r="P135" s="2">
        <f t="shared" si="19"/>
        <v>324.89155514536225</v>
      </c>
      <c r="Q135" s="3" t="s">
        <v>265</v>
      </c>
    </row>
    <row r="136" spans="1:17" ht="15" hidden="1" x14ac:dyDescent="0.2">
      <c r="A136" s="2" t="s">
        <v>346</v>
      </c>
      <c r="B136" s="2" t="s">
        <v>120</v>
      </c>
      <c r="C136" s="2" t="s">
        <v>70</v>
      </c>
      <c r="D136" s="2" t="s">
        <v>555</v>
      </c>
      <c r="E136" s="2" t="s">
        <v>412</v>
      </c>
      <c r="F136" s="2" t="s">
        <v>267</v>
      </c>
      <c r="G136" s="2">
        <v>3</v>
      </c>
      <c r="H136" s="2">
        <v>2</v>
      </c>
      <c r="I136" s="2">
        <v>0</v>
      </c>
      <c r="J136" s="2">
        <v>1</v>
      </c>
      <c r="K136" s="2">
        <v>0</v>
      </c>
      <c r="L136" s="2">
        <f>IFERROR(VLOOKUP(B136,'1️⃣ רשימת עובדים'!$D$3:$G$100,4,FALSE),0)</f>
        <v>812.22888786340559</v>
      </c>
      <c r="M136" s="2">
        <f t="shared" si="16"/>
        <v>1624.4577757268112</v>
      </c>
      <c r="N136" s="2">
        <f t="shared" si="17"/>
        <v>812.22888786340559</v>
      </c>
      <c r="O136" s="2">
        <f t="shared" si="18"/>
        <v>324.89155514536225</v>
      </c>
      <c r="P136" s="2">
        <f t="shared" si="19"/>
        <v>1137.1204430087678</v>
      </c>
      <c r="Q136" s="3" t="s">
        <v>265</v>
      </c>
    </row>
    <row r="137" spans="1:17" ht="15" hidden="1" x14ac:dyDescent="0.2">
      <c r="A137" s="2" t="s">
        <v>347</v>
      </c>
      <c r="B137" s="2" t="s">
        <v>122</v>
      </c>
      <c r="C137" s="2" t="s">
        <v>75</v>
      </c>
      <c r="D137" s="2" t="s">
        <v>227</v>
      </c>
      <c r="E137" s="2" t="s">
        <v>215</v>
      </c>
      <c r="F137" s="2" t="s">
        <v>271</v>
      </c>
      <c r="G137" s="2">
        <v>2</v>
      </c>
      <c r="H137" s="2">
        <v>2</v>
      </c>
      <c r="I137" s="2">
        <v>0</v>
      </c>
      <c r="J137" s="2">
        <v>0</v>
      </c>
      <c r="K137" s="2">
        <v>0</v>
      </c>
      <c r="L137" s="2">
        <f>IFERROR(VLOOKUP(B137,'1️⃣ רשימת עובדים'!$D$3:$G$100,4,FALSE),0)</f>
        <v>815.41301338255641</v>
      </c>
      <c r="M137" s="2">
        <f t="shared" si="16"/>
        <v>1630.8260267651128</v>
      </c>
      <c r="N137" s="2">
        <f t="shared" si="17"/>
        <v>0</v>
      </c>
      <c r="O137" s="2">
        <f t="shared" si="18"/>
        <v>326.1652053530226</v>
      </c>
      <c r="P137" s="2">
        <f t="shared" si="19"/>
        <v>326.1652053530226</v>
      </c>
      <c r="Q137" s="3" t="s">
        <v>265</v>
      </c>
    </row>
    <row r="138" spans="1:17" ht="15" hidden="1" x14ac:dyDescent="0.2">
      <c r="A138" s="2" t="s">
        <v>556</v>
      </c>
      <c r="B138" s="2" t="s">
        <v>122</v>
      </c>
      <c r="C138" s="2" t="s">
        <v>75</v>
      </c>
      <c r="D138" s="2" t="s">
        <v>403</v>
      </c>
      <c r="E138" s="2" t="s">
        <v>531</v>
      </c>
      <c r="F138" s="2" t="s">
        <v>273</v>
      </c>
      <c r="G138" s="2">
        <v>2</v>
      </c>
      <c r="H138" s="2">
        <v>2</v>
      </c>
      <c r="I138" s="2">
        <v>0</v>
      </c>
      <c r="J138" s="2">
        <v>0</v>
      </c>
      <c r="K138" s="2">
        <v>0</v>
      </c>
      <c r="L138" s="2">
        <f>IFERROR(VLOOKUP(B138,'1️⃣ רשימת עובדים'!$D$3:$G$100,4,FALSE),0)</f>
        <v>815.41301338255641</v>
      </c>
      <c r="M138" s="2">
        <f t="shared" si="16"/>
        <v>1630.8260267651128</v>
      </c>
      <c r="N138" s="2">
        <f t="shared" si="17"/>
        <v>0</v>
      </c>
      <c r="O138" s="2">
        <f t="shared" si="18"/>
        <v>326.1652053530226</v>
      </c>
      <c r="P138" s="2">
        <f t="shared" si="19"/>
        <v>326.1652053530226</v>
      </c>
      <c r="Q138" s="3" t="s">
        <v>265</v>
      </c>
    </row>
    <row r="139" spans="1:17" ht="15" hidden="1" x14ac:dyDescent="0.2">
      <c r="A139" s="2" t="s">
        <v>557</v>
      </c>
      <c r="B139" s="2" t="s">
        <v>122</v>
      </c>
      <c r="C139" s="2" t="s">
        <v>75</v>
      </c>
      <c r="D139" s="2" t="s">
        <v>558</v>
      </c>
      <c r="E139" s="2" t="s">
        <v>549</v>
      </c>
      <c r="F139" s="2" t="s">
        <v>273</v>
      </c>
      <c r="G139" s="2">
        <v>2</v>
      </c>
      <c r="H139" s="2">
        <v>2</v>
      </c>
      <c r="I139" s="2">
        <v>0</v>
      </c>
      <c r="J139" s="2">
        <v>0</v>
      </c>
      <c r="K139" s="2">
        <v>0</v>
      </c>
      <c r="L139" s="2">
        <f>IFERROR(VLOOKUP(B139,'1️⃣ רשימת עובדים'!$D$3:$G$100,4,FALSE),0)</f>
        <v>815.41301338255641</v>
      </c>
      <c r="M139" s="2">
        <f t="shared" si="16"/>
        <v>1630.8260267651128</v>
      </c>
      <c r="N139" s="2">
        <f t="shared" si="17"/>
        <v>0</v>
      </c>
      <c r="O139" s="2">
        <f t="shared" si="18"/>
        <v>326.1652053530226</v>
      </c>
      <c r="P139" s="2">
        <f t="shared" si="19"/>
        <v>326.1652053530226</v>
      </c>
      <c r="Q139" s="3" t="s">
        <v>265</v>
      </c>
    </row>
    <row r="140" spans="1:17" ht="15" hidden="1" x14ac:dyDescent="0.2">
      <c r="A140" s="2" t="s">
        <v>559</v>
      </c>
      <c r="B140" s="2" t="s">
        <v>122</v>
      </c>
      <c r="C140" s="2" t="s">
        <v>75</v>
      </c>
      <c r="D140" s="2" t="s">
        <v>218</v>
      </c>
      <c r="E140" s="2" t="s">
        <v>560</v>
      </c>
      <c r="F140" s="2" t="s">
        <v>273</v>
      </c>
      <c r="G140" s="2">
        <v>17</v>
      </c>
      <c r="H140" s="2">
        <v>12</v>
      </c>
      <c r="I140" s="2">
        <v>3</v>
      </c>
      <c r="J140" s="2">
        <v>2</v>
      </c>
      <c r="K140" s="2">
        <v>0</v>
      </c>
      <c r="L140" s="2">
        <f>IFERROR(VLOOKUP(B140,'1️⃣ רשימת עובדים'!$D$3:$G$100,4,FALSE),0)</f>
        <v>815.41301338255641</v>
      </c>
      <c r="M140" s="2">
        <f t="shared" si="16"/>
        <v>9784.9561605906765</v>
      </c>
      <c r="N140" s="2">
        <f t="shared" si="17"/>
        <v>4077.0650669127822</v>
      </c>
      <c r="O140" s="2">
        <f t="shared" si="18"/>
        <v>1956.9912321181355</v>
      </c>
      <c r="P140" s="2">
        <f t="shared" si="19"/>
        <v>6034.0562990309172</v>
      </c>
      <c r="Q140" s="3" t="s">
        <v>265</v>
      </c>
    </row>
  </sheetData>
  <autoFilter ref="A1:Q140" xr:uid="{00000000-0009-0000-0000-000006000000}">
    <filterColumn colId="5">
      <filters>
        <filter val="01/2025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rightToLeft="1" workbookViewId="0">
      <pane ySplit="4" topLeftCell="A5" activePane="bottomLeft" state="frozen"/>
      <selection pane="bottomLeft" sqref="A1:G1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26" t="s">
        <v>352</v>
      </c>
      <c r="B1" s="25"/>
      <c r="C1" s="25"/>
      <c r="D1" s="25"/>
      <c r="E1" s="25"/>
      <c r="F1" s="25"/>
      <c r="G1" s="25"/>
    </row>
    <row r="2" spans="1:7" ht="20.100000000000001" customHeight="1" x14ac:dyDescent="0.2">
      <c r="A2" s="24" t="s">
        <v>353</v>
      </c>
      <c r="B2" s="25"/>
      <c r="C2" s="25"/>
      <c r="D2" s="25"/>
      <c r="E2" s="25"/>
      <c r="F2" s="25"/>
      <c r="G2" s="25"/>
    </row>
    <row r="3" spans="1:7" ht="5.0999999999999996" customHeight="1" x14ac:dyDescent="0.2"/>
    <row r="4" spans="1:7" ht="24.95" customHeight="1" x14ac:dyDescent="0.2">
      <c r="A4" s="8" t="s">
        <v>57</v>
      </c>
      <c r="B4" s="8" t="s">
        <v>60</v>
      </c>
      <c r="C4" s="8" t="s">
        <v>354</v>
      </c>
      <c r="D4" s="8" t="s">
        <v>355</v>
      </c>
      <c r="E4" s="8" t="s">
        <v>356</v>
      </c>
      <c r="F4" s="8" t="s">
        <v>357</v>
      </c>
      <c r="G4" s="8" t="s">
        <v>358</v>
      </c>
    </row>
    <row r="5" spans="1:7" ht="15" x14ac:dyDescent="0.2">
      <c r="A5" s="2" t="s">
        <v>359</v>
      </c>
      <c r="B5" s="2" t="s">
        <v>78</v>
      </c>
      <c r="C5" s="14">
        <v>735</v>
      </c>
      <c r="D5" s="2" t="s">
        <v>360</v>
      </c>
      <c r="E5" s="2" t="s">
        <v>361</v>
      </c>
      <c r="F5" s="2" t="s">
        <v>362</v>
      </c>
      <c r="G5" s="2" t="s">
        <v>363</v>
      </c>
    </row>
    <row r="6" spans="1:7" ht="15" x14ac:dyDescent="0.2">
      <c r="A6" s="20" t="s">
        <v>359</v>
      </c>
      <c r="B6" s="20" t="s">
        <v>78</v>
      </c>
      <c r="C6" s="21">
        <v>850</v>
      </c>
      <c r="D6" s="20" t="s">
        <v>364</v>
      </c>
      <c r="E6" s="20"/>
      <c r="F6" s="22" t="s">
        <v>365</v>
      </c>
      <c r="G6" s="20" t="s">
        <v>366</v>
      </c>
    </row>
    <row r="7" spans="1:7" ht="15" x14ac:dyDescent="0.2">
      <c r="A7" s="2" t="s">
        <v>367</v>
      </c>
      <c r="B7" s="2" t="s">
        <v>109</v>
      </c>
      <c r="C7" s="14">
        <v>891</v>
      </c>
      <c r="D7" s="2" t="s">
        <v>360</v>
      </c>
      <c r="E7" s="2"/>
      <c r="F7" s="2" t="s">
        <v>368</v>
      </c>
      <c r="G7" s="2"/>
    </row>
    <row r="8" spans="1:7" ht="15" x14ac:dyDescent="0.2">
      <c r="A8" s="2" t="s">
        <v>369</v>
      </c>
      <c r="B8" s="2" t="s">
        <v>139</v>
      </c>
      <c r="C8" s="14">
        <v>1254</v>
      </c>
      <c r="D8" s="2" t="s">
        <v>360</v>
      </c>
      <c r="E8" s="2"/>
      <c r="F8" s="2" t="s">
        <v>368</v>
      </c>
      <c r="G8" s="2"/>
    </row>
    <row r="9" spans="1:7" ht="15" x14ac:dyDescent="0.2">
      <c r="A9" s="2" t="s">
        <v>370</v>
      </c>
      <c r="B9" s="2" t="s">
        <v>112</v>
      </c>
      <c r="C9" s="14">
        <v>805</v>
      </c>
      <c r="D9" s="2" t="s">
        <v>360</v>
      </c>
      <c r="E9" s="2"/>
      <c r="F9" s="2" t="s">
        <v>368</v>
      </c>
      <c r="G9" s="2"/>
    </row>
    <row r="10" spans="1:7" ht="15" x14ac:dyDescent="0.2">
      <c r="A10" s="2" t="s">
        <v>371</v>
      </c>
      <c r="B10" s="2" t="s">
        <v>117</v>
      </c>
      <c r="C10" s="14">
        <v>2361</v>
      </c>
      <c r="D10" s="2" t="s">
        <v>360</v>
      </c>
      <c r="E10" s="2"/>
      <c r="F10" s="2" t="s">
        <v>368</v>
      </c>
      <c r="G10" s="2"/>
    </row>
    <row r="11" spans="1:7" ht="15" x14ac:dyDescent="0.2">
      <c r="A11" s="2" t="s">
        <v>372</v>
      </c>
      <c r="B11" s="2" t="s">
        <v>82</v>
      </c>
      <c r="C11" s="14">
        <v>1157</v>
      </c>
      <c r="D11" s="2" t="s">
        <v>360</v>
      </c>
      <c r="E11" s="2"/>
      <c r="F11" s="2" t="s">
        <v>368</v>
      </c>
      <c r="G11" s="2"/>
    </row>
    <row r="12" spans="1:7" ht="15" x14ac:dyDescent="0.2">
      <c r="A12" s="2" t="s">
        <v>373</v>
      </c>
      <c r="B12" s="2" t="s">
        <v>374</v>
      </c>
      <c r="C12" s="14">
        <v>663</v>
      </c>
      <c r="D12" s="2" t="s">
        <v>360</v>
      </c>
      <c r="E12" s="2"/>
      <c r="F12" s="2" t="s">
        <v>368</v>
      </c>
      <c r="G12" s="2"/>
    </row>
    <row r="13" spans="1:7" ht="15" x14ac:dyDescent="0.2">
      <c r="A13" s="2" t="s">
        <v>375</v>
      </c>
      <c r="B13" s="2" t="s">
        <v>85</v>
      </c>
      <c r="C13" s="14">
        <v>510</v>
      </c>
      <c r="D13" s="2" t="s">
        <v>360</v>
      </c>
      <c r="E13" s="2"/>
      <c r="F13" s="2" t="s">
        <v>368</v>
      </c>
      <c r="G13" s="2"/>
    </row>
    <row r="15" spans="1:7" x14ac:dyDescent="0.2">
      <c r="A15" s="27" t="s">
        <v>376</v>
      </c>
      <c r="B15" s="25"/>
      <c r="C15" s="25"/>
      <c r="D15" s="25"/>
      <c r="E15" s="25"/>
      <c r="F15" s="25"/>
      <c r="G15" s="25"/>
    </row>
  </sheetData>
  <autoFilter ref="A4:G13" xr:uid="{00000000-0009-0000-0000-000005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📖 הוראות שימוש</vt:lpstr>
      <vt:lpstr>1️⃣ רשימת עובדים</vt:lpstr>
      <vt:lpstr>3️⃣ תשלומי ב"ל</vt:lpstr>
      <vt:lpstr>4️⃣ דוח מסכם</vt:lpstr>
      <vt:lpstr>💵 רשימת תשלומים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2025-11-09T08:42:06Z</dcterms:modified>
</cp:coreProperties>
</file>