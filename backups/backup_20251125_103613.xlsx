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3" activeTab="3" autoFilterDateGrouping="1"/>
  </bookViews>
  <sheets>
    <sheet name="רשימות" sheetId="1" state="hidden" r:id="rId1"/>
    <sheet name="📖 הוראות שימוש" sheetId="2" state="visible" r:id="rId2"/>
    <sheet name="1️⃣ רשימת עובדים" sheetId="3" state="visible" r:id="rId3"/>
    <sheet name="3️⃣ תשלומי ב&quot;ל" sheetId="4" state="visible" r:id="rId4"/>
    <sheet name="4️⃣ דוח מסכם" sheetId="5" state="visible" r:id="rId5"/>
    <sheet name="💵 רשימת תשלומים" sheetId="6" state="visible" r:id="rId6"/>
    <sheet name="2️⃣ תקופות מילואים" sheetId="7" state="visible" r:id="rId7"/>
    <sheet name="📈 היסטוריית שכר" sheetId="8" state="visible" r:id="rId8"/>
  </sheets>
  <definedNames>
    <definedName name="_xlnm._FilterDatabase" localSheetId="2" hidden="1">'1️⃣ רשימת עובדים'!$A$1:$J$1</definedName>
    <definedName name="_xlnm._FilterDatabase" localSheetId="3" hidden="1">'3️⃣ תשלומי ב"ל'!$A$1:$L$81</definedName>
    <definedName name="_xlnm._FilterDatabase" localSheetId="4" hidden="1">'4️⃣ דוח מסכם'!$A$1:$L$75</definedName>
    <definedName name="_xlnm._FilterDatabase" localSheetId="6" hidden="1">'2️⃣ תקופות מילואים'!$A$1:$Q$157</definedName>
    <definedName name="_xlnm._FilterDatabase" localSheetId="7" hidden="1">'📈 היסטוריית שכר'!$A$4:$G$13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Arial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color rgb="FFFFFFFF"/>
      <sz val="11"/>
    </font>
    <font>
      <name val="Arial"/>
      <b val="1"/>
      <color rgb="FF2D5F3F"/>
      <sz val="14"/>
    </font>
    <font>
      <name val="Arial"/>
      <b val="1"/>
      <color rgb="FF528163"/>
      <sz val="12"/>
    </font>
    <font>
      <name val="Arial"/>
      <b val="1"/>
      <color rgb="FF2D5F3F"/>
      <sz val="11"/>
    </font>
    <font>
      <name val="Arial"/>
      <b val="1"/>
      <color rgb="FF528163"/>
      <sz val="11"/>
    </font>
    <font>
      <name val="Arial"/>
      <b val="1"/>
      <color rgb="FF27AE60"/>
      <sz val="11"/>
    </font>
    <font>
      <name val="Arial"/>
      <b val="1"/>
      <color rgb="FFFFFFFF"/>
      <sz val="12"/>
    </font>
    <font>
      <name val="Arial"/>
      <b val="1"/>
      <color rgb="FF27AE60"/>
      <sz val="11"/>
    </font>
    <font>
      <name val="Arial"/>
      <b val="1"/>
      <color rgb="FF27AE60"/>
      <sz val="14"/>
    </font>
    <font>
      <name val="Arial"/>
      <b val="1"/>
      <sz val="14"/>
    </font>
    <font>
      <name val="Arial"/>
      <i val="1"/>
      <color rgb="FF636E72"/>
      <sz val="10"/>
    </font>
    <font>
      <name val="Arial"/>
      <b val="1"/>
      <color rgb="FFF39C12"/>
      <sz val="11"/>
    </font>
    <font>
      <name val="Arial"/>
      <i val="1"/>
      <color rgb="FF95A5A6"/>
      <sz val="9"/>
    </font>
    <font>
      <name val="Assistant"/>
      <b val="1"/>
      <color rgb="FFFFFFFF"/>
      <sz val="11"/>
    </font>
    <font>
      <name val="Assistant"/>
      <b val="1"/>
      <sz val="11"/>
    </font>
    <font>
      <name val="Arial"/>
      <family val="2"/>
      <color rgb="FFFF0000"/>
      <sz val="11"/>
      <scheme val="minor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11"/>
    </font>
    <font>
      <name val="Arial"/>
      <family val="2"/>
      <b val="1"/>
      <color rgb="FFFF0000"/>
      <sz val="11"/>
    </font>
    <font>
      <name val="Assistant"/>
      <charset val="177"/>
      <b val="1"/>
      <color rgb="FFFFFFFF"/>
      <sz val="11"/>
    </font>
  </fonts>
  <fills count="8">
    <fill>
      <patternFill/>
    </fill>
    <fill>
      <patternFill patternType="gray125"/>
    </fill>
    <fill>
      <patternFill patternType="solid">
        <fgColor rgb="FF2D5F3F"/>
        <bgColor rgb="FF2D5F3F"/>
      </patternFill>
    </fill>
    <fill>
      <patternFill patternType="solid">
        <fgColor rgb="FFF39C12"/>
        <bgColor rgb="FFF39C12"/>
      </patternFill>
    </fill>
    <fill>
      <patternFill patternType="solid">
        <fgColor rgb="FF27AE60"/>
        <bgColor rgb="FF27AE60"/>
      </patternFill>
    </fill>
    <fill>
      <patternFill patternType="solid">
        <fgColor rgb="FF3498DB"/>
        <bgColor rgb="FF3498DB"/>
      </patternFill>
    </fill>
    <fill>
      <patternFill patternType="solid">
        <fgColor rgb="FFFFF9C4"/>
        <bgColor rgb="FFFFF9C4"/>
      </patternFill>
    </fill>
    <fill>
      <patternFill patternType="solid">
        <fgColor rgb="FF528163"/>
        <bgColor rgb="FF528163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right" vertical="top" wrapText="1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3" fontId="9" fillId="0" borderId="1" applyAlignment="1" pivotButton="0" quotePrefix="0" xfId="0">
      <alignment horizontal="right" vertical="center"/>
    </xf>
    <xf numFmtId="3" fontId="10" fillId="0" borderId="0" pivotButton="0" quotePrefix="0" xfId="0"/>
    <xf numFmtId="0" fontId="2" fillId="5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0" fontId="11" fillId="0" borderId="0" pivotButton="0" quotePrefix="0" xfId="0"/>
    <xf numFmtId="0" fontId="0" fillId="6" borderId="1" applyAlignment="1" pivotButton="0" quotePrefix="0" xfId="0">
      <alignment horizontal="right" vertical="center"/>
    </xf>
    <xf numFmtId="3" fontId="9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right" vertical="center"/>
    </xf>
    <xf numFmtId="0" fontId="15" fillId="7" borderId="0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6" fillId="7" borderId="0" pivotButton="0" quotePrefix="0" xfId="0"/>
    <xf numFmtId="2" fontId="0" fillId="0" borderId="1" applyAlignment="1" pivotButton="0" quotePrefix="0" xfId="0">
      <alignment horizontal="right" vertical="center"/>
    </xf>
    <xf numFmtId="14" fontId="0" fillId="0" borderId="0" pivotButton="0" quotePrefix="0" xfId="0"/>
    <xf numFmtId="17" fontId="0" fillId="0" borderId="0" pivotButton="0" quotePrefix="0" xfId="0"/>
    <xf numFmtId="49" fontId="0" fillId="0" borderId="1" applyAlignment="1" pivotButton="0" quotePrefix="0" xfId="0">
      <alignment horizontal="right" vertical="center"/>
    </xf>
    <xf numFmtId="14" fontId="0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14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2" applyAlignment="1" pivotButton="0" quotePrefix="0" xfId="0">
      <alignment horizontal="right" vertical="center"/>
    </xf>
    <xf numFmtId="2" fontId="0" fillId="0" borderId="2" applyAlignment="1" pivotButton="0" quotePrefix="0" xfId="0">
      <alignment horizontal="right" vertical="center"/>
    </xf>
    <xf numFmtId="2" fontId="0" fillId="0" borderId="0" pivotButton="0" quotePrefix="0" xfId="0"/>
    <xf numFmtId="0" fontId="17" fillId="0" borderId="1" applyAlignment="1" pivotButton="0" quotePrefix="0" xfId="0">
      <alignment horizontal="right" vertical="center"/>
    </xf>
    <xf numFmtId="2" fontId="17" fillId="0" borderId="1" applyAlignment="1" pivotButton="0" quotePrefix="0" xfId="0">
      <alignment horizontal="right" vertical="center"/>
    </xf>
    <xf numFmtId="0" fontId="1" fillId="3" borderId="1" applyAlignment="1" pivotButton="0" quotePrefix="0" xfId="0">
      <alignment horizontal="right" vertical="center"/>
    </xf>
    <xf numFmtId="0" fontId="2" fillId="3" borderId="2" applyAlignment="1" pivotButton="0" quotePrefix="0" xfId="0">
      <alignment horizontal="right" vertical="center"/>
    </xf>
    <xf numFmtId="0" fontId="18" fillId="2" borderId="0" applyAlignment="1" pivotButton="0" quotePrefix="0" xfId="0">
      <alignment horizontal="center" vertical="center"/>
    </xf>
    <xf numFmtId="0" fontId="19" fillId="2" borderId="1" applyAlignment="1" pivotButton="0" quotePrefix="0" xfId="0">
      <alignment horizontal="center" vertical="center"/>
    </xf>
    <xf numFmtId="14" fontId="17" fillId="0" borderId="0" applyAlignment="1" pivotButton="0" quotePrefix="0" xfId="0">
      <alignment horizontal="left"/>
    </xf>
    <xf numFmtId="3" fontId="20" fillId="0" borderId="0" applyAlignment="1" pivotButton="0" quotePrefix="0" xfId="0">
      <alignment horizontal="right" vertical="center"/>
    </xf>
    <xf numFmtId="0" fontId="21" fillId="7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right" vertical="top"/>
    </xf>
    <xf numFmtId="49" fontId="1" fillId="2" borderId="0" applyAlignment="1" pivotButton="0" quotePrefix="0" xfId="0">
      <alignment horizontal="right" vertical="top"/>
    </xf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4.25"/>
  <sheetData>
    <row r="1" ht="15" customHeight="1" s="53">
      <c r="A1" s="26" t="inlineStr">
        <is>
          <t>חודשי תשלום</t>
        </is>
      </c>
    </row>
    <row r="2">
      <c r="A2" t="inlineStr">
        <is>
          <t>01/2025</t>
        </is>
      </c>
    </row>
    <row r="3">
      <c r="A3" t="inlineStr">
        <is>
          <t>02/2025</t>
        </is>
      </c>
    </row>
    <row r="4">
      <c r="A4" t="inlineStr">
        <is>
          <t>03/2025</t>
        </is>
      </c>
    </row>
    <row r="5">
      <c r="A5" t="inlineStr">
        <is>
          <t>04/2025</t>
        </is>
      </c>
    </row>
    <row r="6">
      <c r="A6" t="inlineStr">
        <is>
          <t>05/2025</t>
        </is>
      </c>
    </row>
    <row r="7">
      <c r="A7" t="inlineStr">
        <is>
          <t>06/2025</t>
        </is>
      </c>
    </row>
    <row r="8">
      <c r="A8" t="inlineStr">
        <is>
          <t>07/2025</t>
        </is>
      </c>
    </row>
    <row r="9">
      <c r="A9" t="inlineStr">
        <is>
          <t>08/2025</t>
        </is>
      </c>
    </row>
    <row r="10">
      <c r="A10" t="inlineStr">
        <is>
          <t>09/2025</t>
        </is>
      </c>
    </row>
    <row r="11">
      <c r="A11" t="inlineStr">
        <is>
          <t>10/2025</t>
        </is>
      </c>
    </row>
    <row r="12">
      <c r="A12" t="inlineStr">
        <is>
          <t>11/2025</t>
        </is>
      </c>
    </row>
    <row r="13">
      <c r="A13" t="inlineStr">
        <is>
          <t>12/2025</t>
        </is>
      </c>
    </row>
    <row r="14">
      <c r="A14" t="inlineStr">
        <is>
          <t>01/2026</t>
        </is>
      </c>
    </row>
    <row r="15">
      <c r="A15" t="inlineStr">
        <is>
          <t>02/2026</t>
        </is>
      </c>
    </row>
    <row r="16">
      <c r="A16" t="inlineStr">
        <is>
          <t>03/2026</t>
        </is>
      </c>
    </row>
    <row r="17">
      <c r="A17" t="inlineStr">
        <is>
          <t>04/2026</t>
        </is>
      </c>
    </row>
    <row r="18">
      <c r="A18" t="inlineStr">
        <is>
          <t>05/2026</t>
        </is>
      </c>
    </row>
    <row r="19">
      <c r="A19" t="inlineStr">
        <is>
          <t>06/2026</t>
        </is>
      </c>
    </row>
    <row r="20">
      <c r="A20" t="inlineStr">
        <is>
          <t>07/2026</t>
        </is>
      </c>
    </row>
    <row r="21">
      <c r="A21" t="inlineStr">
        <is>
          <t>08/2026</t>
        </is>
      </c>
    </row>
    <row r="22">
      <c r="A22" t="inlineStr">
        <is>
          <t>09/2026</t>
        </is>
      </c>
    </row>
    <row r="23">
      <c r="A23" t="inlineStr">
        <is>
          <t>10/2026</t>
        </is>
      </c>
    </row>
    <row r="24">
      <c r="A24" t="inlineStr">
        <is>
          <t>11/2026</t>
        </is>
      </c>
    </row>
    <row r="25">
      <c r="A25" t="inlineStr">
        <is>
          <t>12/2026</t>
        </is>
      </c>
    </row>
    <row r="26">
      <c r="A26" t="inlineStr">
        <is>
          <t>01/2027</t>
        </is>
      </c>
    </row>
    <row r="27">
      <c r="A27" t="inlineStr">
        <is>
          <t>02/2027</t>
        </is>
      </c>
    </row>
    <row r="28">
      <c r="A28" t="inlineStr">
        <is>
          <t>03/2027</t>
        </is>
      </c>
    </row>
    <row r="29">
      <c r="A29" t="inlineStr">
        <is>
          <t>04/2027</t>
        </is>
      </c>
    </row>
    <row r="30">
      <c r="A30" t="inlineStr">
        <is>
          <t>05/2027</t>
        </is>
      </c>
    </row>
    <row r="31">
      <c r="A31" t="inlineStr">
        <is>
          <t>06/2027</t>
        </is>
      </c>
    </row>
    <row r="32">
      <c r="A32" t="inlineStr">
        <is>
          <t>07/2027</t>
        </is>
      </c>
    </row>
    <row r="33">
      <c r="A33" t="inlineStr">
        <is>
          <t>08/2027</t>
        </is>
      </c>
    </row>
    <row r="34">
      <c r="A34" t="inlineStr">
        <is>
          <t>09/2027</t>
        </is>
      </c>
    </row>
    <row r="35">
      <c r="A35" t="inlineStr">
        <is>
          <t>10/2027</t>
        </is>
      </c>
    </row>
    <row r="36">
      <c r="A36" t="inlineStr">
        <is>
          <t>11/2027</t>
        </is>
      </c>
    </row>
    <row r="37">
      <c r="A37" t="inlineStr">
        <is>
          <t>12/2027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9"/>
  <sheetViews>
    <sheetView rightToLeft="1" workbookViewId="0">
      <selection activeCell="A1" sqref="A1"/>
    </sheetView>
  </sheetViews>
  <sheetFormatPr baseColWidth="8" defaultRowHeight="14.25"/>
  <cols>
    <col width="100" customWidth="1" style="53" min="1" max="1"/>
  </cols>
  <sheetData>
    <row r="1" ht="20.1" customHeight="1" s="53">
      <c r="A1" s="4" t="inlineStr">
        <is>
          <t>🎯 מערכת ניהול תשלומי מילואים - ליטאי ניהול שירותים</t>
        </is>
      </c>
    </row>
    <row r="2" ht="20.1" customHeight="1" s="53">
      <c r="A2" s="4" t="inlineStr">
        <is>
          <t>═══════════════════════════════════════════════════════</t>
        </is>
      </c>
    </row>
    <row r="3" ht="20.1" customHeight="1" s="53">
      <c r="A3" s="5" t="n"/>
    </row>
    <row r="4" ht="20.1" customHeight="1" s="53">
      <c r="A4" s="6" t="inlineStr">
        <is>
          <t>📋 מבנה המערכת:</t>
        </is>
      </c>
    </row>
    <row r="5" ht="20.1" customHeight="1" s="53">
      <c r="A5" s="5" t="inlineStr">
        <is>
          <t>─────────────────</t>
        </is>
      </c>
    </row>
    <row r="6" ht="20.1" customHeight="1" s="53">
      <c r="A6" s="5" t="inlineStr">
        <is>
          <t>✅ גליון 1: רשימת עובדים - פרטי העובדים ותעריפים</t>
        </is>
      </c>
    </row>
    <row r="7" ht="20.1" customHeight="1" s="53">
      <c r="A7" s="5" t="inlineStr">
        <is>
          <t>✅ גליון 2: תקופות מילואים - כל תקופת מילואים בנפרד</t>
        </is>
      </c>
    </row>
    <row r="8" ht="20.1" customHeight="1" s="53">
      <c r="A8" s="5" t="inlineStr">
        <is>
          <t>✅ גליון 3: תשלומי ביטוח לאומי - תשלומים שהתקבלו</t>
        </is>
      </c>
    </row>
    <row r="9" ht="20.1" customHeight="1" s="53">
      <c r="A9" s="5" t="inlineStr">
        <is>
          <t>✅ גליון 4: דוח מסכם - סיכום אוטומטי לפי עובד וחודש</t>
        </is>
      </c>
    </row>
    <row r="10" ht="20.1" customHeight="1" s="53">
      <c r="A10" s="5" t="n"/>
    </row>
    <row r="11" ht="20.1" customHeight="1" s="53">
      <c r="A11" s="5" t="inlineStr">
        <is>
          <t>─────────────────────────────────────────────────────</t>
        </is>
      </c>
    </row>
    <row r="12" ht="20.1" customHeight="1" s="53">
      <c r="A12" s="5" t="n"/>
    </row>
    <row r="13" ht="20.1" customHeight="1" s="53">
      <c r="A13" s="6" t="inlineStr">
        <is>
          <t>🔄 תהליך עבודה:</t>
        </is>
      </c>
    </row>
    <row r="14" ht="20.1" customHeight="1" s="53">
      <c r="A14" s="5" t="n"/>
    </row>
    <row r="15" ht="20.1" customHeight="1" s="53">
      <c r="A15" s="7" t="inlineStr">
        <is>
          <t>שלב 1️⃣ - מלא נתוני עובדים</t>
        </is>
      </c>
    </row>
    <row r="16" ht="20.1" customHeight="1" s="53">
      <c r="A16" s="5" t="inlineStr">
        <is>
          <t xml:space="preserve">   • גליון "רשימת עובדים"</t>
        </is>
      </c>
    </row>
    <row r="17" ht="20.1" customHeight="1" s="53">
      <c r="A17" s="5" t="inlineStr">
        <is>
          <t xml:space="preserve">   • הזן: ת.ז., משכורת חודשית, פרטי בנק</t>
        </is>
      </c>
    </row>
    <row r="18" ht="20.1" customHeight="1" s="53">
      <c r="A18" s="5" t="inlineStr">
        <is>
          <t xml:space="preserve">   • התעריף היומי יחושב אוטומטית (משכורת ÷ 22)</t>
        </is>
      </c>
    </row>
    <row r="19" ht="20.1" customHeight="1" s="53">
      <c r="A19" s="5" t="n"/>
    </row>
    <row r="20" ht="20.1" customHeight="1" s="53">
      <c r="A20" s="7" t="inlineStr">
        <is>
          <t>שלב 2️⃣ - בדוק תקופות מילואים</t>
        </is>
      </c>
    </row>
    <row r="21" ht="20.1" customHeight="1" s="53">
      <c r="A21" s="5" t="inlineStr">
        <is>
          <t xml:space="preserve">   • גליון "תקופות מילואים"</t>
        </is>
      </c>
    </row>
    <row r="22" ht="20.1" customHeight="1" s="53">
      <c r="A22" s="5" t="inlineStr">
        <is>
          <t xml:space="preserve">   • המערכת יצרה אוטומטית את כל התקופות מקובץ מקאנו</t>
        </is>
      </c>
    </row>
    <row r="23" ht="20.1" customHeight="1" s="53">
      <c r="A23" s="5" t="inlineStr">
        <is>
          <t xml:space="preserve">   • כל תקופה נפרדת = שורה נפרדת</t>
        </is>
      </c>
    </row>
    <row r="24" ht="20.1" customHeight="1" s="53">
      <c r="A24" s="5" t="inlineStr">
        <is>
          <t xml:space="preserve">   • בדוק את ימי החג (צריך למלא ידנית)</t>
        </is>
      </c>
    </row>
    <row r="25" ht="20.1" customHeight="1" s="53">
      <c r="A25" s="5" t="n"/>
    </row>
    <row r="26" ht="20.1" customHeight="1" s="53">
      <c r="A26" s="7" t="inlineStr">
        <is>
          <t>שלב 3️⃣ - ייבוא תשלומי ביטוח לאומי</t>
        </is>
      </c>
    </row>
    <row r="27" ht="20.1" customHeight="1" s="53">
      <c r="A27" s="5" t="inlineStr">
        <is>
          <t xml:space="preserve">   • גליון "תשלומי ביטוח לאומי"</t>
        </is>
      </c>
    </row>
    <row r="28" ht="20.1" customHeight="1" s="53">
      <c r="A28" s="5" t="inlineStr">
        <is>
          <t xml:space="preserve">   • העתק נתונים מקובץ XLA של ביטוח לאומי</t>
        </is>
      </c>
    </row>
    <row r="29" ht="20.1" customHeight="1" s="53">
      <c r="A29" s="5" t="inlineStr">
        <is>
          <t xml:space="preserve">   • שדות חשובים:</t>
        </is>
      </c>
    </row>
    <row r="30" ht="20.1" customHeight="1" s="53">
      <c r="A30" s="5" t="inlineStr">
        <is>
          <t xml:space="preserve">     - תאריך התחלה/סיום לפי ב"ל</t>
        </is>
      </c>
    </row>
    <row r="31" ht="20.1" customHeight="1" s="53">
      <c r="A31" s="5" t="inlineStr">
        <is>
          <t xml:space="preserve">     - תגמול שהתקבל</t>
        </is>
      </c>
    </row>
    <row r="32" ht="20.1" customHeight="1" s="53">
      <c r="A32" s="5" t="inlineStr">
        <is>
          <t xml:space="preserve">     - תאריך תקבול</t>
        </is>
      </c>
    </row>
    <row r="33" ht="20.1" customHeight="1" s="53">
      <c r="A33" s="5" t="inlineStr">
        <is>
          <t xml:space="preserve">     - מספר תביעה</t>
        </is>
      </c>
    </row>
    <row r="34" ht="20.1" customHeight="1" s="53">
      <c r="A34" s="5" t="n"/>
    </row>
    <row r="35" ht="20.1" customHeight="1" s="53">
      <c r="A35" s="7" t="inlineStr">
        <is>
          <t>שלב 4️⃣ - מעקב בדוח המסכם</t>
        </is>
      </c>
    </row>
    <row r="36" ht="20.1" customHeight="1" s="53">
      <c r="A36" s="5" t="inlineStr">
        <is>
          <t xml:space="preserve">   • גליון "דוח מסכם"</t>
        </is>
      </c>
    </row>
    <row r="37" ht="20.1" customHeight="1" s="53">
      <c r="A37" s="5" t="inlineStr">
        <is>
          <t xml:space="preserve">   • מקובץ אוטומטית לפי עובד וחודש</t>
        </is>
      </c>
    </row>
    <row r="38" ht="20.1" customHeight="1" s="53">
      <c r="A38" s="5" t="inlineStr">
        <is>
          <t xml:space="preserve">   • צבעים:</t>
        </is>
      </c>
    </row>
    <row r="39" ht="20.1" customHeight="1" s="53">
      <c r="A39" s="5" t="inlineStr">
        <is>
          <t xml:space="preserve">     🟡 כתום = ממתין לתקבול</t>
        </is>
      </c>
    </row>
    <row r="40" ht="20.1" customHeight="1" s="53">
      <c r="A40" s="5" t="inlineStr">
        <is>
          <t xml:space="preserve">     🟢 ירוק = שולם במלואו</t>
        </is>
      </c>
    </row>
    <row r="41" ht="20.1" customHeight="1" s="53">
      <c r="A41" s="5" t="inlineStr">
        <is>
          <t xml:space="preserve">     🔴 אדום = יש הפרש</t>
        </is>
      </c>
    </row>
    <row r="42" ht="20.1" customHeight="1" s="53">
      <c r="A42" s="5" t="n"/>
    </row>
    <row r="43" ht="20.1" customHeight="1" s="53">
      <c r="A43" s="5" t="inlineStr">
        <is>
          <t>─────────────────────────────────────────────────────</t>
        </is>
      </c>
    </row>
    <row r="44" ht="20.1" customHeight="1" s="53">
      <c r="A44" s="5" t="n"/>
    </row>
    <row r="45" ht="20.1" customHeight="1" s="53">
      <c r="A45" s="6" t="inlineStr">
        <is>
          <t>💡 טיפים חשובים:</t>
        </is>
      </c>
    </row>
    <row r="46" ht="20.1" customHeight="1" s="53">
      <c r="A46" s="5" t="n"/>
    </row>
    <row r="47" ht="20.1" customHeight="1" s="53">
      <c r="A47" s="5" t="inlineStr">
        <is>
          <t>✓ כל עובד עם מספר תקופות באותו חודש = מספר שורות</t>
        </is>
      </c>
    </row>
    <row r="48" ht="20.1" customHeight="1" s="53">
      <c r="A48" s="5" t="inlineStr">
        <is>
          <t>✓ ביטוח לאומי משלם לפעמים בכמה פעמים - מלא שורה לכל תשלום</t>
        </is>
      </c>
    </row>
    <row r="49" ht="20.1" customHeight="1" s="53">
      <c r="A49" s="5" t="inlineStr">
        <is>
          <t>✓ ימי סופ"ש וחגים משולמים בתעריף גבוה יותר</t>
        </is>
      </c>
    </row>
    <row r="50" ht="20.1" customHeight="1" s="53">
      <c r="A50" s="5" t="inlineStr">
        <is>
          <t>✓ השתמש בסינונים (Filter) למציאת מידע מהר</t>
        </is>
      </c>
    </row>
    <row r="51" ht="20.1" customHeight="1" s="53">
      <c r="A51" s="5" t="n"/>
    </row>
    <row r="52" ht="20.1" customHeight="1" s="53">
      <c r="A52" s="5" t="inlineStr">
        <is>
          <t>─────────────────────────────────────────────────────</t>
        </is>
      </c>
    </row>
    <row r="53" ht="20.1" customHeight="1" s="53">
      <c r="A53" s="5" t="n"/>
    </row>
    <row r="54" ht="20.1" customHeight="1" s="53">
      <c r="A54" s="6" t="inlineStr">
        <is>
          <t>🔍 חיפוש ומיון:</t>
        </is>
      </c>
    </row>
    <row r="55" ht="20.1" customHeight="1" s="53">
      <c r="A55" s="5" t="n"/>
    </row>
    <row r="56" ht="20.1" customHeight="1" s="53">
      <c r="A56" s="5" t="inlineStr">
        <is>
          <t>• לחץ על כפתור הסינון בשורת הכותרת</t>
        </is>
      </c>
    </row>
    <row r="57" ht="20.1" customHeight="1" s="53">
      <c r="A57" s="5" t="inlineStr">
        <is>
          <t>• סנן לפי:</t>
        </is>
      </c>
    </row>
    <row r="58" ht="20.1" customHeight="1" s="53">
      <c r="A58" s="5" t="inlineStr">
        <is>
          <t xml:space="preserve">  - שם עובד</t>
        </is>
      </c>
    </row>
    <row r="59" ht="20.1" customHeight="1" s="53">
      <c r="A59" s="5" t="inlineStr">
        <is>
          <t xml:space="preserve">  - מחלקה</t>
        </is>
      </c>
    </row>
    <row r="60" ht="20.1" customHeight="1" s="53">
      <c r="A60" s="5" t="inlineStr">
        <is>
          <t xml:space="preserve">  - חודש</t>
        </is>
      </c>
    </row>
    <row r="61" ht="20.1" customHeight="1" s="53">
      <c r="A61" s="5" t="inlineStr">
        <is>
          <t xml:space="preserve">  - סטטוס</t>
        </is>
      </c>
    </row>
    <row r="62" ht="20.1" customHeight="1" s="53">
      <c r="A62" s="5" t="n"/>
    </row>
    <row r="63" ht="20.1" customHeight="1" s="53">
      <c r="A63" s="5" t="inlineStr">
        <is>
          <t>─────────────────────────────────────────────────────</t>
        </is>
      </c>
    </row>
    <row r="64" ht="20.1" customHeight="1" s="53">
      <c r="A64" s="5" t="n"/>
    </row>
    <row r="65" ht="20.1" customHeight="1" s="53">
      <c r="A65" s="6" t="inlineStr">
        <is>
          <t>❓ שאלות נפוצות:</t>
        </is>
      </c>
    </row>
    <row r="66" ht="20.1" customHeight="1" s="53">
      <c r="A66" s="5" t="n"/>
    </row>
    <row r="67" ht="20.1" customHeight="1" s="53">
      <c r="A67" s="5" t="inlineStr">
        <is>
          <t>ש: למה יש לעובד X מספר שורות באותו חודש?</t>
        </is>
      </c>
    </row>
    <row r="68" ht="20.1" customHeight="1" s="53">
      <c r="A68" s="5" t="inlineStr">
        <is>
          <t>ת: כי היו לו מספר תקופות נפרדות (עם רווחים ביניהן)</t>
        </is>
      </c>
    </row>
    <row r="69" ht="20.1" customHeight="1" s="53">
      <c r="A69" s="5" t="n"/>
    </row>
    <row r="70" ht="20.1" customHeight="1" s="53">
      <c r="A70" s="5" t="inlineStr">
        <is>
          <t>ש: איך אני יודעת מה התקבל מביטוח לאומי?</t>
        </is>
      </c>
    </row>
    <row r="71" ht="20.1" customHeight="1" s="53">
      <c r="A71" s="5" t="inlineStr">
        <is>
          <t>ת: העתיקי את הנתונים מקובץ ה-XLA לגליון 3</t>
        </is>
      </c>
    </row>
    <row r="72" ht="20.1" customHeight="1" s="53">
      <c r="A72" s="5" t="n"/>
    </row>
    <row r="73" ht="20.1" customHeight="1" s="53">
      <c r="A73" s="5" t="inlineStr">
        <is>
          <t>ש: איך מחשבים הפרשים?</t>
        </is>
      </c>
    </row>
    <row r="74" ht="20.1" customHeight="1" s="53">
      <c r="A74" s="5" t="inlineStr">
        <is>
          <t>ת: הפרש = צפוי מב"ל - התקבל מב"ל</t>
        </is>
      </c>
    </row>
    <row r="75" ht="20.1" customHeight="1" s="53">
      <c r="A75" s="5" t="inlineStr">
        <is>
          <t xml:space="preserve">   (אם חיובי = חסר כסף, שלילי = קיבלו יותר מדי)</t>
        </is>
      </c>
    </row>
    <row r="76" ht="20.1" customHeight="1" s="53">
      <c r="A76" s="5" t="n"/>
    </row>
    <row r="77" ht="20.1" customHeight="1" s="53">
      <c r="A77" s="5" t="inlineStr">
        <is>
          <t>─────────────────────────────────────────────────────</t>
        </is>
      </c>
    </row>
    <row r="78" ht="20.1" customHeight="1" s="53">
      <c r="A78" s="5" t="n"/>
    </row>
    <row r="79" ht="20.1" customHeight="1" s="53">
      <c r="A79" s="5" t="inlineStr">
        <is>
          <t>📞 תמיכה:</t>
        </is>
      </c>
    </row>
    <row r="80" ht="20.1" customHeight="1" s="53">
      <c r="A80" s="5" t="inlineStr">
        <is>
          <t xml:space="preserve">   Innovation in Balance</t>
        </is>
      </c>
    </row>
    <row r="81" ht="20.1" customHeight="1" s="53">
      <c r="A81" s="5" t="inlineStr">
        <is>
          <t xml:space="preserve">   © 2025 Litay Services Management LTD</t>
        </is>
      </c>
    </row>
    <row r="84" ht="18" customHeight="1" s="53">
      <c r="A84" s="25" t="inlineStr">
        <is>
          <t>🔗 זהות בין גליונות:</t>
        </is>
      </c>
    </row>
    <row r="85">
      <c r="A85" t="inlineStr">
        <is>
          <t>• דוח מסכם מקבץ נתונים מתקופות מילואים לפי עובד וחודש</t>
        </is>
      </c>
    </row>
    <row r="86">
      <c r="A86" t="inlineStr">
        <is>
          <t>• עמודת 'מזהי תקופות' מציגה את כל התקופות שמרכיבות את השורה</t>
        </is>
      </c>
    </row>
    <row r="87">
      <c r="A87" t="inlineStr">
        <is>
          <t>• עמודות התאריך מציגות את טווח התאריכים המלא</t>
        </is>
      </c>
    </row>
    <row r="88">
      <c r="A88" t="inlineStr">
        <is>
          <t>• 'צפוי מב"ל' = הפרש סופ"ש + פיצוי 20% למעסיק</t>
        </is>
      </c>
    </row>
    <row r="89">
      <c r="A89" t="inlineStr">
        <is>
          <t>• 'התקבל מב"ל' = סה"כ תשלומים שמתאימים לטווח התאריכים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7" customWidth="1" style="53" min="1" max="1"/>
    <col width="10" customWidth="1" style="53" min="2" max="2"/>
    <col width="15" customWidth="1" style="53" min="3" max="3"/>
    <col width="21" customWidth="1" style="53" min="4" max="4"/>
    <col width="8" customWidth="1" style="53" min="5" max="5"/>
    <col width="16" customWidth="1" style="53" min="6" max="6"/>
    <col width="13" customWidth="1" style="53" min="7" max="7"/>
    <col width="6" customWidth="1" style="53" min="8" max="8"/>
    <col width="13" customWidth="1" style="53" min="9" max="9"/>
    <col width="8" customWidth="1" style="53" min="10" max="10"/>
  </cols>
  <sheetData>
    <row r="1" ht="24.95" customHeight="1" s="53">
      <c r="A1" s="1" t="inlineStr">
        <is>
          <t>ת.ז.</t>
        </is>
      </c>
      <c r="B1" s="1" t="inlineStr">
        <is>
          <t>שם פרטי</t>
        </is>
      </c>
      <c r="C1" s="1" t="inlineStr">
        <is>
          <t>שם משפחה</t>
        </is>
      </c>
      <c r="D1" s="1" t="inlineStr">
        <is>
          <t>שם מלא</t>
        </is>
      </c>
      <c r="E1" s="1" t="inlineStr">
        <is>
          <t>מחלקה</t>
        </is>
      </c>
      <c r="F1" s="1" t="inlineStr">
        <is>
          <t>משכורת חודשית</t>
        </is>
      </c>
      <c r="G1" s="1" t="inlineStr">
        <is>
          <t>תעריף יומי</t>
        </is>
      </c>
      <c r="H1" s="1" t="inlineStr">
        <is>
          <t>בנק</t>
        </is>
      </c>
      <c r="I1" s="1" t="inlineStr">
        <is>
          <t>מספר חשבון</t>
        </is>
      </c>
      <c r="J1" s="1" t="inlineStr">
        <is>
          <t>סטטוס</t>
        </is>
      </c>
    </row>
    <row r="2">
      <c r="A2" s="2" t="n"/>
      <c r="B2" s="2" t="inlineStr">
        <is>
          <t>אוראל</t>
        </is>
      </c>
      <c r="C2" s="2" t="inlineStr">
        <is>
          <t>שווקי</t>
        </is>
      </c>
      <c r="D2" s="2" t="inlineStr">
        <is>
          <t>אוראל שווקי</t>
        </is>
      </c>
      <c r="E2" s="2" t="inlineStr">
        <is>
          <t>רפאל</t>
        </is>
      </c>
      <c r="F2" s="2" t="n"/>
      <c r="G2" s="2">
        <f>F2/22</f>
        <v/>
      </c>
      <c r="H2" s="2" t="n"/>
      <c r="I2" s="2" t="n"/>
      <c r="J2" s="2" t="inlineStr">
        <is>
          <t>פעיל</t>
        </is>
      </c>
    </row>
    <row r="3">
      <c r="A3" s="2" t="n">
        <v>211877550</v>
      </c>
      <c r="B3" s="2" t="inlineStr">
        <is>
          <t>אוראל</t>
        </is>
      </c>
      <c r="C3" s="2" t="inlineStr">
        <is>
          <t>שווקי</t>
        </is>
      </c>
      <c r="D3" s="2" t="inlineStr">
        <is>
          <t>אוראל שווקי</t>
        </is>
      </c>
      <c r="E3" s="2" t="inlineStr">
        <is>
          <t>רפאל</t>
        </is>
      </c>
      <c r="F3" s="2" t="n">
        <v>18717</v>
      </c>
      <c r="G3" s="2" t="n">
        <v>863.7286571296723</v>
      </c>
      <c r="H3" s="2" t="n"/>
      <c r="I3" s="2" t="n"/>
      <c r="J3" s="2" t="inlineStr">
        <is>
          <t>פעיל</t>
        </is>
      </c>
    </row>
    <row r="4">
      <c r="A4" s="2" t="n">
        <v>37643772</v>
      </c>
      <c r="B4" s="2" t="inlineStr">
        <is>
          <t>אורי</t>
        </is>
      </c>
      <c r="C4" s="2" t="inlineStr">
        <is>
          <t>אשתר</t>
        </is>
      </c>
      <c r="D4" s="2" t="inlineStr">
        <is>
          <t>אורי אשתר</t>
        </is>
      </c>
      <c r="E4" s="2" t="inlineStr">
        <is>
          <t>מל"מ</t>
        </is>
      </c>
      <c r="F4" s="2" t="n">
        <v>24026</v>
      </c>
      <c r="G4" s="2" t="n">
        <v>1108.721735117674</v>
      </c>
      <c r="H4" s="2" t="n"/>
      <c r="I4" s="2" t="n"/>
      <c r="J4" s="2" t="inlineStr">
        <is>
          <t>פעיל</t>
        </is>
      </c>
    </row>
    <row r="5">
      <c r="A5" s="2" t="n">
        <v>28027738</v>
      </c>
      <c r="B5" s="2" t="inlineStr">
        <is>
          <t>אייל</t>
        </is>
      </c>
      <c r="C5" s="2" t="inlineStr">
        <is>
          <t>מלח</t>
        </is>
      </c>
      <c r="D5" s="2" t="inlineStr">
        <is>
          <t>אייל מלח</t>
        </is>
      </c>
      <c r="E5" s="2" t="inlineStr">
        <is>
          <t>רפאל</t>
        </is>
      </c>
      <c r="F5" s="2" t="n">
        <v>20500</v>
      </c>
      <c r="G5" s="2" t="n">
        <v>946.0083064143977</v>
      </c>
      <c r="H5" s="2" t="n"/>
      <c r="I5" s="2" t="n"/>
      <c r="J5" s="2" t="inlineStr">
        <is>
          <t>מ01.09.25</t>
        </is>
      </c>
    </row>
    <row r="6">
      <c r="A6" s="2" t="n">
        <v>203661004</v>
      </c>
      <c r="B6" s="2" t="inlineStr">
        <is>
          <t>אריאל</t>
        </is>
      </c>
      <c r="C6" s="2" t="inlineStr">
        <is>
          <t>אליה</t>
        </is>
      </c>
      <c r="D6" s="2" t="inlineStr">
        <is>
          <t>אריאל אליה</t>
        </is>
      </c>
      <c r="E6" s="2" t="inlineStr">
        <is>
          <t>מל"מ</t>
        </is>
      </c>
      <c r="F6" s="2" t="n">
        <v>18828</v>
      </c>
      <c r="G6" s="2" t="n">
        <v>868.8509460083063</v>
      </c>
      <c r="H6" s="2" t="n"/>
      <c r="I6" s="2" t="n"/>
      <c r="J6" s="2" t="inlineStr">
        <is>
          <t>פעיל</t>
        </is>
      </c>
    </row>
    <row r="7">
      <c r="A7" s="2" t="n">
        <v>315919936</v>
      </c>
      <c r="B7" s="2" t="inlineStr">
        <is>
          <t>דניאל</t>
        </is>
      </c>
      <c r="C7" s="2" t="inlineStr">
        <is>
          <t>בנדרימר</t>
        </is>
      </c>
      <c r="D7" s="2" t="inlineStr">
        <is>
          <t>דניאל בנדרימר</t>
        </is>
      </c>
      <c r="E7" s="2" t="inlineStr">
        <is>
          <t>מל"מ</t>
        </is>
      </c>
      <c r="F7" s="2" t="n">
        <v>14532</v>
      </c>
      <c r="G7" s="2" t="n">
        <v>670.604522381172</v>
      </c>
      <c r="H7" s="2" t="n"/>
      <c r="I7" s="2" t="n"/>
      <c r="J7" s="2" t="inlineStr">
        <is>
          <t>פעיל</t>
        </is>
      </c>
    </row>
    <row r="8">
      <c r="A8" s="2" t="n">
        <v>69304962</v>
      </c>
      <c r="B8" s="2" t="inlineStr">
        <is>
          <t>חיים</t>
        </is>
      </c>
      <c r="C8" s="2" t="inlineStr">
        <is>
          <t>ראש</t>
        </is>
      </c>
      <c r="D8" s="2" t="inlineStr">
        <is>
          <t>חיים ראש</t>
        </is>
      </c>
      <c r="E8" s="2" t="inlineStr">
        <is>
          <t>מל"מ</t>
        </is>
      </c>
      <c r="F8" s="2" t="n">
        <v>20586.6</v>
      </c>
      <c r="G8" s="2" t="n">
        <v>950.0046146746653</v>
      </c>
      <c r="H8" s="2" t="n"/>
      <c r="I8" s="2" t="n"/>
      <c r="J8" s="2" t="inlineStr">
        <is>
          <t>פעיל</t>
        </is>
      </c>
    </row>
    <row r="9">
      <c r="A9" s="2" t="n">
        <v>25474677</v>
      </c>
      <c r="B9" s="2" t="inlineStr">
        <is>
          <t>יום</t>
        </is>
      </c>
      <c r="C9" s="2" t="inlineStr">
        <is>
          <t>טוב מוסארי</t>
        </is>
      </c>
      <c r="D9" s="2" t="inlineStr">
        <is>
          <t>יום טוב מוסארי</t>
        </is>
      </c>
      <c r="E9" s="2" t="inlineStr">
        <is>
          <t>רוה"מ</t>
        </is>
      </c>
      <c r="F9" s="2" t="n">
        <v>27791</v>
      </c>
      <c r="G9" s="2" t="n">
        <v>1282.464236271343</v>
      </c>
      <c r="H9" s="2" t="n"/>
      <c r="I9" s="2" t="n"/>
      <c r="J9" s="2" t="inlineStr">
        <is>
          <t>מ01.06.25</t>
        </is>
      </c>
    </row>
    <row r="10">
      <c r="A10" s="2" t="n">
        <v>22201347</v>
      </c>
      <c r="B10" s="2" t="inlineStr">
        <is>
          <t>יורם</t>
        </is>
      </c>
      <c r="C10" s="2" t="inlineStr">
        <is>
          <t>שלמה</t>
        </is>
      </c>
      <c r="D10" s="2" t="inlineStr">
        <is>
          <t>יורם שלמה</t>
        </is>
      </c>
      <c r="E10" s="2" t="inlineStr">
        <is>
          <t>רוה"מ</t>
        </is>
      </c>
      <c r="F10" s="2" t="n">
        <v>23754</v>
      </c>
      <c r="G10" s="2" t="n">
        <v>1096.169820027688</v>
      </c>
      <c r="H10" s="2" t="n"/>
      <c r="I10" s="2" t="n"/>
      <c r="J10" s="2" t="inlineStr">
        <is>
          <t>פעיל</t>
        </is>
      </c>
    </row>
    <row r="11">
      <c r="A11" s="2" t="n">
        <v>322131285</v>
      </c>
      <c r="B11" s="2" t="inlineStr">
        <is>
          <t>יענקל</t>
        </is>
      </c>
      <c r="C11" s="2" t="inlineStr">
        <is>
          <t>מונטבולינסקי</t>
        </is>
      </c>
      <c r="D11" s="2" t="inlineStr">
        <is>
          <t>יענקל מונטבולינסקי</t>
        </is>
      </c>
      <c r="E11" s="2" t="inlineStr">
        <is>
          <t>רפאל</t>
        </is>
      </c>
      <c r="F11" s="2" t="n">
        <v>18077</v>
      </c>
      <c r="G11" s="2" t="n">
        <v>834.1947392708813</v>
      </c>
      <c r="H11" s="2" t="n"/>
      <c r="I11" s="2" t="n"/>
      <c r="J11" s="2" t="inlineStr">
        <is>
          <t>פעיל</t>
        </is>
      </c>
    </row>
    <row r="12">
      <c r="A12" s="2" t="n">
        <v>209501998</v>
      </c>
      <c r="B12" s="2" t="inlineStr">
        <is>
          <t>לאון</t>
        </is>
      </c>
      <c r="C12" s="2" t="inlineStr">
        <is>
          <t>שמייב</t>
        </is>
      </c>
      <c r="D12" s="2" t="inlineStr">
        <is>
          <t>לאון שמייב</t>
        </is>
      </c>
      <c r="E12" s="2" t="inlineStr">
        <is>
          <t>רוה"מ</t>
        </is>
      </c>
      <c r="F12" s="2" t="n">
        <v>15825</v>
      </c>
      <c r="G12" s="2" t="n">
        <v>730.2722658052606</v>
      </c>
      <c r="H12" s="2" t="n"/>
      <c r="I12" s="2" t="n"/>
      <c r="J12" s="2" t="inlineStr">
        <is>
          <t>01.07.2025</t>
        </is>
      </c>
    </row>
    <row r="13">
      <c r="A13" s="2" t="n">
        <v>308280510</v>
      </c>
      <c r="B13" s="2" t="inlineStr">
        <is>
          <t>לוי</t>
        </is>
      </c>
      <c r="C13" s="2" t="inlineStr">
        <is>
          <t>דור</t>
        </is>
      </c>
      <c r="D13" s="2" t="inlineStr">
        <is>
          <t>לוי דור</t>
        </is>
      </c>
      <c r="E13" s="2" t="inlineStr">
        <is>
          <t>רפאל</t>
        </is>
      </c>
      <c r="F13" s="2" t="n">
        <v>17921</v>
      </c>
      <c r="G13" s="2" t="n">
        <v>826.995846792801</v>
      </c>
      <c r="H13" s="2" t="n"/>
      <c r="I13" s="2" t="n"/>
      <c r="J13" s="2" t="inlineStr">
        <is>
          <t>פעיל</t>
        </is>
      </c>
    </row>
    <row r="14">
      <c r="A14" s="2" t="n">
        <v>11915519</v>
      </c>
      <c r="B14" s="2" t="inlineStr">
        <is>
          <t>מנפרד</t>
        </is>
      </c>
      <c r="C14" s="2" t="inlineStr">
        <is>
          <t>מרקוביץ'</t>
        </is>
      </c>
      <c r="D14" s="2" t="inlineStr">
        <is>
          <t>מנפרד מרקוביץ'</t>
        </is>
      </c>
      <c r="E14" s="2" t="inlineStr">
        <is>
          <t>רפאל</t>
        </is>
      </c>
      <c r="F14" s="2" t="n">
        <v>18822</v>
      </c>
      <c r="G14" s="2" t="n">
        <v>868.5740655283802</v>
      </c>
      <c r="H14" s="2" t="n"/>
      <c r="I14" s="2" t="n"/>
      <c r="J14" s="2" t="inlineStr">
        <is>
          <t>פעיל</t>
        </is>
      </c>
    </row>
    <row r="15">
      <c r="A15" s="2" t="n">
        <v>25147505</v>
      </c>
      <c r="B15" s="2" t="inlineStr">
        <is>
          <t>משה</t>
        </is>
      </c>
      <c r="C15" s="2" t="inlineStr">
        <is>
          <t>בורך</t>
        </is>
      </c>
      <c r="D15" s="2" t="inlineStr">
        <is>
          <t>משה בורך</t>
        </is>
      </c>
      <c r="E15" s="2" t="inlineStr">
        <is>
          <t>רפאל</t>
        </is>
      </c>
      <c r="F15" s="2" t="n">
        <v>20150</v>
      </c>
      <c r="G15" s="2" t="n">
        <v>929.8569450853714</v>
      </c>
      <c r="H15" s="2" t="n"/>
      <c r="I15" s="2" t="n"/>
      <c r="J15" s="2" t="inlineStr">
        <is>
          <t>פעיל</t>
        </is>
      </c>
    </row>
    <row r="16">
      <c r="A16" s="2" t="n">
        <v>25342445</v>
      </c>
      <c r="B16" s="2" t="inlineStr">
        <is>
          <t>משה</t>
        </is>
      </c>
      <c r="C16" s="2" t="inlineStr">
        <is>
          <t>פינץ</t>
        </is>
      </c>
      <c r="D16" s="2" t="inlineStr">
        <is>
          <t>משה פינץ</t>
        </is>
      </c>
      <c r="E16" s="2" t="inlineStr">
        <is>
          <t>רוה"מ</t>
        </is>
      </c>
      <c r="F16" s="2" t="n">
        <v>19826</v>
      </c>
      <c r="G16" s="2" t="n">
        <v>914.9053991693585</v>
      </c>
      <c r="H16" s="2" t="n"/>
      <c r="I16" s="2" t="n"/>
      <c r="J16" s="2" t="inlineStr">
        <is>
          <t>פעיל</t>
        </is>
      </c>
    </row>
    <row r="17">
      <c r="A17" s="2" t="n">
        <v>25155235</v>
      </c>
      <c r="B17" s="2" t="inlineStr">
        <is>
          <t>נתן</t>
        </is>
      </c>
      <c r="C17" s="2" t="inlineStr">
        <is>
          <t>פרדר</t>
        </is>
      </c>
      <c r="D17" s="2" t="inlineStr">
        <is>
          <t>נתן פרדר</t>
        </is>
      </c>
      <c r="E17" s="2" t="inlineStr">
        <is>
          <t>רוה"מ</t>
        </is>
      </c>
      <c r="F17" s="2" t="n">
        <v>19825</v>
      </c>
      <c r="G17" s="2" t="n">
        <v>914.8592524227041</v>
      </c>
      <c r="H17" s="2" t="n"/>
      <c r="I17" s="2" t="n"/>
      <c r="J17" s="2" t="inlineStr">
        <is>
          <t>פעיל</t>
        </is>
      </c>
    </row>
    <row r="18">
      <c r="A18" s="2" t="n">
        <v>315536524</v>
      </c>
      <c r="B18" s="2" t="inlineStr">
        <is>
          <t>צחי</t>
        </is>
      </c>
      <c r="C18" s="2" t="inlineStr">
        <is>
          <t>חנגל</t>
        </is>
      </c>
      <c r="D18" s="2" t="inlineStr">
        <is>
          <t>צחי חנגל</t>
        </is>
      </c>
      <c r="E18" s="2" t="inlineStr">
        <is>
          <t>רפאל</t>
        </is>
      </c>
      <c r="F18" s="2" t="n">
        <v>17601</v>
      </c>
      <c r="G18" s="2" t="n">
        <v>812.2288878634056</v>
      </c>
      <c r="H18" s="2" t="n"/>
      <c r="I18" s="2" t="n"/>
      <c r="J18" s="2" t="inlineStr">
        <is>
          <t>פעיל</t>
        </is>
      </c>
    </row>
    <row r="19">
      <c r="A19" t="n">
        <v>32345035</v>
      </c>
      <c r="B19" t="inlineStr">
        <is>
          <t>רפאל</t>
        </is>
      </c>
      <c r="C19" t="inlineStr">
        <is>
          <t>שועה</t>
        </is>
      </c>
      <c r="D19" t="inlineStr">
        <is>
          <t>רפאל שועה</t>
        </is>
      </c>
      <c r="E19" t="inlineStr">
        <is>
          <t>מל"מ</t>
        </is>
      </c>
      <c r="F19" t="n">
        <v>17670</v>
      </c>
      <c r="G19" t="n">
        <v>815.4130133825564</v>
      </c>
      <c r="J19" t="inlineStr">
        <is>
          <t>פעיל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1"/>
  <sheetViews>
    <sheetView rightToLeft="1" tabSelected="1" workbookViewId="0">
      <pane ySplit="1" topLeftCell="A175" activePane="bottomLeft" state="frozen"/>
      <selection pane="bottomLeft" activeCell="L193" sqref="A82:L193"/>
    </sheetView>
  </sheetViews>
  <sheetFormatPr baseColWidth="8" defaultRowHeight="14.25"/>
  <cols>
    <col width="15" customWidth="1" style="47" min="1" max="1"/>
    <col width="15" customWidth="1" style="53" min="2" max="9"/>
    <col width="15" customWidth="1" style="51" min="10" max="11"/>
    <col width="57.875" bestFit="1" customWidth="1" style="51" min="12" max="12"/>
  </cols>
  <sheetData>
    <row r="1" ht="24.95" customHeight="1" s="53">
      <c r="A1" s="48" t="inlineStr">
        <is>
          <t>ת.ז.</t>
        </is>
      </c>
      <c r="B1" s="8" t="inlineStr">
        <is>
          <t>שם עובד</t>
        </is>
      </c>
      <c r="C1" s="8" t="inlineStr">
        <is>
          <t>תאריך התחלה</t>
        </is>
      </c>
      <c r="D1" s="8" t="inlineStr">
        <is>
          <t>תאריך סיום</t>
        </is>
      </c>
      <c r="E1" s="8" t="inlineStr">
        <is>
          <t>סוג תשלום</t>
        </is>
      </c>
      <c r="F1" s="8" t="inlineStr">
        <is>
          <t>תגמול ₪</t>
        </is>
      </c>
      <c r="G1" s="8" t="inlineStr">
        <is>
          <t>פיצוי 20% ₪</t>
        </is>
      </c>
      <c r="H1" s="8" t="inlineStr">
        <is>
          <t>תוספת 40% ₪</t>
        </is>
      </c>
      <c r="I1" s="8" t="inlineStr">
        <is>
          <t>סה"כ לעובד ₪</t>
        </is>
      </c>
      <c r="J1" s="49" t="inlineStr">
        <is>
          <t>מספר מנה</t>
        </is>
      </c>
      <c r="K1" s="49" t="inlineStr">
        <is>
          <t>תאריך תשלום</t>
        </is>
      </c>
      <c r="L1" s="49" t="inlineStr">
        <is>
          <t>קובץ מקור</t>
        </is>
      </c>
    </row>
    <row r="2" ht="15" customHeight="1" s="53">
      <c r="A2" s="9" t="n">
        <v>11915519</v>
      </c>
      <c r="B2" s="9" t="inlineStr">
        <is>
          <t>מנפרד מרקוביץ'</t>
        </is>
      </c>
      <c r="C2" s="9" t="inlineStr">
        <is>
          <t>07/01/2025</t>
        </is>
      </c>
      <c r="D2" s="9" t="inlineStr">
        <is>
          <t>07/01/2025</t>
        </is>
      </c>
      <c r="E2" s="9" t="inlineStr">
        <is>
          <t>רגיל</t>
        </is>
      </c>
      <c r="F2" s="17" t="n">
        <v>821</v>
      </c>
      <c r="G2" s="17" t="n">
        <v>164</v>
      </c>
      <c r="H2" s="17" t="n">
        <v>0</v>
      </c>
      <c r="I2" s="17" t="n">
        <v>985</v>
      </c>
      <c r="J2" s="50" t="n">
        <v>203</v>
      </c>
      <c r="K2" s="50" t="inlineStr">
        <is>
          <t>09/02/2025</t>
        </is>
      </c>
      <c r="L2" s="50" t="inlineStr">
        <is>
          <t>PDF_מנה_0203</t>
        </is>
      </c>
    </row>
    <row r="3" ht="15" customHeight="1" s="53">
      <c r="A3" s="9" t="n">
        <v>11915519</v>
      </c>
      <c r="B3" s="9" t="inlineStr">
        <is>
          <t>מנפרד מרקוביץ'</t>
        </is>
      </c>
      <c r="C3" s="9" t="inlineStr">
        <is>
          <t>16/01/2025</t>
        </is>
      </c>
      <c r="D3" s="9" t="inlineStr">
        <is>
          <t>16/01/2025</t>
        </is>
      </c>
      <c r="E3" s="9" t="inlineStr">
        <is>
          <t>רגיל</t>
        </is>
      </c>
      <c r="F3" s="17" t="n">
        <v>821</v>
      </c>
      <c r="G3" s="17" t="n">
        <v>164</v>
      </c>
      <c r="H3" s="17" t="n">
        <v>0</v>
      </c>
      <c r="I3" s="17" t="n">
        <v>985</v>
      </c>
      <c r="J3" s="50" t="n">
        <v>203</v>
      </c>
      <c r="K3" s="50" t="inlineStr">
        <is>
          <t>09/02/2025</t>
        </is>
      </c>
      <c r="L3" s="50" t="inlineStr">
        <is>
          <t>PDF_מנה_0203</t>
        </is>
      </c>
    </row>
    <row r="4" ht="15" customHeight="1" s="53">
      <c r="A4" s="9" t="n">
        <v>22201347</v>
      </c>
      <c r="B4" s="9" t="inlineStr">
        <is>
          <t>יורם שלמה</t>
        </is>
      </c>
      <c r="C4" s="9" t="inlineStr">
        <is>
          <t>01/01/2025</t>
        </is>
      </c>
      <c r="D4" s="9" t="inlineStr">
        <is>
          <t>01/01/2025</t>
        </is>
      </c>
      <c r="E4" s="9" t="inlineStr">
        <is>
          <t>רגיל</t>
        </is>
      </c>
      <c r="F4" s="17" t="n">
        <v>1051</v>
      </c>
      <c r="G4" s="17" t="n">
        <v>210</v>
      </c>
      <c r="H4" s="17" t="n">
        <v>0</v>
      </c>
      <c r="I4" s="17" t="n">
        <v>1261</v>
      </c>
      <c r="J4" s="50" t="n">
        <v>203</v>
      </c>
      <c r="K4" s="50" t="inlineStr">
        <is>
          <t>09/02/2025</t>
        </is>
      </c>
      <c r="L4" s="50" t="inlineStr">
        <is>
          <t>PDF_מנה_0203</t>
        </is>
      </c>
    </row>
    <row r="5" ht="15" customHeight="1" s="53">
      <c r="A5" s="9" t="n">
        <v>22201347</v>
      </c>
      <c r="B5" s="9" t="inlineStr">
        <is>
          <t>יורם שלמה</t>
        </is>
      </c>
      <c r="C5" s="9" t="inlineStr">
        <is>
          <t>19/01/2025</t>
        </is>
      </c>
      <c r="D5" s="9" t="inlineStr">
        <is>
          <t>23/01/2025</t>
        </is>
      </c>
      <c r="E5" s="9" t="inlineStr">
        <is>
          <t>רגיל</t>
        </is>
      </c>
      <c r="F5" s="17" t="n">
        <v>5257</v>
      </c>
      <c r="G5" s="17" t="n">
        <v>1051</v>
      </c>
      <c r="H5" s="17" t="n">
        <v>0</v>
      </c>
      <c r="I5" s="17" t="n">
        <v>6308</v>
      </c>
      <c r="J5" s="50" t="n">
        <v>203</v>
      </c>
      <c r="K5" s="50" t="inlineStr">
        <is>
          <t>09/02/2025</t>
        </is>
      </c>
      <c r="L5" s="50" t="inlineStr">
        <is>
          <t>PDF_מנה_0203</t>
        </is>
      </c>
    </row>
    <row r="6" ht="15" customHeight="1" s="53">
      <c r="A6" s="9" t="n">
        <v>25147505</v>
      </c>
      <c r="B6" s="9" t="inlineStr">
        <is>
          <t>משה בורך</t>
        </is>
      </c>
      <c r="C6" s="9" t="inlineStr">
        <is>
          <t>27/11/2024</t>
        </is>
      </c>
      <c r="D6" s="9" t="inlineStr">
        <is>
          <t>27/11/2024</t>
        </is>
      </c>
      <c r="E6" s="9" t="inlineStr">
        <is>
          <t>רגיל</t>
        </is>
      </c>
      <c r="F6" s="17" t="n">
        <v>751</v>
      </c>
      <c r="G6" s="17" t="n">
        <v>0</v>
      </c>
      <c r="H6" s="17" t="n">
        <v>0</v>
      </c>
      <c r="I6" s="17" t="n">
        <v>751</v>
      </c>
      <c r="J6" s="50" t="n">
        <v>203</v>
      </c>
      <c r="K6" s="50" t="inlineStr">
        <is>
          <t>09/02/2025</t>
        </is>
      </c>
      <c r="L6" s="50" t="inlineStr">
        <is>
          <t>PDF_מנה_0203</t>
        </is>
      </c>
    </row>
    <row r="7" ht="15" customHeight="1" s="53">
      <c r="A7" s="9" t="n">
        <v>25155235</v>
      </c>
      <c r="B7" s="9" t="inlineStr">
        <is>
          <t>נתן פרדר</t>
        </is>
      </c>
      <c r="C7" s="9" t="inlineStr">
        <is>
          <t>05/01/2025</t>
        </is>
      </c>
      <c r="D7" s="9" t="inlineStr">
        <is>
          <t>05/01/2025</t>
        </is>
      </c>
      <c r="E7" s="9" t="inlineStr">
        <is>
          <t>רגיל</t>
        </is>
      </c>
      <c r="F7" s="17" t="n">
        <v>1116</v>
      </c>
      <c r="G7" s="17" t="n">
        <v>223</v>
      </c>
      <c r="H7" s="17" t="n">
        <v>0</v>
      </c>
      <c r="I7" s="17" t="n">
        <v>1339</v>
      </c>
      <c r="J7" s="50" t="n">
        <v>203</v>
      </c>
      <c r="K7" s="50" t="inlineStr">
        <is>
          <t>09/02/2025</t>
        </is>
      </c>
      <c r="L7" s="50" t="inlineStr">
        <is>
          <t>PDF_מנה_0203</t>
        </is>
      </c>
    </row>
    <row r="8" ht="15" customHeight="1" s="53">
      <c r="A8" s="9" t="n">
        <v>25155235</v>
      </c>
      <c r="B8" s="9" t="inlineStr">
        <is>
          <t>נתן פרדר</t>
        </is>
      </c>
      <c r="C8" s="9" t="inlineStr">
        <is>
          <t>06/01/2025</t>
        </is>
      </c>
      <c r="D8" s="9" t="inlineStr">
        <is>
          <t>07/01/2025</t>
        </is>
      </c>
      <c r="E8" s="9" t="inlineStr">
        <is>
          <t>רגיל</t>
        </is>
      </c>
      <c r="F8" s="17" t="n">
        <v>2231</v>
      </c>
      <c r="G8" s="17" t="n">
        <v>446</v>
      </c>
      <c r="H8" s="17" t="n">
        <v>0</v>
      </c>
      <c r="I8" s="17" t="n">
        <v>2677</v>
      </c>
      <c r="J8" s="50" t="n">
        <v>203</v>
      </c>
      <c r="K8" s="50" t="inlineStr">
        <is>
          <t>09/02/2025</t>
        </is>
      </c>
      <c r="L8" s="50" t="inlineStr">
        <is>
          <t>PDF_מנה_0203</t>
        </is>
      </c>
    </row>
    <row r="9" ht="15" customHeight="1" s="53">
      <c r="A9" s="9" t="n">
        <v>25155235</v>
      </c>
      <c r="B9" s="9" t="inlineStr">
        <is>
          <t>נתן פרדר</t>
        </is>
      </c>
      <c r="C9" s="9" t="inlineStr">
        <is>
          <t>08/01/2025</t>
        </is>
      </c>
      <c r="D9" s="9" t="inlineStr">
        <is>
          <t>09/01/2025</t>
        </is>
      </c>
      <c r="E9" s="9" t="inlineStr">
        <is>
          <t>רגיל</t>
        </is>
      </c>
      <c r="F9" s="17" t="n">
        <v>2231</v>
      </c>
      <c r="G9" s="17" t="n">
        <v>446</v>
      </c>
      <c r="H9" s="17" t="n">
        <v>0</v>
      </c>
      <c r="I9" s="17" t="n">
        <v>2677</v>
      </c>
      <c r="J9" s="50" t="n">
        <v>203</v>
      </c>
      <c r="K9" s="50" t="inlineStr">
        <is>
          <t>09/02/2025</t>
        </is>
      </c>
      <c r="L9" s="50" t="inlineStr">
        <is>
          <t>PDF_מנה_0203</t>
        </is>
      </c>
    </row>
    <row r="10" ht="15" customHeight="1" s="53">
      <c r="A10" s="9" t="n">
        <v>25155235</v>
      </c>
      <c r="B10" s="9" t="inlineStr">
        <is>
          <t>נתן פרדר</t>
        </is>
      </c>
      <c r="C10" s="9" t="inlineStr">
        <is>
          <t>10/01/2025</t>
        </is>
      </c>
      <c r="D10" s="9" t="inlineStr">
        <is>
          <t>11/01/2025</t>
        </is>
      </c>
      <c r="E10" s="9" t="inlineStr">
        <is>
          <t>רגיל</t>
        </is>
      </c>
      <c r="F10" s="17" t="n">
        <v>2231</v>
      </c>
      <c r="G10" s="17" t="n">
        <v>446</v>
      </c>
      <c r="H10" s="17" t="n">
        <v>0</v>
      </c>
      <c r="I10" s="17" t="n">
        <v>2677</v>
      </c>
      <c r="J10" s="50" t="n">
        <v>203</v>
      </c>
      <c r="K10" s="50" t="inlineStr">
        <is>
          <t>09/02/2025</t>
        </is>
      </c>
      <c r="L10" s="50" t="inlineStr">
        <is>
          <t>PDF_מנה_0203</t>
        </is>
      </c>
    </row>
    <row r="11" ht="15" customHeight="1" s="53">
      <c r="A11" s="9" t="n">
        <v>25155235</v>
      </c>
      <c r="B11" s="9" t="inlineStr">
        <is>
          <t>נתן פרדר</t>
        </is>
      </c>
      <c r="C11" s="9" t="inlineStr">
        <is>
          <t>14/01/2025</t>
        </is>
      </c>
      <c r="D11" s="9" t="inlineStr">
        <is>
          <t>15/01/2025</t>
        </is>
      </c>
      <c r="E11" s="9" t="inlineStr">
        <is>
          <t>רגיל</t>
        </is>
      </c>
      <c r="F11" s="17" t="n">
        <v>2231</v>
      </c>
      <c r="G11" s="17" t="n">
        <v>446</v>
      </c>
      <c r="H11" s="17" t="n">
        <v>0</v>
      </c>
      <c r="I11" s="17" t="n">
        <v>2677</v>
      </c>
      <c r="J11" s="50" t="n">
        <v>203</v>
      </c>
      <c r="K11" s="50" t="inlineStr">
        <is>
          <t>09/02/2025</t>
        </is>
      </c>
      <c r="L11" s="50" t="inlineStr">
        <is>
          <t>PDF_מנה_0203</t>
        </is>
      </c>
    </row>
    <row r="12" ht="15" customHeight="1" s="53">
      <c r="A12" s="9" t="n">
        <v>25155235</v>
      </c>
      <c r="B12" s="9" t="inlineStr">
        <is>
          <t>נתן פרדר</t>
        </is>
      </c>
      <c r="C12" s="9" t="inlineStr">
        <is>
          <t>16/01/2025</t>
        </is>
      </c>
      <c r="D12" s="9" t="inlineStr">
        <is>
          <t>17/01/2025</t>
        </is>
      </c>
      <c r="E12" s="9" t="inlineStr">
        <is>
          <t>רגיל</t>
        </is>
      </c>
      <c r="F12" s="17" t="n">
        <v>1116</v>
      </c>
      <c r="G12" s="17" t="n">
        <v>446</v>
      </c>
      <c r="H12" s="17" t="n">
        <v>0</v>
      </c>
      <c r="I12" s="17" t="n">
        <v>1562</v>
      </c>
      <c r="J12" s="50" t="n">
        <v>203</v>
      </c>
      <c r="K12" s="50" t="inlineStr">
        <is>
          <t>09/02/2025</t>
        </is>
      </c>
      <c r="L12" s="50" t="inlineStr">
        <is>
          <t>PDF_מנה_0203</t>
        </is>
      </c>
    </row>
    <row r="13" ht="15" customHeight="1" s="53">
      <c r="A13" s="9" t="n">
        <v>25155235</v>
      </c>
      <c r="B13" s="9" t="inlineStr">
        <is>
          <t>נתן פרדר</t>
        </is>
      </c>
      <c r="C13" s="9" t="inlineStr">
        <is>
          <t>20/01/2025</t>
        </is>
      </c>
      <c r="D13" s="9" t="inlineStr">
        <is>
          <t>20/01/2025</t>
        </is>
      </c>
      <c r="E13" s="9" t="inlineStr">
        <is>
          <t>רגיל</t>
        </is>
      </c>
      <c r="F13" s="17" t="n">
        <v>1116</v>
      </c>
      <c r="G13" s="17" t="n">
        <v>223</v>
      </c>
      <c r="H13" s="17" t="n">
        <v>0</v>
      </c>
      <c r="I13" s="17" t="n">
        <v>1339</v>
      </c>
      <c r="J13" s="50" t="n">
        <v>203</v>
      </c>
      <c r="K13" s="50" t="inlineStr">
        <is>
          <t>09/02/2025</t>
        </is>
      </c>
      <c r="L13" s="50" t="inlineStr">
        <is>
          <t>PDF_מנה_0203</t>
        </is>
      </c>
    </row>
    <row r="14" ht="15" customHeight="1" s="53">
      <c r="A14" s="9" t="n">
        <v>25155235</v>
      </c>
      <c r="B14" s="9" t="inlineStr">
        <is>
          <t>נתן פרדר</t>
        </is>
      </c>
      <c r="C14" s="9" t="inlineStr">
        <is>
          <t>24/01/2025</t>
        </is>
      </c>
      <c r="D14" s="9" t="inlineStr">
        <is>
          <t>24/01/2025</t>
        </is>
      </c>
      <c r="E14" s="9" t="inlineStr">
        <is>
          <t>רגיל</t>
        </is>
      </c>
      <c r="F14" s="17" t="n">
        <v>1116</v>
      </c>
      <c r="G14" s="17" t="n">
        <v>223</v>
      </c>
      <c r="H14" s="17" t="n">
        <v>0</v>
      </c>
      <c r="I14" s="17" t="n">
        <v>1339</v>
      </c>
      <c r="J14" s="50" t="n">
        <v>203</v>
      </c>
      <c r="K14" s="50" t="inlineStr">
        <is>
          <t>09/02/2025</t>
        </is>
      </c>
      <c r="L14" s="50" t="inlineStr">
        <is>
          <t>PDF_מנה_0203</t>
        </is>
      </c>
    </row>
    <row r="15" ht="15" customHeight="1" s="53">
      <c r="A15" s="9" t="n">
        <v>28027738</v>
      </c>
      <c r="B15" s="9" t="inlineStr">
        <is>
          <t>אייל מלח</t>
        </is>
      </c>
      <c r="C15" s="9" t="inlineStr">
        <is>
          <t>01/01/2025</t>
        </is>
      </c>
      <c r="D15" s="9" t="inlineStr">
        <is>
          <t>03/01/2025</t>
        </is>
      </c>
      <c r="E15" s="9" t="inlineStr">
        <is>
          <t>רגיל</t>
        </is>
      </c>
      <c r="F15" s="17" t="n">
        <v>2206</v>
      </c>
      <c r="G15" s="17" t="n">
        <v>556</v>
      </c>
      <c r="H15" s="17" t="n">
        <v>0</v>
      </c>
      <c r="I15" s="17" t="n">
        <v>2762</v>
      </c>
      <c r="J15" s="50" t="n">
        <v>203</v>
      </c>
      <c r="K15" s="50" t="inlineStr">
        <is>
          <t>09/02/2025</t>
        </is>
      </c>
      <c r="L15" s="50" t="inlineStr">
        <is>
          <t>PDF_מנה_0203</t>
        </is>
      </c>
    </row>
    <row r="16" ht="15" customHeight="1" s="53">
      <c r="A16" s="9" t="n">
        <v>69304962</v>
      </c>
      <c r="B16" s="9" t="inlineStr">
        <is>
          <t>חיים ראש</t>
        </is>
      </c>
      <c r="C16" s="9" t="inlineStr">
        <is>
          <t>17/11/2024</t>
        </is>
      </c>
      <c r="D16" s="9" t="inlineStr">
        <is>
          <t>21/11/2024</t>
        </is>
      </c>
      <c r="E16" s="9" t="inlineStr">
        <is>
          <t>רגיל</t>
        </is>
      </c>
      <c r="F16" s="17" t="n">
        <v>6811</v>
      </c>
      <c r="G16" s="17" t="n">
        <v>973</v>
      </c>
      <c r="H16" s="17" t="n">
        <v>0</v>
      </c>
      <c r="I16" s="17" t="n">
        <v>7784</v>
      </c>
      <c r="J16" s="50" t="n">
        <v>203</v>
      </c>
      <c r="K16" s="50" t="inlineStr">
        <is>
          <t>09/02/2025</t>
        </is>
      </c>
      <c r="L16" s="50" t="inlineStr">
        <is>
          <t>PDF_מנה_0203</t>
        </is>
      </c>
    </row>
    <row r="17" ht="15" customHeight="1" s="53">
      <c r="A17" s="9" t="n">
        <v>203661004</v>
      </c>
      <c r="B17" s="9" t="inlineStr">
        <is>
          <t>אריאל אליה</t>
        </is>
      </c>
      <c r="C17" s="9" t="inlineStr">
        <is>
          <t>17/11/2024</t>
        </is>
      </c>
      <c r="D17" s="9" t="inlineStr">
        <is>
          <t>21/11/2024</t>
        </is>
      </c>
      <c r="E17" s="9" t="inlineStr">
        <is>
          <t>רגיל</t>
        </is>
      </c>
      <c r="F17" s="17" t="n">
        <v>4638</v>
      </c>
      <c r="G17" s="17" t="n">
        <v>663</v>
      </c>
      <c r="H17" s="17" t="n">
        <v>0</v>
      </c>
      <c r="I17" s="17" t="n">
        <v>5301</v>
      </c>
      <c r="J17" s="50" t="n">
        <v>203</v>
      </c>
      <c r="K17" s="50" t="inlineStr">
        <is>
          <t>09/02/2025</t>
        </is>
      </c>
      <c r="L17" s="50" t="inlineStr">
        <is>
          <t>PDF_מנה_0203</t>
        </is>
      </c>
    </row>
    <row r="18" ht="15" customHeight="1" s="53">
      <c r="A18" s="9" t="n">
        <v>209501998</v>
      </c>
      <c r="B18" s="9" t="inlineStr">
        <is>
          <t>לאון שמייב</t>
        </is>
      </c>
      <c r="C18" s="9" t="inlineStr">
        <is>
          <t>27/11/2024</t>
        </is>
      </c>
      <c r="D18" s="9" t="inlineStr">
        <is>
          <t>27/11/2024</t>
        </is>
      </c>
      <c r="E18" s="9" t="inlineStr">
        <is>
          <t>רגיל</t>
        </is>
      </c>
      <c r="F18" s="17" t="n">
        <v>550</v>
      </c>
      <c r="G18" s="17" t="n">
        <v>0</v>
      </c>
      <c r="H18" s="17" t="n">
        <v>0</v>
      </c>
      <c r="I18" s="17" t="n">
        <v>550</v>
      </c>
      <c r="J18" s="50" t="n">
        <v>203</v>
      </c>
      <c r="K18" s="50" t="inlineStr">
        <is>
          <t>09/02/2025</t>
        </is>
      </c>
      <c r="L18" s="50" t="inlineStr">
        <is>
          <t>PDF_מנה_0203</t>
        </is>
      </c>
    </row>
    <row r="19" ht="15" customHeight="1" s="53">
      <c r="A19" s="9" t="n">
        <v>211877550</v>
      </c>
      <c r="B19" s="9" t="inlineStr">
        <is>
          <t>אוראל שווקי</t>
        </is>
      </c>
      <c r="C19" s="9" t="inlineStr">
        <is>
          <t>17/11/2024</t>
        </is>
      </c>
      <c r="D19" s="9" t="inlineStr">
        <is>
          <t>21/11/2024</t>
        </is>
      </c>
      <c r="E19" s="9" t="inlineStr">
        <is>
          <t>רגיל</t>
        </is>
      </c>
      <c r="F19" s="17" t="n">
        <v>1010</v>
      </c>
      <c r="G19" s="17" t="n">
        <v>606</v>
      </c>
      <c r="H19" s="17" t="n">
        <v>0</v>
      </c>
      <c r="I19" s="17" t="n">
        <v>1616</v>
      </c>
      <c r="J19" s="50" t="n">
        <v>203</v>
      </c>
      <c r="K19" s="50" t="inlineStr">
        <is>
          <t>09/02/2025</t>
        </is>
      </c>
      <c r="L19" s="50" t="inlineStr">
        <is>
          <t>PDF_מנה_0203</t>
        </is>
      </c>
    </row>
    <row r="20" ht="15" customHeight="1" s="53">
      <c r="A20" s="9" t="n">
        <v>308280510</v>
      </c>
      <c r="B20" s="9" t="inlineStr">
        <is>
          <t>לוי דור</t>
        </is>
      </c>
      <c r="C20" s="9" t="inlineStr">
        <is>
          <t>09/10/2024</t>
        </is>
      </c>
      <c r="D20" s="9" t="inlineStr">
        <is>
          <t>11/10/2024</t>
        </is>
      </c>
      <c r="E20" s="9" t="inlineStr">
        <is>
          <t>רגיל</t>
        </is>
      </c>
      <c r="F20" s="17" t="n">
        <v>2334</v>
      </c>
      <c r="G20" s="17" t="n">
        <v>427</v>
      </c>
      <c r="H20" s="17" t="n">
        <v>0</v>
      </c>
      <c r="I20" s="17" t="n">
        <v>2761</v>
      </c>
      <c r="J20" s="50" t="n">
        <v>203</v>
      </c>
      <c r="K20" s="50" t="inlineStr">
        <is>
          <t>09/02/2025</t>
        </is>
      </c>
      <c r="L20" s="50" t="inlineStr">
        <is>
          <t>PDF_מנה_0203</t>
        </is>
      </c>
    </row>
    <row r="21" ht="15" customHeight="1" s="53">
      <c r="A21" s="9" t="n">
        <v>315536524</v>
      </c>
      <c r="B21" s="9" t="inlineStr">
        <is>
          <t>צחי חנגל</t>
        </is>
      </c>
      <c r="C21" s="9" t="inlineStr">
        <is>
          <t>27/10/2024</t>
        </is>
      </c>
      <c r="D21" s="9" t="inlineStr">
        <is>
          <t>28/10/2024</t>
        </is>
      </c>
      <c r="E21" s="9" t="inlineStr">
        <is>
          <t>רגיל</t>
        </is>
      </c>
      <c r="F21" s="17" t="n">
        <v>1448</v>
      </c>
      <c r="G21" s="17" t="n">
        <v>0</v>
      </c>
      <c r="H21" s="17" t="n">
        <v>0</v>
      </c>
      <c r="I21" s="17" t="n">
        <v>1448</v>
      </c>
      <c r="J21" s="50" t="n">
        <v>203</v>
      </c>
      <c r="K21" s="50" t="inlineStr">
        <is>
          <t>09/02/2025</t>
        </is>
      </c>
      <c r="L21" s="50" t="inlineStr">
        <is>
          <t>PDF_מנה_0203</t>
        </is>
      </c>
    </row>
    <row r="22" ht="15" customHeight="1" s="53">
      <c r="A22" s="9" t="n">
        <v>315536524</v>
      </c>
      <c r="B22" s="9" t="inlineStr">
        <is>
          <t>צחי חנגל</t>
        </is>
      </c>
      <c r="C22" s="9" t="inlineStr">
        <is>
          <t>25/11/2024</t>
        </is>
      </c>
      <c r="D22" s="9" t="inlineStr">
        <is>
          <t>27/11/2024</t>
        </is>
      </c>
      <c r="E22" s="9" t="inlineStr">
        <is>
          <t>רגיל</t>
        </is>
      </c>
      <c r="F22" s="17" t="n">
        <v>2063</v>
      </c>
      <c r="G22" s="17" t="n">
        <v>0</v>
      </c>
      <c r="H22" s="17" t="n">
        <v>0</v>
      </c>
      <c r="I22" s="17" t="n">
        <v>2063</v>
      </c>
      <c r="J22" s="50" t="n">
        <v>203</v>
      </c>
      <c r="K22" s="50" t="inlineStr">
        <is>
          <t>09/02/2025</t>
        </is>
      </c>
      <c r="L22" s="50" t="inlineStr">
        <is>
          <t>PDF_מנה_0203</t>
        </is>
      </c>
    </row>
    <row r="23" ht="15" customHeight="1" s="53">
      <c r="A23" s="9" t="n">
        <v>315919936</v>
      </c>
      <c r="B23" s="9" t="inlineStr">
        <is>
          <t>דניאל בנדרימר</t>
        </is>
      </c>
      <c r="C23" s="9" t="inlineStr">
        <is>
          <t>09/10/2024</t>
        </is>
      </c>
      <c r="D23" s="9" t="inlineStr">
        <is>
          <t>09/10/2024</t>
        </is>
      </c>
      <c r="E23" s="9" t="inlineStr">
        <is>
          <t>רגיל</t>
        </is>
      </c>
      <c r="F23" s="17" t="n">
        <v>551</v>
      </c>
      <c r="G23" s="17" t="n">
        <v>110</v>
      </c>
      <c r="H23" s="17" t="n">
        <v>0</v>
      </c>
      <c r="I23" s="17" t="n">
        <v>661</v>
      </c>
      <c r="J23" s="50" t="n">
        <v>203</v>
      </c>
      <c r="K23" s="50" t="inlineStr">
        <is>
          <t>09/02/2025</t>
        </is>
      </c>
      <c r="L23" s="50" t="inlineStr">
        <is>
          <t>PDF_מנה_0203</t>
        </is>
      </c>
    </row>
    <row r="24" ht="15" customHeight="1" s="53">
      <c r="A24" s="9" t="n">
        <v>315919936</v>
      </c>
      <c r="B24" s="9" t="inlineStr">
        <is>
          <t>דניאל בנדרימר</t>
        </is>
      </c>
      <c r="C24" s="9" t="inlineStr">
        <is>
          <t>29/10/2024</t>
        </is>
      </c>
      <c r="D24" s="9" t="inlineStr">
        <is>
          <t>29/10/2024</t>
        </is>
      </c>
      <c r="E24" s="9" t="inlineStr">
        <is>
          <t>רגיל</t>
        </is>
      </c>
      <c r="F24" s="17" t="n">
        <v>1102</v>
      </c>
      <c r="G24" s="17" t="n">
        <v>110</v>
      </c>
      <c r="H24" s="17" t="n">
        <v>0</v>
      </c>
      <c r="I24" s="17" t="n">
        <v>1212</v>
      </c>
      <c r="J24" s="50" t="n">
        <v>203</v>
      </c>
      <c r="K24" s="50" t="inlineStr">
        <is>
          <t>09/02/2025</t>
        </is>
      </c>
      <c r="L24" s="50" t="inlineStr">
        <is>
          <t>PDF_מנה_0203</t>
        </is>
      </c>
    </row>
    <row r="25" ht="15" customHeight="1" s="53">
      <c r="A25" s="9" t="n">
        <v>315919936</v>
      </c>
      <c r="B25" s="9" t="inlineStr">
        <is>
          <t>דניאל בנדרימר</t>
        </is>
      </c>
      <c r="C25" s="9" t="inlineStr">
        <is>
          <t>30/10/2024</t>
        </is>
      </c>
      <c r="D25" s="9" t="inlineStr">
        <is>
          <t>30/10/2024</t>
        </is>
      </c>
      <c r="E25" s="9" t="inlineStr">
        <is>
          <t>רגיל</t>
        </is>
      </c>
      <c r="F25" s="17" t="n">
        <v>1102</v>
      </c>
      <c r="G25" s="17" t="n">
        <v>110</v>
      </c>
      <c r="H25" s="17" t="n">
        <v>0</v>
      </c>
      <c r="I25" s="17" t="n">
        <v>1212</v>
      </c>
      <c r="J25" s="50" t="n">
        <v>203</v>
      </c>
      <c r="K25" s="50" t="inlineStr">
        <is>
          <t>09/02/2025</t>
        </is>
      </c>
      <c r="L25" s="50" t="inlineStr">
        <is>
          <t>PDF_מנה_0203</t>
        </is>
      </c>
    </row>
    <row r="26" ht="15" customHeight="1" s="53">
      <c r="A26" s="9" t="n">
        <v>315919936</v>
      </c>
      <c r="B26" s="9" t="inlineStr">
        <is>
          <t>דניאל בנדרימר</t>
        </is>
      </c>
      <c r="C26" s="9" t="inlineStr">
        <is>
          <t>17/11/2024</t>
        </is>
      </c>
      <c r="D26" s="9" t="inlineStr">
        <is>
          <t>21/11/2024</t>
        </is>
      </c>
      <c r="E26" s="9" t="inlineStr">
        <is>
          <t>רגיל</t>
        </is>
      </c>
      <c r="F26" s="17" t="n">
        <v>2718</v>
      </c>
      <c r="G26" s="17" t="n">
        <v>544</v>
      </c>
      <c r="H26" s="17" t="n">
        <v>0</v>
      </c>
      <c r="I26" s="17" t="n">
        <v>3262</v>
      </c>
      <c r="J26" s="50" t="n">
        <v>203</v>
      </c>
      <c r="K26" s="50" t="inlineStr">
        <is>
          <t>09/02/2025</t>
        </is>
      </c>
      <c r="L26" s="50" t="inlineStr">
        <is>
          <t>PDF_מנה_0203</t>
        </is>
      </c>
    </row>
    <row r="27" ht="15" customHeight="1" s="53">
      <c r="A27" s="9" t="n">
        <v>315919936</v>
      </c>
      <c r="B27" s="9" t="inlineStr">
        <is>
          <t>דניאל בנדרימר</t>
        </is>
      </c>
      <c r="C27" s="9" t="inlineStr">
        <is>
          <t>02/12/2024</t>
        </is>
      </c>
      <c r="D27" s="9" t="inlineStr">
        <is>
          <t>02/12/2024</t>
        </is>
      </c>
      <c r="E27" s="9" t="inlineStr">
        <is>
          <t>רגיל</t>
        </is>
      </c>
      <c r="F27" s="17" t="n">
        <v>97</v>
      </c>
      <c r="G27" s="17" t="n">
        <v>0</v>
      </c>
      <c r="H27" s="17" t="n">
        <v>0</v>
      </c>
      <c r="I27" s="17" t="n">
        <v>97</v>
      </c>
      <c r="J27" s="50" t="n">
        <v>204</v>
      </c>
      <c r="K27" s="50" t="inlineStr">
        <is>
          <t>09/02/2025</t>
        </is>
      </c>
      <c r="L27" s="50" t="inlineStr">
        <is>
          <t>PDF_מנה_0204</t>
        </is>
      </c>
    </row>
    <row r="28" ht="15" customHeight="1" s="53">
      <c r="A28" s="9" t="n">
        <v>315919936</v>
      </c>
      <c r="B28" s="9" t="inlineStr">
        <is>
          <t>דניאל בנדרימר</t>
        </is>
      </c>
      <c r="C28" s="9" t="inlineStr">
        <is>
          <t>15/12/2024</t>
        </is>
      </c>
      <c r="D28" s="9" t="inlineStr">
        <is>
          <t>19/12/2024</t>
        </is>
      </c>
      <c r="E28" s="9" t="inlineStr">
        <is>
          <t>רגיל</t>
        </is>
      </c>
      <c r="F28" s="17" t="n">
        <v>484</v>
      </c>
      <c r="G28" s="17" t="n">
        <v>0</v>
      </c>
      <c r="H28" s="17" t="n">
        <v>0</v>
      </c>
      <c r="I28" s="17" t="n">
        <v>484</v>
      </c>
      <c r="J28" s="50" t="n">
        <v>204</v>
      </c>
      <c r="K28" s="50" t="inlineStr">
        <is>
          <t>09/02/2025</t>
        </is>
      </c>
      <c r="L28" s="50" t="inlineStr">
        <is>
          <t>PDF_מנה_0204</t>
        </is>
      </c>
    </row>
    <row r="29" ht="15" customHeight="1" s="53">
      <c r="A29" s="9" t="n">
        <v>11915519</v>
      </c>
      <c r="B29" s="9" t="inlineStr">
        <is>
          <t>מנפרד מרקוביץ'</t>
        </is>
      </c>
      <c r="C29" s="9" t="inlineStr">
        <is>
          <t>24/02/2025</t>
        </is>
      </c>
      <c r="D29" s="9" t="inlineStr">
        <is>
          <t>28/02/2025</t>
        </is>
      </c>
      <c r="E29" s="9" t="inlineStr">
        <is>
          <t>רגיל</t>
        </is>
      </c>
      <c r="F29" s="17" t="n">
        <v>7184</v>
      </c>
      <c r="G29" s="17" t="n">
        <v>1217</v>
      </c>
      <c r="H29" s="17" t="n">
        <v>0</v>
      </c>
      <c r="I29" s="17" t="n">
        <v>8401</v>
      </c>
      <c r="J29" s="50" t="n">
        <v>408</v>
      </c>
      <c r="K29" s="50" t="inlineStr">
        <is>
          <t>23/04/2025</t>
        </is>
      </c>
      <c r="L29" s="50" t="inlineStr">
        <is>
          <t>PDF_מנה_0408</t>
        </is>
      </c>
    </row>
    <row r="30" ht="15" customHeight="1" s="53">
      <c r="A30" s="9" t="n">
        <v>11915519</v>
      </c>
      <c r="B30" s="9" t="inlineStr">
        <is>
          <t>מנפרד מרקוביץ'</t>
        </is>
      </c>
      <c r="C30" s="9" t="inlineStr">
        <is>
          <t>19/03/2025</t>
        </is>
      </c>
      <c r="D30" s="9" t="inlineStr">
        <is>
          <t>20/03/2025</t>
        </is>
      </c>
      <c r="E30" s="9" t="inlineStr">
        <is>
          <t>רגיל</t>
        </is>
      </c>
      <c r="F30" s="17" t="n">
        <v>2873</v>
      </c>
      <c r="G30" s="17" t="n">
        <v>481</v>
      </c>
      <c r="H30" s="17" t="n">
        <v>0</v>
      </c>
      <c r="I30" s="17" t="n">
        <v>3354</v>
      </c>
      <c r="J30" s="50" t="n">
        <v>408</v>
      </c>
      <c r="K30" s="50" t="inlineStr">
        <is>
          <t>23/04/2025</t>
        </is>
      </c>
      <c r="L30" s="50" t="inlineStr">
        <is>
          <t>PDF_מנה_0408</t>
        </is>
      </c>
    </row>
    <row r="31" ht="15" customHeight="1" s="53">
      <c r="A31" s="9" t="n">
        <v>11915519</v>
      </c>
      <c r="B31" s="9" t="inlineStr">
        <is>
          <t>מנפרד מרקוביץ'</t>
        </is>
      </c>
      <c r="C31" s="9" t="inlineStr">
        <is>
          <t>26/03/2025</t>
        </is>
      </c>
      <c r="D31" s="9" t="inlineStr">
        <is>
          <t>26/03/2025</t>
        </is>
      </c>
      <c r="E31" s="9" t="inlineStr">
        <is>
          <t>רגיל</t>
        </is>
      </c>
      <c r="F31" s="17" t="n">
        <v>1437</v>
      </c>
      <c r="G31" s="17" t="n">
        <v>240</v>
      </c>
      <c r="H31" s="17" t="n">
        <v>0</v>
      </c>
      <c r="I31" s="17" t="n">
        <v>1677</v>
      </c>
      <c r="J31" s="50" t="n">
        <v>408</v>
      </c>
      <c r="K31" s="50" t="inlineStr">
        <is>
          <t>23/04/2025</t>
        </is>
      </c>
      <c r="L31" s="50" t="inlineStr">
        <is>
          <t>PDF_מנה_0408</t>
        </is>
      </c>
    </row>
    <row r="32" ht="15" customHeight="1" s="53">
      <c r="A32" s="9" t="n">
        <v>22201347</v>
      </c>
      <c r="B32" s="9" t="inlineStr">
        <is>
          <t>יורם שלמה</t>
        </is>
      </c>
      <c r="C32" s="9" t="inlineStr">
        <is>
          <t>10/02/2025</t>
        </is>
      </c>
      <c r="D32" s="9" t="inlineStr">
        <is>
          <t>10/02/2025</t>
        </is>
      </c>
      <c r="E32" s="9" t="inlineStr">
        <is>
          <t>רגיל</t>
        </is>
      </c>
      <c r="F32" s="17" t="n">
        <v>1174</v>
      </c>
      <c r="G32" s="17" t="n">
        <v>235</v>
      </c>
      <c r="H32" s="17" t="n">
        <v>0</v>
      </c>
      <c r="I32" s="17" t="n">
        <v>1409</v>
      </c>
      <c r="J32" s="50" t="n">
        <v>408</v>
      </c>
      <c r="K32" s="50" t="inlineStr">
        <is>
          <t>23/04/2025</t>
        </is>
      </c>
      <c r="L32" s="50" t="inlineStr">
        <is>
          <t>PDF_מנה_0408</t>
        </is>
      </c>
    </row>
    <row r="33" ht="15" customHeight="1" s="53">
      <c r="A33" s="9" t="n">
        <v>22201347</v>
      </c>
      <c r="B33" s="9" t="inlineStr">
        <is>
          <t>יורם שלמה</t>
        </is>
      </c>
      <c r="C33" s="9" t="inlineStr">
        <is>
          <t>18/02/2025</t>
        </is>
      </c>
      <c r="D33" s="9" t="inlineStr">
        <is>
          <t>19/02/2025</t>
        </is>
      </c>
      <c r="E33" s="9" t="inlineStr">
        <is>
          <t>רגיל</t>
        </is>
      </c>
      <c r="F33" s="17" t="n">
        <v>3287</v>
      </c>
      <c r="G33" s="17" t="n">
        <v>470</v>
      </c>
      <c r="H33" s="17" t="n">
        <v>0</v>
      </c>
      <c r="I33" s="17" t="n">
        <v>3757</v>
      </c>
      <c r="J33" s="50" t="n">
        <v>408</v>
      </c>
      <c r="K33" s="50" t="inlineStr">
        <is>
          <t>23/04/2025</t>
        </is>
      </c>
      <c r="L33" s="50" t="inlineStr">
        <is>
          <t>PDF_מנה_0408</t>
        </is>
      </c>
    </row>
    <row r="34" ht="15" customHeight="1" s="53">
      <c r="A34" s="9" t="n">
        <v>22201347</v>
      </c>
      <c r="B34" s="9" t="inlineStr">
        <is>
          <t>יורם שלמה</t>
        </is>
      </c>
      <c r="C34" s="9" t="inlineStr">
        <is>
          <t>26/02/2025</t>
        </is>
      </c>
      <c r="D34" s="9" t="inlineStr">
        <is>
          <t>26/02/2025</t>
        </is>
      </c>
      <c r="E34" s="9" t="inlineStr">
        <is>
          <t>רגיל</t>
        </is>
      </c>
      <c r="F34" s="17" t="n">
        <v>1174</v>
      </c>
      <c r="G34" s="17" t="n">
        <v>235</v>
      </c>
      <c r="H34" s="17" t="n">
        <v>0</v>
      </c>
      <c r="I34" s="17" t="n">
        <v>1409</v>
      </c>
      <c r="J34" s="50" t="n">
        <v>408</v>
      </c>
      <c r="K34" s="50" t="inlineStr">
        <is>
          <t>23/04/2025</t>
        </is>
      </c>
      <c r="L34" s="50" t="inlineStr">
        <is>
          <t>PDF_מנה_0408</t>
        </is>
      </c>
    </row>
    <row r="35" ht="15" customHeight="1" s="53">
      <c r="A35" s="9" t="n">
        <v>22201347</v>
      </c>
      <c r="B35" s="9" t="inlineStr">
        <is>
          <t>יורם שלמה</t>
        </is>
      </c>
      <c r="C35" s="9" t="inlineStr">
        <is>
          <t>04/03/2025</t>
        </is>
      </c>
      <c r="D35" s="9" t="inlineStr">
        <is>
          <t>04/03/2025</t>
        </is>
      </c>
      <c r="E35" s="9" t="inlineStr">
        <is>
          <t>רגיל</t>
        </is>
      </c>
      <c r="F35" s="17" t="n">
        <v>1233</v>
      </c>
      <c r="G35" s="17" t="n">
        <v>247</v>
      </c>
      <c r="H35" s="17" t="n">
        <v>0</v>
      </c>
      <c r="I35" s="17" t="n">
        <v>1480</v>
      </c>
      <c r="J35" s="50" t="n">
        <v>408</v>
      </c>
      <c r="K35" s="50" t="inlineStr">
        <is>
          <t>23/04/2025</t>
        </is>
      </c>
      <c r="L35" s="50" t="inlineStr">
        <is>
          <t>PDF_מנה_0408</t>
        </is>
      </c>
    </row>
    <row r="36" ht="15" customHeight="1" s="53">
      <c r="A36" s="9" t="n">
        <v>22201347</v>
      </c>
      <c r="B36" s="9" t="inlineStr">
        <is>
          <t>יורם שלמה</t>
        </is>
      </c>
      <c r="C36" s="9" t="inlineStr">
        <is>
          <t>17/03/2025</t>
        </is>
      </c>
      <c r="D36" s="9" t="inlineStr">
        <is>
          <t>17/03/2025</t>
        </is>
      </c>
      <c r="E36" s="9" t="inlineStr">
        <is>
          <t>רגיל</t>
        </is>
      </c>
      <c r="F36" s="17" t="n">
        <v>1233</v>
      </c>
      <c r="G36" s="17" t="n">
        <v>247</v>
      </c>
      <c r="H36" s="17" t="n">
        <v>0</v>
      </c>
      <c r="I36" s="17" t="n">
        <v>1480</v>
      </c>
      <c r="J36" s="50" t="n">
        <v>408</v>
      </c>
      <c r="K36" s="50" t="inlineStr">
        <is>
          <t>23/04/2025</t>
        </is>
      </c>
      <c r="L36" s="50" t="inlineStr">
        <is>
          <t>PDF_מנה_0408</t>
        </is>
      </c>
    </row>
    <row r="37" ht="15" customHeight="1" s="53">
      <c r="A37" s="9" t="n">
        <v>22201347</v>
      </c>
      <c r="B37" s="9" t="inlineStr">
        <is>
          <t>יורם שלמה</t>
        </is>
      </c>
      <c r="C37" s="9" t="inlineStr">
        <is>
          <t>18/03/2025</t>
        </is>
      </c>
      <c r="D37" s="9" t="inlineStr">
        <is>
          <t>19/03/2025</t>
        </is>
      </c>
      <c r="E37" s="9" t="inlineStr">
        <is>
          <t>רגיל</t>
        </is>
      </c>
      <c r="F37" s="17" t="n">
        <v>2466</v>
      </c>
      <c r="G37" s="17" t="n">
        <v>493</v>
      </c>
      <c r="H37" s="17" t="n">
        <v>0</v>
      </c>
      <c r="I37" s="17" t="n">
        <v>2959</v>
      </c>
      <c r="J37" s="50" t="n">
        <v>408</v>
      </c>
      <c r="K37" s="50" t="inlineStr">
        <is>
          <t>23/04/2025</t>
        </is>
      </c>
      <c r="L37" s="50" t="inlineStr">
        <is>
          <t>PDF_מנה_0408</t>
        </is>
      </c>
    </row>
    <row r="38" ht="15" customHeight="1" s="53">
      <c r="A38" s="9" t="n">
        <v>22201347</v>
      </c>
      <c r="B38" s="9" t="inlineStr">
        <is>
          <t>יורם שלמה</t>
        </is>
      </c>
      <c r="C38" s="9" t="inlineStr">
        <is>
          <t>30/03/2025</t>
        </is>
      </c>
      <c r="D38" s="9" t="inlineStr">
        <is>
          <t>31/03/2025</t>
        </is>
      </c>
      <c r="E38" s="9" t="inlineStr">
        <is>
          <t>רגיל</t>
        </is>
      </c>
      <c r="F38" s="17" t="n">
        <v>2466</v>
      </c>
      <c r="G38" s="17" t="n">
        <v>493</v>
      </c>
      <c r="H38" s="17" t="n">
        <v>0</v>
      </c>
      <c r="I38" s="17" t="n">
        <v>2959</v>
      </c>
      <c r="J38" s="50" t="n">
        <v>408</v>
      </c>
      <c r="K38" s="50" t="inlineStr">
        <is>
          <t>23/04/2025</t>
        </is>
      </c>
      <c r="L38" s="50" t="inlineStr">
        <is>
          <t>PDF_מנה_0408</t>
        </is>
      </c>
    </row>
    <row r="39" ht="15" customHeight="1" s="53">
      <c r="A39" s="9" t="n">
        <v>25147505</v>
      </c>
      <c r="B39" s="9" t="inlineStr">
        <is>
          <t>משה בורך</t>
        </is>
      </c>
      <c r="C39" s="9" t="inlineStr">
        <is>
          <t>23/02/2025</t>
        </is>
      </c>
      <c r="D39" s="9" t="inlineStr">
        <is>
          <t>23/02/2025</t>
        </is>
      </c>
      <c r="E39" s="9" t="inlineStr">
        <is>
          <t>רגיל</t>
        </is>
      </c>
      <c r="F39" s="17" t="n">
        <v>1107</v>
      </c>
      <c r="G39" s="17" t="n">
        <v>158</v>
      </c>
      <c r="H39" s="17" t="n">
        <v>0</v>
      </c>
      <c r="I39" s="17" t="n">
        <v>1265</v>
      </c>
      <c r="J39" s="50" t="n">
        <v>408</v>
      </c>
      <c r="K39" s="50" t="inlineStr">
        <is>
          <t>23/04/2025</t>
        </is>
      </c>
      <c r="L39" s="50" t="inlineStr">
        <is>
          <t>PDF_מנה_0408</t>
        </is>
      </c>
    </row>
    <row r="40" ht="15" customHeight="1" s="53">
      <c r="A40" s="9" t="n">
        <v>11915519</v>
      </c>
      <c r="B40" s="9" t="inlineStr">
        <is>
          <t>מנפרד מרקוביץ'</t>
        </is>
      </c>
      <c r="C40" s="9" t="inlineStr">
        <is>
          <t>02/04/2025</t>
        </is>
      </c>
      <c r="D40" s="9" t="inlineStr">
        <is>
          <t>02/04/2025</t>
        </is>
      </c>
      <c r="E40" s="9" t="inlineStr">
        <is>
          <t>רגיל</t>
        </is>
      </c>
      <c r="F40" s="17" t="n">
        <v>1251</v>
      </c>
      <c r="G40" s="17" t="n">
        <v>250</v>
      </c>
      <c r="H40" s="17" t="n">
        <v>0</v>
      </c>
      <c r="I40" s="17" t="n">
        <v>1501</v>
      </c>
      <c r="J40" s="50" t="n">
        <v>802</v>
      </c>
      <c r="K40" s="50" t="inlineStr">
        <is>
          <t>08/08/2025</t>
        </is>
      </c>
      <c r="L40" s="50" t="inlineStr">
        <is>
          <t>PDF_מנה_0802</t>
        </is>
      </c>
    </row>
    <row r="41" ht="15" customHeight="1" s="53">
      <c r="A41" s="9" t="n">
        <v>11915519</v>
      </c>
      <c r="B41" s="9" t="inlineStr">
        <is>
          <t>מנפרד מרקוביץ'</t>
        </is>
      </c>
      <c r="C41" s="9" t="inlineStr">
        <is>
          <t>08/04/2025</t>
        </is>
      </c>
      <c r="D41" s="9" t="inlineStr">
        <is>
          <t>08/04/2025</t>
        </is>
      </c>
      <c r="E41" s="9" t="inlineStr">
        <is>
          <t>רגיל</t>
        </is>
      </c>
      <c r="F41" s="17" t="n">
        <v>1251</v>
      </c>
      <c r="G41" s="17" t="n">
        <v>250</v>
      </c>
      <c r="H41" s="17" t="n">
        <v>0</v>
      </c>
      <c r="I41" s="17" t="n">
        <v>1501</v>
      </c>
      <c r="J41" s="50" t="n">
        <v>802</v>
      </c>
      <c r="K41" s="50" t="inlineStr">
        <is>
          <t>08/08/2025</t>
        </is>
      </c>
      <c r="L41" s="50" t="inlineStr">
        <is>
          <t>PDF_מנה_0802</t>
        </is>
      </c>
    </row>
    <row r="42" ht="15" customHeight="1" s="53">
      <c r="A42" s="9" t="n">
        <v>11915519</v>
      </c>
      <c r="B42" s="9" t="inlineStr">
        <is>
          <t>מנפרד מרקוביץ'</t>
        </is>
      </c>
      <c r="C42" s="9" t="inlineStr">
        <is>
          <t>04/05/2025</t>
        </is>
      </c>
      <c r="D42" s="9" t="inlineStr">
        <is>
          <t>04/05/2025</t>
        </is>
      </c>
      <c r="E42" s="9" t="inlineStr">
        <is>
          <t>רגיל</t>
        </is>
      </c>
      <c r="F42" s="17" t="n">
        <v>891</v>
      </c>
      <c r="G42" s="17" t="n">
        <v>178</v>
      </c>
      <c r="H42" s="17" t="n">
        <v>0</v>
      </c>
      <c r="I42" s="17" t="n">
        <v>1069</v>
      </c>
      <c r="J42" s="50" t="n">
        <v>802</v>
      </c>
      <c r="K42" s="50" t="inlineStr">
        <is>
          <t>08/08/2025</t>
        </is>
      </c>
      <c r="L42" s="50" t="inlineStr">
        <is>
          <t>PDF_מנה_0802</t>
        </is>
      </c>
    </row>
    <row r="43" ht="15" customHeight="1" s="53">
      <c r="A43" s="9" t="n">
        <v>11915519</v>
      </c>
      <c r="B43" s="9" t="inlineStr">
        <is>
          <t>מנפרד מרקוביץ'</t>
        </is>
      </c>
      <c r="C43" s="9" t="inlineStr">
        <is>
          <t>07/05/2025</t>
        </is>
      </c>
      <c r="D43" s="9" t="inlineStr">
        <is>
          <t>07/05/2025</t>
        </is>
      </c>
      <c r="E43" s="9" t="inlineStr">
        <is>
          <t>רגיל</t>
        </is>
      </c>
      <c r="F43" s="17" t="n">
        <v>891</v>
      </c>
      <c r="G43" s="17" t="n">
        <v>178</v>
      </c>
      <c r="H43" s="17" t="n">
        <v>0</v>
      </c>
      <c r="I43" s="17" t="n">
        <v>1069</v>
      </c>
      <c r="J43" s="50" t="n">
        <v>802</v>
      </c>
      <c r="K43" s="50" t="inlineStr">
        <is>
          <t>08/08/2025</t>
        </is>
      </c>
      <c r="L43" s="50" t="inlineStr">
        <is>
          <t>PDF_מנה_0802</t>
        </is>
      </c>
    </row>
    <row r="44" ht="15" customHeight="1" s="53">
      <c r="A44" s="9" t="n">
        <v>11915519</v>
      </c>
      <c r="B44" s="9" t="inlineStr">
        <is>
          <t>מנפרד מרקוביץ'</t>
        </is>
      </c>
      <c r="C44" s="9" t="inlineStr">
        <is>
          <t>12/05/2025</t>
        </is>
      </c>
      <c r="D44" s="9" t="inlineStr">
        <is>
          <t>12/05/2025</t>
        </is>
      </c>
      <c r="E44" s="9" t="inlineStr">
        <is>
          <t>רגיל</t>
        </is>
      </c>
      <c r="F44" s="17" t="n">
        <v>891</v>
      </c>
      <c r="G44" s="17" t="n">
        <v>178</v>
      </c>
      <c r="H44" s="17" t="n">
        <v>0</v>
      </c>
      <c r="I44" s="17" t="n">
        <v>1069</v>
      </c>
      <c r="J44" s="50" t="n">
        <v>802</v>
      </c>
      <c r="K44" s="50" t="inlineStr">
        <is>
          <t>08/08/2025</t>
        </is>
      </c>
      <c r="L44" s="50" t="inlineStr">
        <is>
          <t>PDF_מנה_0802</t>
        </is>
      </c>
    </row>
    <row r="45" ht="15" customHeight="1" s="53">
      <c r="A45" s="9" t="n">
        <v>11915519</v>
      </c>
      <c r="B45" s="9" t="inlineStr">
        <is>
          <t>מנפרד מרקוביץ'</t>
        </is>
      </c>
      <c r="C45" s="9" t="inlineStr">
        <is>
          <t>24/05/2025</t>
        </is>
      </c>
      <c r="D45" s="9" t="inlineStr">
        <is>
          <t>24/05/2025</t>
        </is>
      </c>
      <c r="E45" s="9" t="inlineStr">
        <is>
          <t>רגיל</t>
        </is>
      </c>
      <c r="F45" s="17" t="n">
        <v>891</v>
      </c>
      <c r="G45" s="17" t="n">
        <v>178</v>
      </c>
      <c r="H45" s="17" t="n">
        <v>0</v>
      </c>
      <c r="I45" s="17" t="n">
        <v>1069</v>
      </c>
      <c r="J45" s="50" t="n">
        <v>802</v>
      </c>
      <c r="K45" s="50" t="inlineStr">
        <is>
          <t>08/08/2025</t>
        </is>
      </c>
      <c r="L45" s="50" t="inlineStr">
        <is>
          <t>PDF_מנה_0802</t>
        </is>
      </c>
    </row>
    <row r="46" ht="15" customHeight="1" s="53">
      <c r="A46" s="9" t="n">
        <v>11915519</v>
      </c>
      <c r="B46" s="9" t="inlineStr">
        <is>
          <t>מנפרד מרקוביץ'</t>
        </is>
      </c>
      <c r="C46" s="9" t="inlineStr">
        <is>
          <t>25/05/2025</t>
        </is>
      </c>
      <c r="D46" s="9" t="inlineStr">
        <is>
          <t>31/05/2025</t>
        </is>
      </c>
      <c r="E46" s="9" t="inlineStr">
        <is>
          <t>רגיל</t>
        </is>
      </c>
      <c r="F46" s="17" t="n">
        <v>6234</v>
      </c>
      <c r="G46" s="17" t="n">
        <v>1247</v>
      </c>
      <c r="H46" s="17" t="n">
        <v>0</v>
      </c>
      <c r="I46" s="17" t="n">
        <v>7481</v>
      </c>
      <c r="J46" s="50" t="n">
        <v>802</v>
      </c>
      <c r="K46" s="50" t="inlineStr">
        <is>
          <t>08/08/2025</t>
        </is>
      </c>
      <c r="L46" s="50" t="inlineStr">
        <is>
          <t>PDF_מנה_0802</t>
        </is>
      </c>
    </row>
    <row r="47" ht="15" customHeight="1" s="53">
      <c r="A47" s="9" t="n">
        <v>11915519</v>
      </c>
      <c r="B47" s="9" t="inlineStr">
        <is>
          <t>מנפרד מרקוביץ'</t>
        </is>
      </c>
      <c r="C47" s="9" t="inlineStr">
        <is>
          <t>01/06/2025</t>
        </is>
      </c>
      <c r="D47" s="9" t="inlineStr">
        <is>
          <t>30/06/2025</t>
        </is>
      </c>
      <c r="E47" s="9" t="inlineStr">
        <is>
          <t>רגיל</t>
        </is>
      </c>
      <c r="F47" s="17" t="n">
        <v>26717</v>
      </c>
      <c r="G47" s="17" t="n">
        <v>5333</v>
      </c>
      <c r="H47" s="17" t="n">
        <v>0</v>
      </c>
      <c r="I47" s="17" t="n">
        <v>32050</v>
      </c>
      <c r="J47" s="50" t="n">
        <v>802</v>
      </c>
      <c r="K47" s="50" t="inlineStr">
        <is>
          <t>08/08/2025</t>
        </is>
      </c>
      <c r="L47" s="50" t="inlineStr">
        <is>
          <t>PDF_מנה_0802</t>
        </is>
      </c>
    </row>
    <row r="48" ht="15" customHeight="1" s="53">
      <c r="A48" s="9" t="n">
        <v>11915519</v>
      </c>
      <c r="B48" s="9" t="inlineStr">
        <is>
          <t>מנפרד מרקוביץ'</t>
        </is>
      </c>
      <c r="C48" s="9" t="inlineStr">
        <is>
          <t>01/07/2025</t>
        </is>
      </c>
      <c r="D48" s="9" t="inlineStr">
        <is>
          <t>31/07/2025</t>
        </is>
      </c>
      <c r="E48" s="9" t="inlineStr">
        <is>
          <t>רגיל</t>
        </is>
      </c>
      <c r="F48" s="17" t="n">
        <v>27607</v>
      </c>
      <c r="G48" s="17" t="n">
        <v>5448</v>
      </c>
      <c r="H48" s="17" t="n">
        <v>0</v>
      </c>
      <c r="I48" s="17" t="n">
        <v>33055</v>
      </c>
      <c r="J48" s="50" t="n">
        <v>802</v>
      </c>
      <c r="K48" s="50" t="inlineStr">
        <is>
          <t>08/08/2025</t>
        </is>
      </c>
      <c r="L48" s="50" t="inlineStr">
        <is>
          <t>PDF_מנה_0802</t>
        </is>
      </c>
    </row>
    <row r="49" ht="15" customHeight="1" s="53">
      <c r="A49" s="9" t="n">
        <v>22201347</v>
      </c>
      <c r="B49" s="9" t="inlineStr">
        <is>
          <t>יורם שלמה</t>
        </is>
      </c>
      <c r="C49" s="9" t="inlineStr">
        <is>
          <t>01/04/2025</t>
        </is>
      </c>
      <c r="D49" s="9" t="inlineStr">
        <is>
          <t>03/04/2025</t>
        </is>
      </c>
      <c r="E49" s="9" t="inlineStr">
        <is>
          <t>רגיל</t>
        </is>
      </c>
      <c r="F49" s="17" t="n">
        <v>3798</v>
      </c>
      <c r="G49" s="17" t="n">
        <v>760</v>
      </c>
      <c r="H49" s="17" t="n">
        <v>0</v>
      </c>
      <c r="I49" s="17" t="n">
        <v>4558</v>
      </c>
      <c r="J49" s="50" t="n">
        <v>802</v>
      </c>
      <c r="K49" s="50" t="inlineStr">
        <is>
          <t>08/08/2025</t>
        </is>
      </c>
      <c r="L49" s="50" t="inlineStr">
        <is>
          <t>PDF_מנה_0802</t>
        </is>
      </c>
    </row>
    <row r="50" ht="15" customHeight="1" s="53">
      <c r="A50" s="9" t="n">
        <v>22201347</v>
      </c>
      <c r="B50" s="9" t="inlineStr">
        <is>
          <t>יורם שלמה</t>
        </is>
      </c>
      <c r="C50" s="9" t="inlineStr">
        <is>
          <t>09/04/2025</t>
        </is>
      </c>
      <c r="D50" s="9" t="inlineStr">
        <is>
          <t>10/04/2025</t>
        </is>
      </c>
      <c r="E50" s="9" t="inlineStr">
        <is>
          <t>רגיל</t>
        </is>
      </c>
      <c r="F50" s="17" t="n">
        <v>2532</v>
      </c>
      <c r="G50" s="17" t="n">
        <v>506</v>
      </c>
      <c r="H50" s="17" t="n">
        <v>0</v>
      </c>
      <c r="I50" s="17" t="n">
        <v>3038</v>
      </c>
      <c r="J50" s="50" t="n">
        <v>802</v>
      </c>
      <c r="K50" s="50" t="inlineStr">
        <is>
          <t>08/08/2025</t>
        </is>
      </c>
      <c r="L50" s="50" t="inlineStr">
        <is>
          <t>PDF_מנה_0802</t>
        </is>
      </c>
    </row>
    <row r="51" ht="15" customHeight="1" s="53">
      <c r="A51" s="9" t="n">
        <v>22201347</v>
      </c>
      <c r="B51" s="9" t="inlineStr">
        <is>
          <t>יורם שלמה</t>
        </is>
      </c>
      <c r="C51" s="9" t="inlineStr">
        <is>
          <t>04/05/2025</t>
        </is>
      </c>
      <c r="D51" s="9" t="inlineStr">
        <is>
          <t>08/05/2025</t>
        </is>
      </c>
      <c r="E51" s="9" t="inlineStr">
        <is>
          <t>רגיל</t>
        </is>
      </c>
      <c r="F51" s="17" t="n">
        <v>5014</v>
      </c>
      <c r="G51" s="17" t="n">
        <v>1254</v>
      </c>
      <c r="H51" s="17" t="n">
        <v>0</v>
      </c>
      <c r="I51" s="17" t="n">
        <v>6268</v>
      </c>
      <c r="J51" s="50" t="n">
        <v>802</v>
      </c>
      <c r="K51" s="50" t="inlineStr">
        <is>
          <t>08/08/2025</t>
        </is>
      </c>
      <c r="L51" s="50" t="inlineStr">
        <is>
          <t>PDF_מנה_0802</t>
        </is>
      </c>
    </row>
    <row r="52" ht="15" customHeight="1" s="53">
      <c r="A52" s="9" t="n">
        <v>22201347</v>
      </c>
      <c r="B52" s="9" t="inlineStr">
        <is>
          <t>יורם שלמה</t>
        </is>
      </c>
      <c r="C52" s="9" t="inlineStr">
        <is>
          <t>12/05/2025</t>
        </is>
      </c>
      <c r="D52" s="9" t="inlineStr">
        <is>
          <t>12/05/2025</t>
        </is>
      </c>
      <c r="E52" s="9" t="inlineStr">
        <is>
          <t>רגיל</t>
        </is>
      </c>
      <c r="F52" s="17" t="n">
        <v>1254</v>
      </c>
      <c r="G52" s="17" t="n">
        <v>251</v>
      </c>
      <c r="H52" s="17" t="n">
        <v>0</v>
      </c>
      <c r="I52" s="17" t="n">
        <v>1505</v>
      </c>
      <c r="J52" s="50" t="n">
        <v>802</v>
      </c>
      <c r="K52" s="50" t="inlineStr">
        <is>
          <t>08/08/2025</t>
        </is>
      </c>
      <c r="L52" s="50" t="inlineStr">
        <is>
          <t>PDF_מנה_0802</t>
        </is>
      </c>
    </row>
    <row r="53" ht="15" customHeight="1" s="53">
      <c r="A53" s="9" t="n">
        <v>22201347</v>
      </c>
      <c r="B53" s="9" t="inlineStr">
        <is>
          <t>יורם שלמה</t>
        </is>
      </c>
      <c r="C53" s="9" t="inlineStr">
        <is>
          <t>28/05/2025</t>
        </is>
      </c>
      <c r="D53" s="9" t="inlineStr">
        <is>
          <t>28/05/2025</t>
        </is>
      </c>
      <c r="E53" s="9" t="inlineStr">
        <is>
          <t>רגיל</t>
        </is>
      </c>
      <c r="F53" s="17" t="n">
        <v>1254</v>
      </c>
      <c r="G53" s="17" t="n">
        <v>251</v>
      </c>
      <c r="H53" s="17" t="n">
        <v>0</v>
      </c>
      <c r="I53" s="17" t="n">
        <v>1505</v>
      </c>
      <c r="J53" s="50" t="n">
        <v>802</v>
      </c>
      <c r="K53" s="50" t="inlineStr">
        <is>
          <t>08/08/2025</t>
        </is>
      </c>
      <c r="L53" s="50" t="inlineStr">
        <is>
          <t>PDF_מנה_0802</t>
        </is>
      </c>
    </row>
    <row r="54" ht="15" customHeight="1" s="53">
      <c r="A54" s="9" t="n">
        <v>22201347</v>
      </c>
      <c r="B54" s="9" t="inlineStr">
        <is>
          <t>יורם שלמה</t>
        </is>
      </c>
      <c r="C54" s="9" t="inlineStr">
        <is>
          <t>05/06/2025</t>
        </is>
      </c>
      <c r="D54" s="9" t="inlineStr">
        <is>
          <t>05/06/2025</t>
        </is>
      </c>
      <c r="E54" s="9" t="inlineStr">
        <is>
          <t>רגיל</t>
        </is>
      </c>
      <c r="F54" s="17" t="n">
        <v>1294</v>
      </c>
      <c r="G54" s="17" t="n">
        <v>259</v>
      </c>
      <c r="H54" s="17" t="n">
        <v>0</v>
      </c>
      <c r="I54" s="17" t="n">
        <v>1553</v>
      </c>
      <c r="J54" s="50" t="n">
        <v>802</v>
      </c>
      <c r="K54" s="50" t="inlineStr">
        <is>
          <t>08/08/2025</t>
        </is>
      </c>
      <c r="L54" s="50" t="inlineStr">
        <is>
          <t>PDF_מנה_0802</t>
        </is>
      </c>
    </row>
    <row r="55" ht="15" customHeight="1" s="53">
      <c r="A55" s="9" t="n">
        <v>22201347</v>
      </c>
      <c r="B55" s="9" t="inlineStr">
        <is>
          <t>יורם שלמה</t>
        </is>
      </c>
      <c r="C55" s="9" t="inlineStr">
        <is>
          <t>11/06/2025</t>
        </is>
      </c>
      <c r="D55" s="9" t="inlineStr">
        <is>
          <t>12/06/2025</t>
        </is>
      </c>
      <c r="E55" s="9" t="inlineStr">
        <is>
          <t>רגיל</t>
        </is>
      </c>
      <c r="F55" s="17" t="n">
        <v>2587</v>
      </c>
      <c r="G55" s="17" t="n">
        <v>517</v>
      </c>
      <c r="H55" s="17" t="n">
        <v>0</v>
      </c>
      <c r="I55" s="17" t="n">
        <v>3104</v>
      </c>
      <c r="J55" s="50" t="n">
        <v>802</v>
      </c>
      <c r="K55" s="50" t="inlineStr">
        <is>
          <t>08/08/2025</t>
        </is>
      </c>
      <c r="L55" s="50" t="inlineStr">
        <is>
          <t>PDF_מנה_0802</t>
        </is>
      </c>
    </row>
    <row r="56" ht="15" customHeight="1" s="53">
      <c r="A56" s="9" t="n">
        <v>25147505</v>
      </c>
      <c r="B56" s="9" t="inlineStr">
        <is>
          <t>משה בורך</t>
        </is>
      </c>
      <c r="C56" s="9" t="inlineStr">
        <is>
          <t>05/03/2025</t>
        </is>
      </c>
      <c r="D56" s="9" t="inlineStr">
        <is>
          <t>05/03/2025</t>
        </is>
      </c>
      <c r="E56" s="9" t="inlineStr">
        <is>
          <t>רגיל</t>
        </is>
      </c>
      <c r="F56" s="17" t="n">
        <v>812</v>
      </c>
      <c r="G56" s="17" t="n">
        <v>162</v>
      </c>
      <c r="H56" s="17" t="n">
        <v>0</v>
      </c>
      <c r="I56" s="17" t="n">
        <v>974</v>
      </c>
      <c r="J56" s="50" t="n">
        <v>802</v>
      </c>
      <c r="K56" s="50" t="inlineStr">
        <is>
          <t>08/08/2025</t>
        </is>
      </c>
      <c r="L56" s="50" t="inlineStr">
        <is>
          <t>PDF_מנה_0802</t>
        </is>
      </c>
    </row>
    <row r="57" ht="15" customHeight="1" s="53">
      <c r="A57" s="9" t="n">
        <v>25147505</v>
      </c>
      <c r="B57" s="9" t="inlineStr">
        <is>
          <t>משה בורך</t>
        </is>
      </c>
      <c r="C57" s="9" t="inlineStr">
        <is>
          <t>24/03/2025</t>
        </is>
      </c>
      <c r="D57" s="9" t="inlineStr">
        <is>
          <t>25/03/2025</t>
        </is>
      </c>
      <c r="E57" s="9" t="inlineStr">
        <is>
          <t>רגיל</t>
        </is>
      </c>
      <c r="F57" s="17" t="n">
        <v>1623</v>
      </c>
      <c r="G57" s="17" t="n">
        <v>325</v>
      </c>
      <c r="H57" s="17" t="n">
        <v>0</v>
      </c>
      <c r="I57" s="17" t="n">
        <v>1948</v>
      </c>
      <c r="J57" s="50" t="n">
        <v>802</v>
      </c>
      <c r="K57" s="50" t="inlineStr">
        <is>
          <t>08/08/2025</t>
        </is>
      </c>
      <c r="L57" s="50" t="inlineStr">
        <is>
          <t>PDF_מנה_0802</t>
        </is>
      </c>
    </row>
    <row r="58" ht="15" customHeight="1" s="53">
      <c r="A58" s="9" t="n">
        <v>25147505</v>
      </c>
      <c r="B58" s="9" t="inlineStr">
        <is>
          <t>משה בורך</t>
        </is>
      </c>
      <c r="C58" s="9" t="inlineStr">
        <is>
          <t>27/03/2025</t>
        </is>
      </c>
      <c r="D58" s="9" t="inlineStr">
        <is>
          <t>27/03/2025</t>
        </is>
      </c>
      <c r="E58" s="9" t="inlineStr">
        <is>
          <t>רגיל</t>
        </is>
      </c>
      <c r="F58" s="17" t="n">
        <v>812</v>
      </c>
      <c r="G58" s="17" t="n">
        <v>162</v>
      </c>
      <c r="H58" s="17" t="n">
        <v>0</v>
      </c>
      <c r="I58" s="17" t="n">
        <v>974</v>
      </c>
      <c r="J58" s="50" t="n">
        <v>802</v>
      </c>
      <c r="K58" s="50" t="inlineStr">
        <is>
          <t>08/08/2025</t>
        </is>
      </c>
      <c r="L58" s="50" t="inlineStr">
        <is>
          <t>PDF_מנה_0802</t>
        </is>
      </c>
    </row>
    <row r="59" ht="15" customHeight="1" s="53">
      <c r="A59" s="9" t="n">
        <v>25147505</v>
      </c>
      <c r="B59" s="9" t="inlineStr">
        <is>
          <t>משה בורך</t>
        </is>
      </c>
      <c r="C59" s="9" t="inlineStr">
        <is>
          <t>21/04/2025</t>
        </is>
      </c>
      <c r="D59" s="9" t="inlineStr">
        <is>
          <t>21/04/2025</t>
        </is>
      </c>
      <c r="E59" s="9" t="inlineStr">
        <is>
          <t>רגיל</t>
        </is>
      </c>
      <c r="F59" s="17" t="n">
        <v>813</v>
      </c>
      <c r="G59" s="17" t="n">
        <v>163</v>
      </c>
      <c r="H59" s="17" t="n">
        <v>0</v>
      </c>
      <c r="I59" s="17" t="n">
        <v>976</v>
      </c>
      <c r="J59" s="50" t="n">
        <v>802</v>
      </c>
      <c r="K59" s="50" t="inlineStr">
        <is>
          <t>08/08/2025</t>
        </is>
      </c>
      <c r="L59" s="50" t="inlineStr">
        <is>
          <t>PDF_מנה_0802</t>
        </is>
      </c>
    </row>
    <row r="60" ht="15" customHeight="1" s="53">
      <c r="A60" s="9" t="n">
        <v>25147505</v>
      </c>
      <c r="B60" s="9" t="inlineStr">
        <is>
          <t>משה בורך</t>
        </is>
      </c>
      <c r="C60" s="9" t="inlineStr">
        <is>
          <t>04/05/2025</t>
        </is>
      </c>
      <c r="D60" s="9" t="inlineStr">
        <is>
          <t>04/05/2025</t>
        </is>
      </c>
      <c r="E60" s="9" t="inlineStr">
        <is>
          <t>רגיל</t>
        </is>
      </c>
      <c r="F60" s="17" t="n">
        <v>805</v>
      </c>
      <c r="G60" s="17" t="n">
        <v>161</v>
      </c>
      <c r="H60" s="17" t="n">
        <v>0</v>
      </c>
      <c r="I60" s="17" t="n">
        <v>966</v>
      </c>
      <c r="J60" s="50" t="n">
        <v>802</v>
      </c>
      <c r="K60" s="50" t="inlineStr">
        <is>
          <t>08/08/2025</t>
        </is>
      </c>
      <c r="L60" s="50" t="inlineStr">
        <is>
          <t>PDF_מנה_0802</t>
        </is>
      </c>
    </row>
    <row r="61" ht="15" customHeight="1" s="53">
      <c r="A61" s="9" t="n">
        <v>25147505</v>
      </c>
      <c r="B61" s="9" t="inlineStr">
        <is>
          <t>משה בורך</t>
        </is>
      </c>
      <c r="C61" s="9" t="inlineStr">
        <is>
          <t>12/05/2025</t>
        </is>
      </c>
      <c r="D61" s="9" t="inlineStr">
        <is>
          <t>15/05/2025</t>
        </is>
      </c>
      <c r="E61" s="9" t="inlineStr">
        <is>
          <t>רגיל</t>
        </is>
      </c>
      <c r="F61" s="17" t="n">
        <v>3221</v>
      </c>
      <c r="G61" s="17" t="n">
        <v>644</v>
      </c>
      <c r="H61" s="17" t="n">
        <v>0</v>
      </c>
      <c r="I61" s="17" t="n">
        <v>3865</v>
      </c>
      <c r="J61" s="50" t="n">
        <v>802</v>
      </c>
      <c r="K61" s="50" t="inlineStr">
        <is>
          <t>08/08/2025</t>
        </is>
      </c>
      <c r="L61" s="50" t="inlineStr">
        <is>
          <t>PDF_מנה_0802</t>
        </is>
      </c>
    </row>
    <row r="62" ht="15" customHeight="1" s="53">
      <c r="A62" s="9" t="n">
        <v>25147505</v>
      </c>
      <c r="B62" s="9" t="inlineStr">
        <is>
          <t>משה בורך</t>
        </is>
      </c>
      <c r="C62" s="9" t="inlineStr">
        <is>
          <t>19/05/2025</t>
        </is>
      </c>
      <c r="D62" s="9" t="inlineStr">
        <is>
          <t>22/05/2025</t>
        </is>
      </c>
      <c r="E62" s="9" t="inlineStr">
        <is>
          <t>רגיל</t>
        </is>
      </c>
      <c r="F62" s="17" t="n">
        <v>3221</v>
      </c>
      <c r="G62" s="17" t="n">
        <v>644</v>
      </c>
      <c r="H62" s="17" t="n">
        <v>0</v>
      </c>
      <c r="I62" s="17" t="n">
        <v>3865</v>
      </c>
      <c r="J62" s="50" t="n">
        <v>802</v>
      </c>
      <c r="K62" s="50" t="inlineStr">
        <is>
          <t>08/08/2025</t>
        </is>
      </c>
      <c r="L62" s="50" t="inlineStr">
        <is>
          <t>PDF_מנה_0802</t>
        </is>
      </c>
    </row>
    <row r="63" ht="15" customHeight="1" s="53">
      <c r="A63" s="9" t="n">
        <v>25147505</v>
      </c>
      <c r="B63" s="9" t="inlineStr">
        <is>
          <t>משה בורך</t>
        </is>
      </c>
      <c r="C63" s="9" t="inlineStr">
        <is>
          <t>25/05/2025</t>
        </is>
      </c>
      <c r="D63" s="9" t="inlineStr">
        <is>
          <t>27/05/2025</t>
        </is>
      </c>
      <c r="E63" s="9" t="inlineStr">
        <is>
          <t>רגיל</t>
        </is>
      </c>
      <c r="F63" s="17" t="n">
        <v>2415</v>
      </c>
      <c r="G63" s="17" t="n">
        <v>483</v>
      </c>
      <c r="H63" s="17" t="n">
        <v>0</v>
      </c>
      <c r="I63" s="17" t="n">
        <v>2898</v>
      </c>
      <c r="J63" s="50" t="n">
        <v>802</v>
      </c>
      <c r="K63" s="50" t="inlineStr">
        <is>
          <t>08/08/2025</t>
        </is>
      </c>
      <c r="L63" s="50" t="inlineStr">
        <is>
          <t>PDF_מנה_0802</t>
        </is>
      </c>
    </row>
    <row r="64" ht="15" customHeight="1" s="53">
      <c r="A64" s="9" t="n">
        <v>25147505</v>
      </c>
      <c r="B64" s="9" t="inlineStr">
        <is>
          <t>משה בורך</t>
        </is>
      </c>
      <c r="C64" s="9" t="inlineStr">
        <is>
          <t>15/07/2025</t>
        </is>
      </c>
      <c r="D64" s="9" t="inlineStr">
        <is>
          <t>15/07/2025</t>
        </is>
      </c>
      <c r="E64" s="9" t="inlineStr">
        <is>
          <t>רגיל</t>
        </is>
      </c>
      <c r="F64" s="17" t="n">
        <v>775</v>
      </c>
      <c r="G64" s="17" t="n">
        <v>155</v>
      </c>
      <c r="H64" s="17" t="n">
        <v>0</v>
      </c>
      <c r="I64" s="17" t="n">
        <v>930</v>
      </c>
      <c r="J64" s="50" t="n">
        <v>802</v>
      </c>
      <c r="K64" s="50" t="inlineStr">
        <is>
          <t>08/08/2025</t>
        </is>
      </c>
      <c r="L64" s="50" t="inlineStr">
        <is>
          <t>PDF_מנה_0802</t>
        </is>
      </c>
    </row>
    <row r="65" ht="15" customHeight="1" s="53">
      <c r="A65" s="9" t="n">
        <v>25155235</v>
      </c>
      <c r="B65" s="9" t="inlineStr">
        <is>
          <t>נתן פרדר</t>
        </is>
      </c>
      <c r="C65" s="9" t="inlineStr">
        <is>
          <t>10/03/2025</t>
        </is>
      </c>
      <c r="D65" s="9" t="inlineStr">
        <is>
          <t>11/03/2025</t>
        </is>
      </c>
      <c r="E65" s="9" t="inlineStr">
        <is>
          <t>רגיל</t>
        </is>
      </c>
      <c r="F65" s="17" t="n">
        <v>4722</v>
      </c>
      <c r="G65" s="17" t="n">
        <v>472</v>
      </c>
      <c r="H65" s="17" t="n">
        <v>0</v>
      </c>
      <c r="I65" s="17" t="n">
        <v>5194</v>
      </c>
      <c r="J65" s="50" t="n">
        <v>802</v>
      </c>
      <c r="K65" s="50" t="inlineStr">
        <is>
          <t>08/08/2025</t>
        </is>
      </c>
      <c r="L65" s="50" t="inlineStr">
        <is>
          <t>PDF_מנה_0802</t>
        </is>
      </c>
    </row>
    <row r="66" ht="15" customHeight="1" s="53">
      <c r="A66" s="9" t="n">
        <v>25155235</v>
      </c>
      <c r="B66" s="9" t="inlineStr">
        <is>
          <t>נתן פרדר</t>
        </is>
      </c>
      <c r="C66" s="9" t="inlineStr">
        <is>
          <t>12/03/2025</t>
        </is>
      </c>
      <c r="D66" s="9" t="inlineStr">
        <is>
          <t>13/03/2025</t>
        </is>
      </c>
      <c r="E66" s="9" t="inlineStr">
        <is>
          <t>רגיל</t>
        </is>
      </c>
      <c r="F66" s="17" t="n">
        <v>4722</v>
      </c>
      <c r="G66" s="17" t="n">
        <v>472</v>
      </c>
      <c r="H66" s="17" t="n">
        <v>0</v>
      </c>
      <c r="I66" s="17" t="n">
        <v>5194</v>
      </c>
      <c r="J66" s="50" t="n">
        <v>802</v>
      </c>
      <c r="K66" s="50" t="inlineStr">
        <is>
          <t>08/08/2025</t>
        </is>
      </c>
      <c r="L66" s="50" t="inlineStr">
        <is>
          <t>PDF_מנה_0802</t>
        </is>
      </c>
    </row>
    <row r="67" ht="15" customHeight="1" s="53">
      <c r="A67" s="9" t="n">
        <v>25155235</v>
      </c>
      <c r="B67" s="9" t="inlineStr">
        <is>
          <t>נתן פרדר</t>
        </is>
      </c>
      <c r="C67" s="9" t="inlineStr">
        <is>
          <t>17/03/2025</t>
        </is>
      </c>
      <c r="D67" s="9" t="inlineStr">
        <is>
          <t>18/03/2025</t>
        </is>
      </c>
      <c r="E67" s="9" t="inlineStr">
        <is>
          <t>רגיל</t>
        </is>
      </c>
      <c r="F67" s="17" t="n">
        <v>2361</v>
      </c>
      <c r="G67" s="17" t="n">
        <v>472</v>
      </c>
      <c r="H67" s="17" t="n">
        <v>0</v>
      </c>
      <c r="I67" s="17" t="n">
        <v>2833</v>
      </c>
      <c r="J67" s="50" t="n">
        <v>802</v>
      </c>
      <c r="K67" s="50" t="inlineStr">
        <is>
          <t>08/08/2025</t>
        </is>
      </c>
      <c r="L67" s="50" t="inlineStr">
        <is>
          <t>PDF_מנה_0802</t>
        </is>
      </c>
    </row>
    <row r="68" ht="15" customHeight="1" s="53">
      <c r="A68" s="9" t="n">
        <v>22201347</v>
      </c>
      <c r="B68" s="9" t="inlineStr">
        <is>
          <t>יורם שלמה</t>
        </is>
      </c>
      <c r="C68" s="9" t="inlineStr">
        <is>
          <t>17/03/2025</t>
        </is>
      </c>
      <c r="D68" s="9" t="inlineStr">
        <is>
          <t>19/03/2025</t>
        </is>
      </c>
      <c r="E68" s="16" t="inlineStr">
        <is>
          <t>תוספת 40%</t>
        </is>
      </c>
      <c r="F68" s="17" t="n">
        <v>0</v>
      </c>
      <c r="G68" s="17" t="n">
        <v>0</v>
      </c>
      <c r="H68" s="17" t="n">
        <v>1999</v>
      </c>
      <c r="I68" s="17" t="n">
        <v>2031</v>
      </c>
      <c r="J68" s="50" t="n">
        <v>610</v>
      </c>
      <c r="K68" s="50" t="inlineStr">
        <is>
          <t>26/06/2025</t>
        </is>
      </c>
      <c r="L68" s="50" t="inlineStr">
        <is>
          <t>92437586800_09_07_25.xlsx</t>
        </is>
      </c>
    </row>
    <row r="69" ht="15" customHeight="1" s="53">
      <c r="A69" s="47" t="n">
        <v>25147505</v>
      </c>
      <c r="B69" s="9" t="inlineStr">
        <is>
          <t>משה בורך</t>
        </is>
      </c>
      <c r="C69" s="9" t="inlineStr">
        <is>
          <t>09/01/2025</t>
        </is>
      </c>
      <c r="D69" s="9" t="inlineStr">
        <is>
          <t>09/01/2025</t>
        </is>
      </c>
      <c r="E69" s="16" t="inlineStr">
        <is>
          <t>תוספת 40%</t>
        </is>
      </c>
      <c r="F69" s="17" t="n">
        <v>0</v>
      </c>
      <c r="G69" s="17" t="n">
        <v>0</v>
      </c>
      <c r="H69" s="17" t="n">
        <v>305</v>
      </c>
      <c r="I69" s="17" t="n">
        <v>307</v>
      </c>
      <c r="J69" s="50" t="n">
        <v>410</v>
      </c>
      <c r="K69" s="50" t="inlineStr">
        <is>
          <t>28/04/2025</t>
        </is>
      </c>
      <c r="L69" s="50" t="inlineStr">
        <is>
          <t>92437586800_28_04_2025.xlsx</t>
        </is>
      </c>
    </row>
    <row r="70" ht="15" customHeight="1" s="53">
      <c r="A70" s="47" t="n">
        <v>25155235</v>
      </c>
      <c r="B70" s="9" t="inlineStr">
        <is>
          <t>נתן פרדר</t>
        </is>
      </c>
      <c r="C70" s="9" t="inlineStr">
        <is>
          <t>05/01/2025</t>
        </is>
      </c>
      <c r="D70" s="9" t="inlineStr">
        <is>
          <t>11/01/2025</t>
        </is>
      </c>
      <c r="E70" s="16" t="inlineStr">
        <is>
          <t>תוספת 40%</t>
        </is>
      </c>
      <c r="F70" s="17" t="n">
        <v>0</v>
      </c>
      <c r="G70" s="17" t="n">
        <v>0</v>
      </c>
      <c r="H70" s="17" t="n">
        <v>0</v>
      </c>
      <c r="I70" s="17" t="n">
        <v>0</v>
      </c>
      <c r="J70" s="50" t="n">
        <v>410</v>
      </c>
      <c r="K70" s="50" t="inlineStr">
        <is>
          <t>28/04/2025</t>
        </is>
      </c>
      <c r="L70" s="50" t="inlineStr">
        <is>
          <t>92437586800_28_04_2025.xlsx</t>
        </is>
      </c>
    </row>
    <row r="71" ht="15" customHeight="1" s="53">
      <c r="A71" s="47" t="n">
        <v>25155235</v>
      </c>
      <c r="B71" s="9" t="inlineStr">
        <is>
          <t>נתן פרדר</t>
        </is>
      </c>
      <c r="C71" s="9" t="inlineStr">
        <is>
          <t>14/01/2025</t>
        </is>
      </c>
      <c r="D71" s="9" t="inlineStr">
        <is>
          <t>17/01/2025</t>
        </is>
      </c>
      <c r="E71" s="16" t="inlineStr">
        <is>
          <t>תוספת 40%</t>
        </is>
      </c>
      <c r="F71" s="17" t="n">
        <v>0</v>
      </c>
      <c r="G71" s="17" t="n">
        <v>0</v>
      </c>
      <c r="H71" s="17" t="n">
        <v>1785</v>
      </c>
      <c r="I71" s="17" t="n">
        <v>1795</v>
      </c>
      <c r="J71" s="50" t="n">
        <v>410</v>
      </c>
      <c r="K71" s="50" t="inlineStr">
        <is>
          <t>28/04/2025</t>
        </is>
      </c>
      <c r="L71" s="50" t="inlineStr">
        <is>
          <t>92437586800_28_04_2025.xlsx</t>
        </is>
      </c>
    </row>
    <row r="72" ht="15" customHeight="1" s="53">
      <c r="A72" s="47" t="n">
        <v>28027738</v>
      </c>
      <c r="B72" s="9" t="inlineStr">
        <is>
          <t>אייל מלח</t>
        </is>
      </c>
      <c r="C72" s="9" t="inlineStr">
        <is>
          <t>07/10/2023</t>
        </is>
      </c>
      <c r="D72" s="9" t="inlineStr">
        <is>
          <t>03/01/2025</t>
        </is>
      </c>
      <c r="E72" s="16" t="inlineStr">
        <is>
          <t>תוספת 40%</t>
        </is>
      </c>
      <c r="F72" s="17" t="n">
        <v>0</v>
      </c>
      <c r="G72" s="17" t="n">
        <v>0</v>
      </c>
      <c r="H72" s="17" t="n">
        <v>0</v>
      </c>
      <c r="I72" s="17" t="n">
        <v>0</v>
      </c>
      <c r="J72" s="50" t="n">
        <v>410</v>
      </c>
      <c r="K72" s="50" t="inlineStr">
        <is>
          <t>28/04/2025</t>
        </is>
      </c>
      <c r="L72" s="50" t="inlineStr">
        <is>
          <t>92437586800_28_04_2025.xlsx</t>
        </is>
      </c>
    </row>
    <row r="73" ht="15" customHeight="1" s="53">
      <c r="A73" s="9" t="n">
        <v>22201347</v>
      </c>
      <c r="B73" s="9" t="inlineStr">
        <is>
          <t>יורם שלמה</t>
        </is>
      </c>
      <c r="C73" s="9" t="inlineStr">
        <is>
          <t>18/08/2024</t>
        </is>
      </c>
      <c r="D73" s="9" t="inlineStr">
        <is>
          <t>24/08/2024</t>
        </is>
      </c>
      <c r="E73" s="16" t="inlineStr">
        <is>
          <t>תוספת 40%</t>
        </is>
      </c>
      <c r="F73" s="17" t="n">
        <v>0</v>
      </c>
      <c r="G73" s="17" t="n">
        <v>0</v>
      </c>
      <c r="H73" s="17" t="n">
        <v>0</v>
      </c>
      <c r="I73" s="17" t="n">
        <v>0</v>
      </c>
      <c r="J73" s="50" t="n">
        <v>510</v>
      </c>
      <c r="K73" s="50" t="inlineStr">
        <is>
          <t>23/05/2025</t>
        </is>
      </c>
      <c r="L73" s="50" t="inlineStr">
        <is>
          <t>92437586800_NK-0510-250519-509_-1363229539_10591_0_01.xlsx</t>
        </is>
      </c>
    </row>
    <row r="74" ht="15" customHeight="1" s="53">
      <c r="A74" s="9" t="n">
        <v>22201347</v>
      </c>
      <c r="B74" s="9" t="inlineStr">
        <is>
          <t>יורם שלמה</t>
        </is>
      </c>
      <c r="C74" s="9" t="inlineStr">
        <is>
          <t>07/10/2024</t>
        </is>
      </c>
      <c r="D74" s="9" t="inlineStr">
        <is>
          <t>08/10/2024</t>
        </is>
      </c>
      <c r="E74" s="16" t="inlineStr">
        <is>
          <t>תוספת 40%</t>
        </is>
      </c>
      <c r="F74" s="17" t="n">
        <v>0</v>
      </c>
      <c r="G74" s="17" t="n">
        <v>0</v>
      </c>
      <c r="H74" s="17" t="n">
        <v>1308</v>
      </c>
      <c r="I74" s="17" t="n">
        <v>1320</v>
      </c>
      <c r="J74" s="50" t="n">
        <v>510</v>
      </c>
      <c r="K74" s="50" t="inlineStr">
        <is>
          <t>23/05/2025</t>
        </is>
      </c>
      <c r="L74" s="50" t="inlineStr">
        <is>
          <t>92437586800_NK-0510-250519-509_-1363229539_10591_0_01.xlsx</t>
        </is>
      </c>
    </row>
    <row r="75" ht="15" customHeight="1" s="53">
      <c r="A75" s="9" t="n">
        <v>22201347</v>
      </c>
      <c r="B75" s="9" t="inlineStr">
        <is>
          <t>יורם שלמה</t>
        </is>
      </c>
      <c r="C75" s="9" t="inlineStr">
        <is>
          <t>10/10/2024</t>
        </is>
      </c>
      <c r="D75" s="9" t="inlineStr">
        <is>
          <t>10/10/2024</t>
        </is>
      </c>
      <c r="E75" s="16" t="inlineStr">
        <is>
          <t>תוספת 40%</t>
        </is>
      </c>
      <c r="F75" s="17" t="n">
        <v>0</v>
      </c>
      <c r="G75" s="17" t="n">
        <v>0</v>
      </c>
      <c r="H75" s="17" t="n">
        <v>654</v>
      </c>
      <c r="I75" s="17" t="n">
        <v>660</v>
      </c>
      <c r="J75" s="50" t="n">
        <v>510</v>
      </c>
      <c r="K75" s="50" t="inlineStr">
        <is>
          <t>23/05/2025</t>
        </is>
      </c>
      <c r="L75" s="50" t="inlineStr">
        <is>
          <t>92437586800_NK-0510-250519-509_-1363229539_10591_0_01.xlsx</t>
        </is>
      </c>
    </row>
    <row r="76" ht="15" customHeight="1" s="53">
      <c r="A76" s="9" t="n">
        <v>22201347</v>
      </c>
      <c r="B76" s="9" t="inlineStr">
        <is>
          <t>יורם שלמה</t>
        </is>
      </c>
      <c r="C76" s="9" t="inlineStr">
        <is>
          <t>13/10/2024</t>
        </is>
      </c>
      <c r="D76" s="9" t="inlineStr">
        <is>
          <t>31/10/2024</t>
        </is>
      </c>
      <c r="E76" s="16" t="inlineStr">
        <is>
          <t>תוספת 40%</t>
        </is>
      </c>
      <c r="F76" s="17" t="n">
        <v>0</v>
      </c>
      <c r="G76" s="17" t="n">
        <v>0</v>
      </c>
      <c r="H76" s="17" t="n">
        <v>3269</v>
      </c>
      <c r="I76" s="17" t="n">
        <v>3298</v>
      </c>
      <c r="J76" s="50" t="n">
        <v>510</v>
      </c>
      <c r="K76" s="50" t="inlineStr">
        <is>
          <t>23/05/2025</t>
        </is>
      </c>
      <c r="L76" s="50" t="inlineStr">
        <is>
          <t>92437586800_NK-0510-250519-509_-1363229539_10591_0_01.xlsx</t>
        </is>
      </c>
    </row>
    <row r="77" ht="15" customHeight="1" s="53">
      <c r="A77" s="9" t="n">
        <v>22201347</v>
      </c>
      <c r="B77" s="9" t="inlineStr">
        <is>
          <t>יורם שלמה</t>
        </is>
      </c>
      <c r="C77" s="9" t="inlineStr">
        <is>
          <t>03/11/2024</t>
        </is>
      </c>
      <c r="D77" s="9" t="inlineStr">
        <is>
          <t>07/11/2024</t>
        </is>
      </c>
      <c r="E77" s="16" t="inlineStr">
        <is>
          <t>תוספת 40%</t>
        </is>
      </c>
      <c r="F77" s="17" t="n">
        <v>0</v>
      </c>
      <c r="G77" s="17" t="n">
        <v>0</v>
      </c>
      <c r="H77" s="17" t="n">
        <v>3269</v>
      </c>
      <c r="I77" s="17" t="n">
        <v>3282</v>
      </c>
      <c r="J77" s="50" t="n">
        <v>510</v>
      </c>
      <c r="K77" s="50" t="inlineStr">
        <is>
          <t>23/05/2025</t>
        </is>
      </c>
      <c r="L77" s="50" t="inlineStr">
        <is>
          <t>92437586800_NK-0510-250519-509_-1363229539_10591_0_01.xlsx</t>
        </is>
      </c>
    </row>
    <row r="78" ht="15" customHeight="1" s="53">
      <c r="A78" s="9" t="n">
        <v>22201347</v>
      </c>
      <c r="B78" s="9" t="inlineStr">
        <is>
          <t>יורם שלמה</t>
        </is>
      </c>
      <c r="C78" s="9" t="inlineStr">
        <is>
          <t>10/11/2024</t>
        </is>
      </c>
      <c r="D78" s="9" t="inlineStr">
        <is>
          <t>13/11/2024</t>
        </is>
      </c>
      <c r="E78" s="16" t="inlineStr">
        <is>
          <t>תוספת 40%</t>
        </is>
      </c>
      <c r="F78" s="17" t="n">
        <v>0</v>
      </c>
      <c r="G78" s="17" t="n">
        <v>0</v>
      </c>
      <c r="H78" s="17" t="n">
        <v>2615</v>
      </c>
      <c r="I78" s="17" t="n">
        <v>2626</v>
      </c>
      <c r="J78" s="50" t="n">
        <v>510</v>
      </c>
      <c r="K78" s="50" t="inlineStr">
        <is>
          <t>23/05/2025</t>
        </is>
      </c>
      <c r="L78" s="50" t="inlineStr">
        <is>
          <t>92437586800_NK-0510-250519-509_-1363229539_10591_0_01.xlsx</t>
        </is>
      </c>
    </row>
    <row r="79" ht="15" customHeight="1" s="53">
      <c r="A79" s="9" t="n">
        <v>22201347</v>
      </c>
      <c r="B79" s="9" t="inlineStr">
        <is>
          <t>יורם שלמה</t>
        </is>
      </c>
      <c r="C79" s="9" t="inlineStr">
        <is>
          <t>17/11/2024</t>
        </is>
      </c>
      <c r="D79" s="9" t="inlineStr">
        <is>
          <t>21/11/2024</t>
        </is>
      </c>
      <c r="E79" s="16" t="inlineStr">
        <is>
          <t>תוספת 40%</t>
        </is>
      </c>
      <c r="F79" s="17" t="n">
        <v>0</v>
      </c>
      <c r="G79" s="17" t="n">
        <v>0</v>
      </c>
      <c r="H79" s="17" t="n">
        <v>3269</v>
      </c>
      <c r="I79" s="17" t="n">
        <v>3282</v>
      </c>
      <c r="J79" s="50" t="n">
        <v>510</v>
      </c>
      <c r="K79" s="50" t="inlineStr">
        <is>
          <t>23/05/2025</t>
        </is>
      </c>
      <c r="L79" s="50" t="inlineStr">
        <is>
          <t>92437586800_NK-0510-250519-509_-1363229539_10591_0_01.xlsx</t>
        </is>
      </c>
    </row>
    <row r="80" ht="15" customHeight="1" s="53">
      <c r="A80" s="9" t="n">
        <v>22201347</v>
      </c>
      <c r="B80" s="9" t="inlineStr">
        <is>
          <t>יורם שלמה</t>
        </is>
      </c>
      <c r="C80" s="9" t="inlineStr">
        <is>
          <t>24/11/2024</t>
        </is>
      </c>
      <c r="D80" s="9" t="inlineStr">
        <is>
          <t>08/12/2024</t>
        </is>
      </c>
      <c r="E80" s="16" t="inlineStr">
        <is>
          <t>תוספת 40%</t>
        </is>
      </c>
      <c r="F80" s="17" t="n">
        <v>0</v>
      </c>
      <c r="G80" s="17" t="n">
        <v>0</v>
      </c>
      <c r="H80" s="17" t="n">
        <v>654</v>
      </c>
      <c r="I80" s="17" t="n">
        <v>659</v>
      </c>
      <c r="J80" s="50" t="n">
        <v>510</v>
      </c>
      <c r="K80" s="50" t="inlineStr">
        <is>
          <t>23/05/2025</t>
        </is>
      </c>
      <c r="L80" s="50" t="inlineStr">
        <is>
          <t>92437586800_NK-0510-250519-509_-1363229539_10591_0_01.xlsx</t>
        </is>
      </c>
    </row>
    <row r="81" ht="15" customHeight="1" s="53">
      <c r="A81" s="9" t="n">
        <v>22201347</v>
      </c>
      <c r="B81" s="9" t="inlineStr">
        <is>
          <t>יורם שלמה</t>
        </is>
      </c>
      <c r="C81" s="9" t="inlineStr">
        <is>
          <t>15/12/2024</t>
        </is>
      </c>
      <c r="D81" s="9" t="inlineStr">
        <is>
          <t>19/12/2024</t>
        </is>
      </c>
      <c r="E81" s="16" t="inlineStr">
        <is>
          <t>תוספת 40%</t>
        </is>
      </c>
      <c r="F81" s="17" t="n">
        <v>0</v>
      </c>
      <c r="G81" s="17" t="n">
        <v>0</v>
      </c>
      <c r="H81" s="17" t="n">
        <v>3269</v>
      </c>
      <c r="I81" s="17" t="n">
        <v>3295</v>
      </c>
      <c r="J81" s="50" t="n">
        <v>510</v>
      </c>
      <c r="K81" s="50" t="inlineStr">
        <is>
          <t>23/05/2025</t>
        </is>
      </c>
      <c r="L81" s="50" t="inlineStr">
        <is>
          <t>92437586800_NK-0510-250519-509_-1363229539_10591_0_01.xlsx</t>
        </is>
      </c>
    </row>
  </sheetData>
  <autoFilter ref="A1:L81">
    <sortState ref="A69:L81">
      <sortCondition ref="A1:A81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7"/>
  <sheetViews>
    <sheetView rightToLeft="1" workbookViewId="0">
      <pane ySplit="1" topLeftCell="A44" activePane="bottomLeft" state="frozen"/>
      <selection pane="bottomLeft" activeCell="J75" sqref="J75"/>
    </sheetView>
  </sheetViews>
  <sheetFormatPr baseColWidth="8" defaultRowHeight="14.25"/>
  <cols>
    <col width="21" customWidth="1" style="53" min="1" max="1"/>
    <col width="8" customWidth="1" style="53" min="2" max="2"/>
    <col width="10" customWidth="1" style="53" min="3" max="3"/>
    <col width="14" customWidth="1" style="53" min="4" max="4"/>
    <col width="12" customWidth="1" style="53" min="5" max="5"/>
    <col width="10" customWidth="1" style="53" min="6" max="6"/>
    <col width="12" customWidth="1" style="53" min="7" max="8"/>
    <col width="13" customWidth="1" style="53" min="9" max="9"/>
    <col width="12.5" bestFit="1" customWidth="1" style="53" min="10" max="10"/>
    <col width="15" customWidth="1" style="53" min="11" max="11"/>
    <col width="35" customWidth="1" style="53" min="12" max="12"/>
  </cols>
  <sheetData>
    <row r="1" ht="24.95" customHeight="1" s="53">
      <c r="A1" s="8" t="inlineStr">
        <is>
          <t>שם עובד</t>
        </is>
      </c>
      <c r="B1" s="8" t="inlineStr">
        <is>
          <t>מחלקה</t>
        </is>
      </c>
      <c r="C1" s="8" t="inlineStr">
        <is>
          <t>חודש</t>
        </is>
      </c>
      <c r="D1" s="23" t="inlineStr">
        <is>
          <t>תאריך התחלה מוקדם ביותר</t>
        </is>
      </c>
      <c r="E1" s="23" t="inlineStr">
        <is>
          <t>תאריך סיום מאוחר ביותר</t>
        </is>
      </c>
      <c r="F1" s="8" t="inlineStr">
        <is>
          <t>מספר תקופות</t>
        </is>
      </c>
      <c r="G1" s="8" t="inlineStr">
        <is>
          <t>סה"כ ימים</t>
        </is>
      </c>
      <c r="H1" s="8" t="inlineStr">
        <is>
          <t>ימי א-ה</t>
        </is>
      </c>
      <c r="I1" s="8" t="inlineStr">
        <is>
          <t>ימי סופ"ש</t>
        </is>
      </c>
      <c r="J1" s="8" t="inlineStr">
        <is>
          <t>צפוי מב"ל</t>
        </is>
      </c>
      <c r="K1" s="8" t="inlineStr">
        <is>
          <t>התקבל מב"ל</t>
        </is>
      </c>
      <c r="L1" s="8" t="inlineStr">
        <is>
          <t>הפרש</t>
        </is>
      </c>
      <c r="M1" s="8" t="inlineStr">
        <is>
          <t>סטטוס</t>
        </is>
      </c>
      <c r="N1" s="8" t="inlineStr">
        <is>
          <t>מזהי תקופות</t>
        </is>
      </c>
      <c r="O1" s="23" t="inlineStr">
        <is>
          <t>מזהי תקופות</t>
        </is>
      </c>
    </row>
    <row r="2" ht="15" customHeight="1" s="53">
      <c r="A2" t="inlineStr">
        <is>
          <t>אוראל שווקי</t>
        </is>
      </c>
      <c r="C2" t="inlineStr">
        <is>
          <t>03/2025</t>
        </is>
      </c>
      <c r="F2" t="n">
        <v>1</v>
      </c>
      <c r="G2" t="n">
        <v>1</v>
      </c>
      <c r="H2" t="n">
        <v>1</v>
      </c>
      <c r="J2" t="n">
        <v>863.7286571296723</v>
      </c>
      <c r="K2" t="n">
        <v>0</v>
      </c>
      <c r="L2" t="n">
        <v>863.7286571296723</v>
      </c>
      <c r="M2" t="inlineStr">
        <is>
          <t>ממתין</t>
        </is>
      </c>
    </row>
    <row r="3" ht="15" customHeight="1" s="53">
      <c r="A3" t="inlineStr">
        <is>
          <t>אורי אשתר</t>
        </is>
      </c>
      <c r="C3" t="inlineStr">
        <is>
          <t>09/2025</t>
        </is>
      </c>
      <c r="F3" t="n">
        <v>1</v>
      </c>
      <c r="G3" t="n">
        <v>17</v>
      </c>
      <c r="H3" t="n">
        <v>13</v>
      </c>
      <c r="J3" t="n">
        <v>14413.38255652976</v>
      </c>
      <c r="K3" t="n">
        <v>0</v>
      </c>
      <c r="L3" t="n">
        <v>14413.38255652976</v>
      </c>
      <c r="M3" t="inlineStr">
        <is>
          <t>ממתין</t>
        </is>
      </c>
    </row>
    <row r="4" ht="15" customHeight="1" s="53">
      <c r="A4" t="inlineStr">
        <is>
          <t>אייל מלח</t>
        </is>
      </c>
      <c r="C4" t="inlineStr">
        <is>
          <t>01/2025</t>
        </is>
      </c>
      <c r="F4" t="n">
        <v>1</v>
      </c>
      <c r="G4" t="n">
        <v>3</v>
      </c>
      <c r="H4" t="n">
        <v>3</v>
      </c>
      <c r="J4" t="n">
        <v>2838.024919243193</v>
      </c>
      <c r="K4" t="n">
        <v>2206</v>
      </c>
      <c r="L4" t="n">
        <v>632.0249192431929</v>
      </c>
      <c r="M4" t="inlineStr">
        <is>
          <t>ממתין</t>
        </is>
      </c>
    </row>
    <row r="5" ht="15" customHeight="1" s="53">
      <c r="A5" t="inlineStr">
        <is>
          <t>אייל מלח</t>
        </is>
      </c>
      <c r="C5" t="inlineStr">
        <is>
          <t>05/2025</t>
        </is>
      </c>
      <c r="F5" t="n">
        <v>1</v>
      </c>
      <c r="G5" t="n">
        <v>3</v>
      </c>
      <c r="H5" t="n">
        <v>3</v>
      </c>
      <c r="J5" t="n">
        <v>2838.024919243193</v>
      </c>
      <c r="K5" t="n">
        <v>0</v>
      </c>
      <c r="L5" t="n">
        <v>2838.024919243193</v>
      </c>
      <c r="M5" t="inlineStr">
        <is>
          <t>ממתין</t>
        </is>
      </c>
    </row>
    <row r="6" ht="15" customHeight="1" s="53">
      <c r="A6" t="inlineStr">
        <is>
          <t>אייל מלח</t>
        </is>
      </c>
      <c r="C6" t="inlineStr">
        <is>
          <t>06/2025</t>
        </is>
      </c>
      <c r="F6" t="n">
        <v>1</v>
      </c>
      <c r="G6" t="n">
        <v>15</v>
      </c>
      <c r="H6" t="n">
        <v>11</v>
      </c>
      <c r="J6" t="n">
        <v>10406.09137055838</v>
      </c>
      <c r="K6" t="n">
        <v>0</v>
      </c>
      <c r="L6" t="n">
        <v>10406.09137055838</v>
      </c>
      <c r="M6" t="inlineStr">
        <is>
          <t>ממתין</t>
        </is>
      </c>
    </row>
    <row r="7" ht="15" customHeight="1" s="53">
      <c r="A7" t="inlineStr">
        <is>
          <t>אייל מלח</t>
        </is>
      </c>
      <c r="C7" t="inlineStr">
        <is>
          <t>07/2025</t>
        </is>
      </c>
      <c r="F7" t="n">
        <v>1</v>
      </c>
      <c r="G7" t="n">
        <v>3</v>
      </c>
      <c r="H7" t="n">
        <v>3</v>
      </c>
      <c r="J7" t="n">
        <v>2838.024919243193</v>
      </c>
      <c r="K7" t="n">
        <v>0</v>
      </c>
      <c r="L7" t="n">
        <v>2838.024919243193</v>
      </c>
      <c r="M7" t="inlineStr">
        <is>
          <t>ממתין</t>
        </is>
      </c>
    </row>
    <row r="8" ht="15" customHeight="1" s="53">
      <c r="A8" t="inlineStr">
        <is>
          <t>אייל מלח</t>
        </is>
      </c>
      <c r="C8" t="inlineStr">
        <is>
          <t>09/2025</t>
        </is>
      </c>
      <c r="F8" t="n">
        <v>1</v>
      </c>
      <c r="G8" t="n">
        <v>4</v>
      </c>
      <c r="H8" t="n">
        <v>2</v>
      </c>
      <c r="J8" t="n">
        <v>1892.016612828795</v>
      </c>
      <c r="K8" t="n">
        <v>0</v>
      </c>
      <c r="L8" t="n">
        <v>1892.016612828795</v>
      </c>
      <c r="M8" t="inlineStr">
        <is>
          <t>ממתין</t>
        </is>
      </c>
    </row>
    <row r="9" ht="15" customHeight="1" s="53">
      <c r="A9" t="inlineStr">
        <is>
          <t>אריאל אליה</t>
        </is>
      </c>
      <c r="C9" t="inlineStr">
        <is>
          <t>01/2025</t>
        </is>
      </c>
      <c r="F9" t="n">
        <v>1</v>
      </c>
      <c r="G9" t="n">
        <v>4</v>
      </c>
      <c r="H9" t="n">
        <v>3</v>
      </c>
      <c r="J9" t="n">
        <v>2606.552838024919</v>
      </c>
      <c r="K9" t="n">
        <v>0</v>
      </c>
      <c r="L9" t="n">
        <v>2606.552838024919</v>
      </c>
      <c r="M9" t="inlineStr">
        <is>
          <t>ממתין</t>
        </is>
      </c>
    </row>
    <row r="10" ht="15" customHeight="1" s="53">
      <c r="A10" t="inlineStr">
        <is>
          <t>אריאל אליה</t>
        </is>
      </c>
      <c r="C10" t="inlineStr">
        <is>
          <t>03/2025</t>
        </is>
      </c>
      <c r="F10" t="n">
        <v>1</v>
      </c>
      <c r="G10" t="n">
        <v>4</v>
      </c>
      <c r="H10" t="n">
        <v>3</v>
      </c>
      <c r="J10" t="n">
        <v>2606.552838024919</v>
      </c>
      <c r="K10" t="n">
        <v>0</v>
      </c>
      <c r="L10" t="n">
        <v>2606.552838024919</v>
      </c>
      <c r="M10" t="inlineStr">
        <is>
          <t>ממתין</t>
        </is>
      </c>
    </row>
    <row r="11" ht="15" customHeight="1" s="53">
      <c r="A11" t="inlineStr">
        <is>
          <t>אריאל אליה</t>
        </is>
      </c>
      <c r="C11" t="inlineStr">
        <is>
          <t>04/2025</t>
        </is>
      </c>
      <c r="F11" t="n">
        <v>2</v>
      </c>
      <c r="G11" t="n">
        <v>2</v>
      </c>
      <c r="H11" t="n">
        <v>1</v>
      </c>
      <c r="J11" t="n">
        <v>868.8509460083063</v>
      </c>
      <c r="K11" t="n">
        <v>0</v>
      </c>
      <c r="L11" t="n">
        <v>868.8509460083063</v>
      </c>
      <c r="M11" t="inlineStr">
        <is>
          <t>ממתין</t>
        </is>
      </c>
    </row>
    <row r="12" ht="15" customHeight="1" s="53">
      <c r="A12" t="inlineStr">
        <is>
          <t>אריאל אליה</t>
        </is>
      </c>
      <c r="C12" t="inlineStr">
        <is>
          <t>05/2025</t>
        </is>
      </c>
      <c r="F12" t="n">
        <v>1</v>
      </c>
      <c r="G12" t="n">
        <v>21</v>
      </c>
      <c r="H12" t="n">
        <v>15</v>
      </c>
      <c r="J12" t="n">
        <v>13032.7641901246</v>
      </c>
      <c r="K12" t="n">
        <v>0</v>
      </c>
      <c r="L12" t="n">
        <v>13032.7641901246</v>
      </c>
      <c r="M12" t="inlineStr">
        <is>
          <t>ממתין</t>
        </is>
      </c>
    </row>
    <row r="13" ht="15" customHeight="1" s="53">
      <c r="A13" t="inlineStr">
        <is>
          <t>אריאל אליה</t>
        </is>
      </c>
      <c r="C13" t="inlineStr">
        <is>
          <t>08/2025</t>
        </is>
      </c>
      <c r="F13" t="n">
        <v>1</v>
      </c>
      <c r="G13" t="n">
        <v>5</v>
      </c>
      <c r="H13" t="n">
        <v>4</v>
      </c>
      <c r="J13" t="n">
        <v>3475.403784033225</v>
      </c>
      <c r="K13" t="n">
        <v>0</v>
      </c>
      <c r="L13" t="n">
        <v>3475.403784033225</v>
      </c>
      <c r="M13" t="inlineStr">
        <is>
          <t>ממתין</t>
        </is>
      </c>
    </row>
    <row r="14" ht="15" customHeight="1" s="53">
      <c r="A14" t="inlineStr">
        <is>
          <t>דניאל בנדרימר</t>
        </is>
      </c>
      <c r="C14" t="inlineStr">
        <is>
          <t>01/2025</t>
        </is>
      </c>
      <c r="F14" t="n">
        <v>1</v>
      </c>
      <c r="G14" t="n">
        <v>5</v>
      </c>
      <c r="H14" t="n">
        <v>4</v>
      </c>
      <c r="J14" t="n">
        <v>2682.418089524688</v>
      </c>
      <c r="K14" t="n">
        <v>0</v>
      </c>
      <c r="L14" t="n">
        <v>2682.418089524688</v>
      </c>
      <c r="M14" t="inlineStr">
        <is>
          <t>ממתין</t>
        </is>
      </c>
    </row>
    <row r="15" ht="15" customHeight="1" s="53">
      <c r="A15" t="inlineStr">
        <is>
          <t>דניאל בנדרימר</t>
        </is>
      </c>
      <c r="C15" t="inlineStr">
        <is>
          <t>04/2025</t>
        </is>
      </c>
      <c r="F15" t="n">
        <v>1</v>
      </c>
      <c r="G15" t="n">
        <v>38</v>
      </c>
      <c r="H15" t="n">
        <v>28</v>
      </c>
      <c r="J15" t="n">
        <v>14532</v>
      </c>
      <c r="K15" t="n">
        <v>0</v>
      </c>
      <c r="L15" t="n">
        <v>14532</v>
      </c>
      <c r="M15" t="inlineStr">
        <is>
          <t>ממתין</t>
        </is>
      </c>
    </row>
    <row r="16" ht="15" customHeight="1" s="53">
      <c r="A16" t="inlineStr">
        <is>
          <t>דניאל בנדרימר</t>
        </is>
      </c>
      <c r="C16" t="inlineStr">
        <is>
          <t>06/2025</t>
        </is>
      </c>
      <c r="F16" t="n">
        <v>1</v>
      </c>
      <c r="G16" t="n">
        <v>28</v>
      </c>
      <c r="H16" t="n">
        <v>20</v>
      </c>
      <c r="J16" t="n">
        <v>13412.09044762344</v>
      </c>
      <c r="K16" t="n">
        <v>0</v>
      </c>
      <c r="L16" t="n">
        <v>13412.09044762344</v>
      </c>
      <c r="M16" t="inlineStr">
        <is>
          <t>ממתין</t>
        </is>
      </c>
    </row>
    <row r="17" ht="15" customHeight="1" s="53">
      <c r="A17" t="inlineStr">
        <is>
          <t>דניאל בנדרימר</t>
        </is>
      </c>
      <c r="C17" t="inlineStr">
        <is>
          <t>07/2025</t>
        </is>
      </c>
      <c r="F17" t="n">
        <v>2</v>
      </c>
      <c r="G17" t="n">
        <v>3</v>
      </c>
      <c r="H17" t="n">
        <v>2</v>
      </c>
      <c r="J17" t="n">
        <v>1341.209044762344</v>
      </c>
      <c r="K17" t="n">
        <v>0</v>
      </c>
      <c r="L17" t="n">
        <v>1341.209044762344</v>
      </c>
      <c r="M17" t="inlineStr">
        <is>
          <t>ממתין</t>
        </is>
      </c>
    </row>
    <row r="18" ht="15" customHeight="1" s="53">
      <c r="A18" t="inlineStr">
        <is>
          <t>דניאל בנדרימר</t>
        </is>
      </c>
      <c r="C18" t="inlineStr">
        <is>
          <t>08/2025</t>
        </is>
      </c>
      <c r="F18" t="n">
        <v>1</v>
      </c>
      <c r="G18" t="n">
        <v>2</v>
      </c>
      <c r="H18" t="n">
        <v>2</v>
      </c>
      <c r="J18" t="n">
        <v>1341.209044762344</v>
      </c>
      <c r="K18" t="n">
        <v>0</v>
      </c>
      <c r="L18" t="n">
        <v>1341.209044762344</v>
      </c>
      <c r="M18" t="inlineStr">
        <is>
          <t>ממתין</t>
        </is>
      </c>
    </row>
    <row r="19" ht="15" customHeight="1" s="53">
      <c r="A19" t="inlineStr">
        <is>
          <t>דניאל בנדרימר</t>
        </is>
      </c>
      <c r="C19" t="inlineStr">
        <is>
          <t>09/2025</t>
        </is>
      </c>
      <c r="F19" t="n">
        <v>2</v>
      </c>
      <c r="G19" t="n">
        <v>4</v>
      </c>
      <c r="H19" t="n">
        <v>4</v>
      </c>
      <c r="J19" t="n">
        <v>2682.418089524688</v>
      </c>
      <c r="K19" t="n">
        <v>0</v>
      </c>
      <c r="L19" t="n">
        <v>2682.418089524688</v>
      </c>
      <c r="M19" t="inlineStr">
        <is>
          <t>ממתין</t>
        </is>
      </c>
    </row>
    <row r="20" ht="15" customHeight="1" s="53">
      <c r="A20" t="inlineStr">
        <is>
          <t>חיים ראש</t>
        </is>
      </c>
      <c r="C20" t="inlineStr">
        <is>
          <t>06/2025</t>
        </is>
      </c>
      <c r="F20" t="n">
        <v>1</v>
      </c>
      <c r="G20" t="n">
        <v>1</v>
      </c>
      <c r="H20" t="n">
        <v>1</v>
      </c>
      <c r="J20" t="n">
        <v>950.0046146746653</v>
      </c>
      <c r="K20" t="n">
        <v>0</v>
      </c>
      <c r="L20" t="n">
        <v>950.0046146746653</v>
      </c>
      <c r="M20" t="inlineStr">
        <is>
          <t>ממתין</t>
        </is>
      </c>
    </row>
    <row r="21" ht="15" customHeight="1" s="53">
      <c r="A21" t="inlineStr">
        <is>
          <t>יום טוב מוסארי</t>
        </is>
      </c>
      <c r="C21" t="inlineStr">
        <is>
          <t>02/2025</t>
        </is>
      </c>
      <c r="F21" t="n">
        <v>2</v>
      </c>
      <c r="G21" t="n">
        <v>2</v>
      </c>
      <c r="H21" t="n">
        <v>1</v>
      </c>
      <c r="J21" t="n">
        <v>1282.464236271343</v>
      </c>
      <c r="K21" t="n">
        <v>0</v>
      </c>
      <c r="L21" t="n">
        <v>1282.464236271343</v>
      </c>
      <c r="M21" t="inlineStr">
        <is>
          <t>ממתין</t>
        </is>
      </c>
    </row>
    <row r="22" ht="15" customHeight="1" s="53">
      <c r="A22" t="inlineStr">
        <is>
          <t>יום טוב מוסארי</t>
        </is>
      </c>
      <c r="C22" t="inlineStr">
        <is>
          <t>06/2025</t>
        </is>
      </c>
      <c r="F22" t="n">
        <v>1</v>
      </c>
      <c r="G22" t="n">
        <v>18</v>
      </c>
      <c r="H22" t="n">
        <v>12</v>
      </c>
      <c r="J22" t="n">
        <v>15389.57083525612</v>
      </c>
      <c r="K22" t="n">
        <v>0</v>
      </c>
      <c r="L22" t="n">
        <v>15389.57083525612</v>
      </c>
      <c r="M22" t="inlineStr">
        <is>
          <t>ממתין</t>
        </is>
      </c>
    </row>
    <row r="23" ht="15" customHeight="1" s="53">
      <c r="A23" t="inlineStr">
        <is>
          <t>יורם שלמה</t>
        </is>
      </c>
      <c r="C23" t="inlineStr">
        <is>
          <t>01/2025</t>
        </is>
      </c>
      <c r="F23" t="n">
        <v>4</v>
      </c>
      <c r="G23" t="n">
        <v>12</v>
      </c>
      <c r="H23" t="n">
        <v>10</v>
      </c>
      <c r="J23" t="n">
        <v>10961.69820027688</v>
      </c>
      <c r="K23" t="n">
        <v>6308</v>
      </c>
      <c r="L23" t="n">
        <v>4653.69820027688</v>
      </c>
      <c r="M23" t="inlineStr">
        <is>
          <t>ממתין</t>
        </is>
      </c>
    </row>
    <row r="24" ht="15" customHeight="1" s="53">
      <c r="A24" t="inlineStr">
        <is>
          <t>יורם שלמה</t>
        </is>
      </c>
      <c r="C24" t="inlineStr">
        <is>
          <t>02/2025</t>
        </is>
      </c>
      <c r="F24" t="n">
        <v>5</v>
      </c>
      <c r="G24" t="n">
        <v>6</v>
      </c>
      <c r="H24" t="n">
        <v>6</v>
      </c>
      <c r="J24" t="n">
        <v>6577.018920166129</v>
      </c>
      <c r="K24" t="n">
        <v>5635</v>
      </c>
      <c r="L24" t="n">
        <v>942.0189201661287</v>
      </c>
      <c r="M24" t="inlineStr">
        <is>
          <t>ממתין</t>
        </is>
      </c>
    </row>
    <row r="25" ht="15" customHeight="1" s="53">
      <c r="A25" t="inlineStr">
        <is>
          <t>יורם שלמה</t>
        </is>
      </c>
      <c r="C25" t="inlineStr">
        <is>
          <t>03/2025</t>
        </is>
      </c>
      <c r="F25" t="n">
        <v>5</v>
      </c>
      <c r="G25" t="n">
        <v>13</v>
      </c>
      <c r="H25" t="n">
        <v>12</v>
      </c>
      <c r="J25" t="n">
        <v>13154.03784033226</v>
      </c>
      <c r="K25" t="n">
        <v>7398</v>
      </c>
      <c r="L25" t="n">
        <v>5756.037840332257</v>
      </c>
      <c r="M25" t="inlineStr">
        <is>
          <t>ממתין</t>
        </is>
      </c>
    </row>
    <row r="26" ht="15" customHeight="1" s="53">
      <c r="A26" t="inlineStr">
        <is>
          <t>יורם שלמה</t>
        </is>
      </c>
      <c r="C26" t="inlineStr">
        <is>
          <t>04/2025</t>
        </is>
      </c>
      <c r="F26" t="n">
        <v>2</v>
      </c>
      <c r="G26" t="n">
        <v>5</v>
      </c>
      <c r="H26" t="n">
        <v>5</v>
      </c>
      <c r="J26" t="n">
        <v>5480.84910013844</v>
      </c>
      <c r="K26" t="n">
        <v>6330</v>
      </c>
      <c r="L26" t="n">
        <v>-849.15089986156</v>
      </c>
      <c r="M26" t="inlineStr">
        <is>
          <t>לא רלוונטי</t>
        </is>
      </c>
    </row>
    <row r="27" ht="15" customHeight="1" s="53">
      <c r="A27" t="inlineStr">
        <is>
          <t>יורם שלמה</t>
        </is>
      </c>
      <c r="C27" t="inlineStr">
        <is>
          <t>05/2025</t>
        </is>
      </c>
      <c r="F27" t="n">
        <v>3</v>
      </c>
      <c r="G27" t="n">
        <v>7</v>
      </c>
      <c r="H27" t="n">
        <v>7</v>
      </c>
      <c r="J27" t="n">
        <v>7673.188740193817</v>
      </c>
      <c r="K27" t="n">
        <v>7522</v>
      </c>
      <c r="L27" t="n">
        <v>151.1887401938166</v>
      </c>
      <c r="M27" t="inlineStr">
        <is>
          <t>ממתין</t>
        </is>
      </c>
    </row>
    <row r="28" ht="15" customHeight="1" s="53">
      <c r="A28" t="inlineStr">
        <is>
          <t>יורם שלמה</t>
        </is>
      </c>
      <c r="C28" t="inlineStr">
        <is>
          <t>06/2025</t>
        </is>
      </c>
      <c r="F28" t="n">
        <v>2</v>
      </c>
      <c r="G28" t="n">
        <v>3</v>
      </c>
      <c r="H28" t="n">
        <v>3</v>
      </c>
      <c r="J28" t="n">
        <v>3288.509460083064</v>
      </c>
      <c r="K28" t="n">
        <v>3881</v>
      </c>
      <c r="L28" t="n">
        <v>-592.4905399169356</v>
      </c>
      <c r="M28" t="inlineStr">
        <is>
          <t>לא רלוונטי</t>
        </is>
      </c>
    </row>
    <row r="29" ht="15" customHeight="1" s="53">
      <c r="A29" t="inlineStr">
        <is>
          <t>יורם שלמה</t>
        </is>
      </c>
      <c r="C29" t="inlineStr">
        <is>
          <t>07/2025</t>
        </is>
      </c>
      <c r="F29" t="n">
        <v>1</v>
      </c>
      <c r="G29" t="n">
        <v>4</v>
      </c>
      <c r="H29" t="n">
        <v>4</v>
      </c>
      <c r="J29" t="n">
        <v>4384.679280110752</v>
      </c>
      <c r="K29" t="n">
        <v>0</v>
      </c>
      <c r="L29" t="n">
        <v>4384.679280110752</v>
      </c>
      <c r="M29" t="inlineStr">
        <is>
          <t>ממתין</t>
        </is>
      </c>
    </row>
    <row r="30" ht="15" customHeight="1" s="53">
      <c r="A30" t="inlineStr">
        <is>
          <t>יורם שלמה</t>
        </is>
      </c>
      <c r="C30" t="inlineStr">
        <is>
          <t>09/2025</t>
        </is>
      </c>
      <c r="F30" t="n">
        <v>1</v>
      </c>
      <c r="G30" t="n">
        <v>2</v>
      </c>
      <c r="H30" t="n">
        <v>2</v>
      </c>
      <c r="J30" t="n">
        <v>2192.339640055376</v>
      </c>
      <c r="K30" t="n">
        <v>0</v>
      </c>
      <c r="L30" t="n">
        <v>2192.339640055376</v>
      </c>
      <c r="M30" t="inlineStr">
        <is>
          <t>ממתין</t>
        </is>
      </c>
    </row>
    <row r="31" ht="15" customHeight="1" s="53">
      <c r="A31" t="inlineStr">
        <is>
          <t>יענקל מונטבולינסקי</t>
        </is>
      </c>
      <c r="C31" t="inlineStr">
        <is>
          <t>07/2025</t>
        </is>
      </c>
      <c r="F31" t="n">
        <v>3</v>
      </c>
      <c r="G31" t="n">
        <v>6</v>
      </c>
      <c r="H31" t="n">
        <v>6</v>
      </c>
      <c r="J31" t="n">
        <v>5005.168435625288</v>
      </c>
      <c r="K31" t="n">
        <v>0</v>
      </c>
      <c r="L31" t="n">
        <v>5005.168435625288</v>
      </c>
      <c r="M31" t="inlineStr">
        <is>
          <t>ממתין</t>
        </is>
      </c>
    </row>
    <row r="32" ht="15" customHeight="1" s="53">
      <c r="A32" t="inlineStr">
        <is>
          <t>יענקל מונטבולינסקי</t>
        </is>
      </c>
      <c r="C32" t="inlineStr">
        <is>
          <t>08/2025</t>
        </is>
      </c>
      <c r="F32" t="n">
        <v>3</v>
      </c>
      <c r="G32" t="n">
        <v>3</v>
      </c>
      <c r="H32" t="n">
        <v>3</v>
      </c>
      <c r="J32" t="n">
        <v>2502.584217812644</v>
      </c>
      <c r="K32" t="n">
        <v>0</v>
      </c>
      <c r="L32" t="n">
        <v>2502.584217812644</v>
      </c>
      <c r="M32" t="inlineStr">
        <is>
          <t>ממתין</t>
        </is>
      </c>
    </row>
    <row r="33" ht="15" customHeight="1" s="53">
      <c r="A33" t="inlineStr">
        <is>
          <t>יענקל מונטבולינסקי</t>
        </is>
      </c>
      <c r="C33" t="inlineStr">
        <is>
          <t>09/2025</t>
        </is>
      </c>
      <c r="F33" t="n">
        <v>2</v>
      </c>
      <c r="G33" t="n">
        <v>3</v>
      </c>
      <c r="H33" t="n">
        <v>2</v>
      </c>
      <c r="J33" t="n">
        <v>1668.389478541763</v>
      </c>
      <c r="K33" t="n">
        <v>0</v>
      </c>
      <c r="L33" t="n">
        <v>1668.389478541763</v>
      </c>
      <c r="M33" t="inlineStr">
        <is>
          <t>ממתין</t>
        </is>
      </c>
    </row>
    <row r="34" ht="15" customHeight="1" s="53">
      <c r="A34" t="inlineStr">
        <is>
          <t>לאון שמייב</t>
        </is>
      </c>
      <c r="C34" t="inlineStr">
        <is>
          <t>03/2025</t>
        </is>
      </c>
      <c r="F34" t="n">
        <v>1</v>
      </c>
      <c r="G34" t="n">
        <v>1</v>
      </c>
      <c r="H34" t="n">
        <v>1</v>
      </c>
      <c r="J34" t="n">
        <v>730.2722658052606</v>
      </c>
      <c r="K34" t="n">
        <v>0</v>
      </c>
      <c r="L34" t="n">
        <v>730.2722658052606</v>
      </c>
      <c r="M34" t="inlineStr">
        <is>
          <t>ממתין</t>
        </is>
      </c>
    </row>
    <row r="35" ht="15" customHeight="1" s="53">
      <c r="A35" t="inlineStr">
        <is>
          <t>לאון שמייב</t>
        </is>
      </c>
      <c r="C35" t="inlineStr">
        <is>
          <t>05/2025</t>
        </is>
      </c>
      <c r="F35" t="n">
        <v>1</v>
      </c>
      <c r="G35" t="n">
        <v>3</v>
      </c>
      <c r="H35" t="n">
        <v>2</v>
      </c>
      <c r="J35" t="n">
        <v>1460.544531610521</v>
      </c>
      <c r="K35" t="n">
        <v>0</v>
      </c>
      <c r="L35" t="n">
        <v>1460.544531610521</v>
      </c>
      <c r="M35" t="inlineStr">
        <is>
          <t>ממתין</t>
        </is>
      </c>
    </row>
    <row r="36" ht="15" customHeight="1" s="53">
      <c r="A36" t="inlineStr">
        <is>
          <t>לאון שמייב</t>
        </is>
      </c>
      <c r="C36" t="inlineStr">
        <is>
          <t>06/2025</t>
        </is>
      </c>
      <c r="F36" t="n">
        <v>1</v>
      </c>
      <c r="G36" t="n">
        <v>8</v>
      </c>
      <c r="H36" t="n">
        <v>6</v>
      </c>
      <c r="J36" t="n">
        <v>4381.633594831564</v>
      </c>
      <c r="K36" t="n">
        <v>0</v>
      </c>
      <c r="L36" t="n">
        <v>4381.633594831564</v>
      </c>
      <c r="M36" t="inlineStr">
        <is>
          <t>ממתין</t>
        </is>
      </c>
    </row>
    <row r="37" ht="15" customHeight="1" s="53">
      <c r="A37" t="inlineStr">
        <is>
          <t>לאון שמייב</t>
        </is>
      </c>
      <c r="C37" t="inlineStr">
        <is>
          <t>07/2025</t>
        </is>
      </c>
      <c r="F37" t="n">
        <v>1</v>
      </c>
      <c r="G37" t="n">
        <v>3</v>
      </c>
      <c r="H37" t="n">
        <v>2</v>
      </c>
      <c r="J37" t="n">
        <v>1460.544531610521</v>
      </c>
      <c r="K37" t="n">
        <v>0</v>
      </c>
      <c r="L37" t="n">
        <v>1460.544531610521</v>
      </c>
      <c r="M37" t="inlineStr">
        <is>
          <t>ממתין</t>
        </is>
      </c>
    </row>
    <row r="38" ht="15" customHeight="1" s="53">
      <c r="A38" t="inlineStr">
        <is>
          <t>לאון שמייב</t>
        </is>
      </c>
      <c r="C38" t="inlineStr">
        <is>
          <t>08/2025</t>
        </is>
      </c>
      <c r="F38" t="n">
        <v>1</v>
      </c>
      <c r="G38" t="n">
        <v>4</v>
      </c>
      <c r="H38" t="n">
        <v>3</v>
      </c>
      <c r="J38" t="n">
        <v>2190.816797415782</v>
      </c>
      <c r="K38" t="n">
        <v>0</v>
      </c>
      <c r="L38" t="n">
        <v>2190.816797415782</v>
      </c>
      <c r="M38" t="inlineStr">
        <is>
          <t>ממתין</t>
        </is>
      </c>
    </row>
    <row r="39" ht="15" customHeight="1" s="53">
      <c r="A39" t="inlineStr">
        <is>
          <t>לוי דור</t>
        </is>
      </c>
      <c r="C39" t="inlineStr">
        <is>
          <t>01/2025</t>
        </is>
      </c>
      <c r="F39" t="n">
        <v>1</v>
      </c>
      <c r="G39" t="n">
        <v>9</v>
      </c>
      <c r="H39" t="n">
        <v>7</v>
      </c>
      <c r="J39" t="n">
        <v>5788.970927549607</v>
      </c>
      <c r="K39" t="n">
        <v>0</v>
      </c>
      <c r="L39" t="n">
        <v>5788.970927549607</v>
      </c>
      <c r="M39" t="inlineStr">
        <is>
          <t>ממתין</t>
        </is>
      </c>
    </row>
    <row r="40" ht="15" customHeight="1" s="53">
      <c r="A40" t="inlineStr">
        <is>
          <t>לוי דור</t>
        </is>
      </c>
      <c r="C40" t="inlineStr">
        <is>
          <t>04/2025</t>
        </is>
      </c>
      <c r="F40" t="n">
        <v>1</v>
      </c>
      <c r="G40" t="n">
        <v>3</v>
      </c>
      <c r="H40" t="n">
        <v>3</v>
      </c>
      <c r="J40" t="n">
        <v>2480.987540378403</v>
      </c>
      <c r="K40" t="n">
        <v>0</v>
      </c>
      <c r="L40" t="n">
        <v>2480.987540378403</v>
      </c>
      <c r="M40" t="inlineStr">
        <is>
          <t>ממתין</t>
        </is>
      </c>
    </row>
    <row r="41" ht="15" customHeight="1" s="53">
      <c r="A41" t="inlineStr">
        <is>
          <t>לוי דור</t>
        </is>
      </c>
      <c r="C41" t="inlineStr">
        <is>
          <t>05/2025</t>
        </is>
      </c>
      <c r="F41" t="n">
        <v>2</v>
      </c>
      <c r="G41" t="n">
        <v>8</v>
      </c>
      <c r="H41" t="n">
        <v>8</v>
      </c>
      <c r="J41" t="n">
        <v>6615.966774342408</v>
      </c>
      <c r="K41" t="n">
        <v>0</v>
      </c>
      <c r="L41" t="n">
        <v>6615.966774342408</v>
      </c>
      <c r="M41" t="inlineStr">
        <is>
          <t>ממתין</t>
        </is>
      </c>
    </row>
    <row r="42" ht="15" customHeight="1" s="53">
      <c r="A42" t="inlineStr">
        <is>
          <t>לוי דור</t>
        </is>
      </c>
      <c r="C42" t="inlineStr">
        <is>
          <t>06/2025</t>
        </is>
      </c>
      <c r="F42" t="n">
        <v>1</v>
      </c>
      <c r="G42" t="n">
        <v>5</v>
      </c>
      <c r="H42" t="n">
        <v>3</v>
      </c>
      <c r="J42" t="n">
        <v>2480.987540378403</v>
      </c>
      <c r="K42" t="n">
        <v>0</v>
      </c>
      <c r="L42" t="n">
        <v>2480.987540378403</v>
      </c>
      <c r="M42" t="inlineStr">
        <is>
          <t>ממתין</t>
        </is>
      </c>
    </row>
    <row r="43" ht="15" customHeight="1" s="53">
      <c r="A43" t="inlineStr">
        <is>
          <t>לוי דור</t>
        </is>
      </c>
      <c r="C43" t="inlineStr">
        <is>
          <t>07/2025</t>
        </is>
      </c>
      <c r="F43" t="n">
        <v>1</v>
      </c>
      <c r="G43" t="n">
        <v>1</v>
      </c>
      <c r="H43" t="n">
        <v>1</v>
      </c>
      <c r="J43" t="n">
        <v>826.995846792801</v>
      </c>
      <c r="K43" t="n">
        <v>0</v>
      </c>
      <c r="L43" t="n">
        <v>826.995846792801</v>
      </c>
      <c r="M43" t="inlineStr">
        <is>
          <t>ממתין</t>
        </is>
      </c>
    </row>
    <row r="44" ht="15" customHeight="1" s="53">
      <c r="A44" t="inlineStr">
        <is>
          <t>לוי דור</t>
        </is>
      </c>
      <c r="C44" t="inlineStr">
        <is>
          <t>08/2025</t>
        </is>
      </c>
      <c r="F44" t="n">
        <v>2</v>
      </c>
      <c r="G44" t="n">
        <v>6</v>
      </c>
      <c r="H44" t="n">
        <v>6</v>
      </c>
      <c r="J44" t="n">
        <v>4961.975080756806</v>
      </c>
      <c r="K44" t="n">
        <v>0</v>
      </c>
      <c r="L44" t="n">
        <v>4961.975080756806</v>
      </c>
      <c r="M44" t="inlineStr">
        <is>
          <t>ממתין</t>
        </is>
      </c>
    </row>
    <row r="45" ht="15" customHeight="1" s="53">
      <c r="A45" t="inlineStr">
        <is>
          <t>מנפרד מרקוביץ'</t>
        </is>
      </c>
      <c r="C45" t="inlineStr">
        <is>
          <t>01/2025</t>
        </is>
      </c>
      <c r="F45" t="n">
        <v>4</v>
      </c>
      <c r="G45" t="n">
        <v>4</v>
      </c>
      <c r="H45" t="n">
        <v>4</v>
      </c>
      <c r="J45" t="n">
        <v>3474.296262113521</v>
      </c>
      <c r="K45" t="n">
        <v>1642</v>
      </c>
      <c r="L45" t="n">
        <v>1832.296262113521</v>
      </c>
      <c r="M45" t="inlineStr">
        <is>
          <t>ממתין</t>
        </is>
      </c>
    </row>
    <row r="46" ht="15" customHeight="1" s="53">
      <c r="A46" t="inlineStr">
        <is>
          <t>מנפרד מרקוביץ'</t>
        </is>
      </c>
      <c r="C46" t="inlineStr">
        <is>
          <t>02/2025</t>
        </is>
      </c>
      <c r="F46" t="n">
        <v>1</v>
      </c>
      <c r="G46" t="n">
        <v>5</v>
      </c>
      <c r="H46" t="n">
        <v>5</v>
      </c>
      <c r="J46" t="n">
        <v>4342.870327641901</v>
      </c>
      <c r="K46" t="n">
        <v>7184</v>
      </c>
      <c r="L46" t="n">
        <v>-2841.129672358099</v>
      </c>
      <c r="M46" t="inlineStr">
        <is>
          <t>לא רלוונטי</t>
        </is>
      </c>
    </row>
    <row r="47" ht="15" customHeight="1" s="53">
      <c r="A47" t="inlineStr">
        <is>
          <t>מנפרד מרקוביץ'</t>
        </is>
      </c>
      <c r="C47" t="inlineStr">
        <is>
          <t>03/2025</t>
        </is>
      </c>
      <c r="F47" t="n">
        <v>4</v>
      </c>
      <c r="G47" t="n">
        <v>6</v>
      </c>
      <c r="H47" t="n">
        <v>6</v>
      </c>
      <c r="J47" t="n">
        <v>5211.444393170281</v>
      </c>
      <c r="K47" t="n">
        <v>4310</v>
      </c>
      <c r="L47" t="n">
        <v>901.4443931702808</v>
      </c>
      <c r="M47" t="inlineStr">
        <is>
          <t>ממתין</t>
        </is>
      </c>
    </row>
    <row r="48" ht="15" customHeight="1" s="53">
      <c r="A48" t="inlineStr">
        <is>
          <t>מנפרד מרקוביץ'</t>
        </is>
      </c>
      <c r="C48" t="inlineStr">
        <is>
          <t>04/2025</t>
        </is>
      </c>
      <c r="F48" t="n">
        <v>2</v>
      </c>
      <c r="G48" t="n">
        <v>2</v>
      </c>
      <c r="H48" t="n">
        <v>2</v>
      </c>
      <c r="J48" t="n">
        <v>1737.14813105676</v>
      </c>
      <c r="K48" t="n">
        <v>2502</v>
      </c>
      <c r="L48" t="n">
        <v>-764.8518689432397</v>
      </c>
      <c r="M48" t="inlineStr">
        <is>
          <t>לא רלוונטי</t>
        </is>
      </c>
    </row>
    <row r="49" ht="15" customHeight="1" s="53">
      <c r="A49" t="inlineStr">
        <is>
          <t>מנפרד מרקוביץ'</t>
        </is>
      </c>
      <c r="C49" t="inlineStr">
        <is>
          <t>05/2025</t>
        </is>
      </c>
      <c r="F49" t="n">
        <v>5</v>
      </c>
      <c r="G49" t="n">
        <v>11</v>
      </c>
      <c r="H49" t="n">
        <v>9</v>
      </c>
      <c r="J49" t="n">
        <v>7817.166589755421</v>
      </c>
      <c r="K49" t="n">
        <v>9798</v>
      </c>
      <c r="L49" t="n">
        <v>-1980.833410244579</v>
      </c>
      <c r="M49" t="inlineStr">
        <is>
          <t>לא רלוונטי</t>
        </is>
      </c>
    </row>
    <row r="50" ht="15" customHeight="1" s="53">
      <c r="A50" t="inlineStr">
        <is>
          <t>מנפרד מרקוביץ'</t>
        </is>
      </c>
      <c r="C50" t="inlineStr">
        <is>
          <t>06/2025</t>
        </is>
      </c>
      <c r="F50" t="n">
        <v>1</v>
      </c>
      <c r="G50" t="n">
        <v>30</v>
      </c>
      <c r="H50" t="n">
        <v>22</v>
      </c>
      <c r="J50" t="n">
        <v>18822</v>
      </c>
      <c r="K50" t="n">
        <v>26717</v>
      </c>
      <c r="L50" t="n">
        <v>-7895</v>
      </c>
      <c r="M50" t="inlineStr">
        <is>
          <t>לא רלוונטי</t>
        </is>
      </c>
    </row>
    <row r="51" ht="15" customHeight="1" s="53">
      <c r="A51" t="inlineStr">
        <is>
          <t>מנפרד מרקוביץ'</t>
        </is>
      </c>
      <c r="C51" t="inlineStr">
        <is>
          <t>07/2025</t>
        </is>
      </c>
      <c r="F51" t="n">
        <v>1</v>
      </c>
      <c r="G51" t="n">
        <v>31</v>
      </c>
      <c r="H51" t="n">
        <v>23</v>
      </c>
      <c r="J51" t="n">
        <v>18822</v>
      </c>
      <c r="K51" t="n">
        <v>27607</v>
      </c>
      <c r="L51" t="n">
        <v>-8785</v>
      </c>
      <c r="M51" t="inlineStr">
        <is>
          <t>לא רלוונטי</t>
        </is>
      </c>
    </row>
    <row r="52" ht="15" customHeight="1" s="53">
      <c r="A52" t="inlineStr">
        <is>
          <t>משה בורך</t>
        </is>
      </c>
      <c r="C52" t="inlineStr">
        <is>
          <t>01/2025</t>
        </is>
      </c>
      <c r="F52" t="n">
        <v>3</v>
      </c>
      <c r="G52" t="n">
        <v>4</v>
      </c>
      <c r="H52" t="n">
        <v>4</v>
      </c>
      <c r="J52" t="n">
        <v>3719.427780341486</v>
      </c>
      <c r="K52" t="n">
        <v>0</v>
      </c>
      <c r="L52" t="n">
        <v>3719.427780341486</v>
      </c>
      <c r="M52" t="inlineStr">
        <is>
          <t>ממתין</t>
        </is>
      </c>
    </row>
    <row r="53" ht="15" customHeight="1" s="53">
      <c r="A53" t="inlineStr">
        <is>
          <t>משה בורך</t>
        </is>
      </c>
      <c r="C53" t="inlineStr">
        <is>
          <t>02/2025</t>
        </is>
      </c>
      <c r="F53" t="n">
        <v>2</v>
      </c>
      <c r="G53" t="n">
        <v>2</v>
      </c>
      <c r="H53" t="n">
        <v>1</v>
      </c>
      <c r="J53" t="n">
        <v>929.8569450853714</v>
      </c>
      <c r="K53" t="n">
        <v>1107</v>
      </c>
      <c r="L53" t="n">
        <v>-177.1430549146286</v>
      </c>
      <c r="M53" t="inlineStr">
        <is>
          <t>לא רלוונטי</t>
        </is>
      </c>
    </row>
    <row r="54" ht="15" customHeight="1" s="53">
      <c r="A54" t="inlineStr">
        <is>
          <t>משה בורך</t>
        </is>
      </c>
      <c r="C54" t="inlineStr">
        <is>
          <t>03/2025</t>
        </is>
      </c>
      <c r="F54" t="n">
        <v>3</v>
      </c>
      <c r="G54" t="n">
        <v>4</v>
      </c>
      <c r="H54" t="n">
        <v>4</v>
      </c>
      <c r="J54" t="n">
        <v>3719.427780341486</v>
      </c>
      <c r="K54" t="n">
        <v>3247</v>
      </c>
      <c r="L54" t="n">
        <v>472.4277803414857</v>
      </c>
      <c r="M54" t="inlineStr">
        <is>
          <t>ממתין</t>
        </is>
      </c>
    </row>
    <row r="55" ht="15" customHeight="1" s="53">
      <c r="A55" t="inlineStr">
        <is>
          <t>משה בורך</t>
        </is>
      </c>
      <c r="C55" t="inlineStr">
        <is>
          <t>04/2025</t>
        </is>
      </c>
      <c r="F55" t="n">
        <v>2</v>
      </c>
      <c r="G55" t="n">
        <v>2</v>
      </c>
      <c r="H55" t="n">
        <v>2</v>
      </c>
      <c r="J55" t="n">
        <v>1859.713890170743</v>
      </c>
      <c r="K55" t="n">
        <v>813</v>
      </c>
      <c r="L55" t="n">
        <v>1046.713890170743</v>
      </c>
      <c r="M55" t="inlineStr">
        <is>
          <t>ממתין</t>
        </is>
      </c>
    </row>
    <row r="56" ht="15" customHeight="1" s="53">
      <c r="A56" t="inlineStr">
        <is>
          <t>משה בורך</t>
        </is>
      </c>
      <c r="C56" t="inlineStr">
        <is>
          <t>05/2025</t>
        </is>
      </c>
      <c r="F56" t="n">
        <v>4</v>
      </c>
      <c r="G56" t="n">
        <v>12</v>
      </c>
      <c r="H56" t="n">
        <v>11</v>
      </c>
      <c r="J56" t="n">
        <v>10228.42639593909</v>
      </c>
      <c r="K56" t="n">
        <v>9662</v>
      </c>
      <c r="L56" t="n">
        <v>566.4263959390864</v>
      </c>
      <c r="M56" t="inlineStr">
        <is>
          <t>ממתין</t>
        </is>
      </c>
    </row>
    <row r="57" ht="15" customHeight="1" s="53">
      <c r="A57" t="inlineStr">
        <is>
          <t>משה בורך</t>
        </is>
      </c>
      <c r="C57" t="inlineStr">
        <is>
          <t>07/2025</t>
        </is>
      </c>
      <c r="F57" t="n">
        <v>1</v>
      </c>
      <c r="G57" t="n">
        <v>1</v>
      </c>
      <c r="H57" t="n">
        <v>1</v>
      </c>
      <c r="J57" t="n">
        <v>929.8569450853714</v>
      </c>
      <c r="K57" t="n">
        <v>775</v>
      </c>
      <c r="L57" t="n">
        <v>154.8569450853714</v>
      </c>
      <c r="M57" t="inlineStr">
        <is>
          <t>ממתין</t>
        </is>
      </c>
    </row>
    <row r="58" ht="15" customHeight="1" s="53">
      <c r="A58" t="inlineStr">
        <is>
          <t>משה בורך</t>
        </is>
      </c>
      <c r="C58" t="inlineStr">
        <is>
          <t>08/2025</t>
        </is>
      </c>
      <c r="F58" t="n">
        <v>3</v>
      </c>
      <c r="G58" t="n">
        <v>5</v>
      </c>
      <c r="H58" t="n">
        <v>4</v>
      </c>
      <c r="J58" t="n">
        <v>3719.427780341486</v>
      </c>
      <c r="K58" t="n">
        <v>0</v>
      </c>
      <c r="L58" t="n">
        <v>3719.427780341486</v>
      </c>
      <c r="M58" t="inlineStr">
        <is>
          <t>ממתין</t>
        </is>
      </c>
    </row>
    <row r="59" ht="15" customHeight="1" s="53">
      <c r="A59" t="inlineStr">
        <is>
          <t>משה בורך</t>
        </is>
      </c>
      <c r="C59" t="inlineStr">
        <is>
          <t>09/2025</t>
        </is>
      </c>
      <c r="F59" t="n">
        <v>2</v>
      </c>
      <c r="G59" t="n">
        <v>4</v>
      </c>
      <c r="H59" t="n">
        <v>3</v>
      </c>
      <c r="J59" t="n">
        <v>2789.570835256114</v>
      </c>
      <c r="K59" t="n">
        <v>0</v>
      </c>
      <c r="L59" t="n">
        <v>2789.570835256114</v>
      </c>
      <c r="M59" t="inlineStr">
        <is>
          <t>ממתין</t>
        </is>
      </c>
    </row>
    <row r="60" ht="15" customHeight="1" s="53">
      <c r="A60" t="inlineStr">
        <is>
          <t>משה פינץ</t>
        </is>
      </c>
      <c r="C60" t="inlineStr">
        <is>
          <t>03/2025</t>
        </is>
      </c>
      <c r="F60" t="n">
        <v>1</v>
      </c>
      <c r="G60" t="n">
        <v>3</v>
      </c>
      <c r="H60" t="n">
        <v>3</v>
      </c>
      <c r="J60" t="n">
        <v>2744.716197508075</v>
      </c>
      <c r="K60" t="n">
        <v>0</v>
      </c>
      <c r="L60" t="n">
        <v>2744.716197508075</v>
      </c>
      <c r="M60" t="inlineStr">
        <is>
          <t>ממתין</t>
        </is>
      </c>
    </row>
    <row r="61" ht="15" customHeight="1" s="53">
      <c r="A61" t="inlineStr">
        <is>
          <t>משה פינץ</t>
        </is>
      </c>
      <c r="C61" t="inlineStr">
        <is>
          <t>06/2025</t>
        </is>
      </c>
      <c r="F61" t="n">
        <v>1</v>
      </c>
      <c r="G61" t="n">
        <v>6</v>
      </c>
      <c r="H61" t="n">
        <v>4</v>
      </c>
      <c r="J61" t="n">
        <v>3659.621596677434</v>
      </c>
      <c r="K61" t="n">
        <v>0</v>
      </c>
      <c r="L61" t="n">
        <v>3659.621596677434</v>
      </c>
      <c r="M61" t="inlineStr">
        <is>
          <t>ממתין</t>
        </is>
      </c>
    </row>
    <row r="62" ht="15" customHeight="1" s="53">
      <c r="A62" t="inlineStr">
        <is>
          <t>נתן פרדר</t>
        </is>
      </c>
      <c r="C62" t="inlineStr">
        <is>
          <t>01/2025</t>
        </is>
      </c>
      <c r="F62" t="n">
        <v>7</v>
      </c>
      <c r="G62" t="n">
        <v>21</v>
      </c>
      <c r="H62" t="n">
        <v>17</v>
      </c>
      <c r="J62" t="n">
        <v>15552.60729118597</v>
      </c>
      <c r="K62" t="n">
        <v>13388</v>
      </c>
      <c r="L62" t="n">
        <v>2164.60729118597</v>
      </c>
      <c r="M62" t="inlineStr">
        <is>
          <t>ממתין</t>
        </is>
      </c>
    </row>
    <row r="63" ht="15" customHeight="1" s="53">
      <c r="A63" t="inlineStr">
        <is>
          <t>נתן פרדר</t>
        </is>
      </c>
      <c r="C63" t="inlineStr">
        <is>
          <t>02/2025</t>
        </is>
      </c>
      <c r="F63" t="n">
        <v>4</v>
      </c>
      <c r="G63" t="n">
        <v>7</v>
      </c>
      <c r="H63" t="n">
        <v>7</v>
      </c>
      <c r="J63" t="n">
        <v>6404.014766958929</v>
      </c>
      <c r="K63" t="n">
        <v>0</v>
      </c>
      <c r="L63" t="n">
        <v>6404.014766958929</v>
      </c>
      <c r="M63" t="inlineStr">
        <is>
          <t>ממתין</t>
        </is>
      </c>
    </row>
    <row r="64" ht="15" customHeight="1" s="53">
      <c r="A64" t="inlineStr">
        <is>
          <t>נתן פרדר</t>
        </is>
      </c>
      <c r="C64" t="inlineStr">
        <is>
          <t>03/2025</t>
        </is>
      </c>
      <c r="F64" t="n">
        <v>5</v>
      </c>
      <c r="G64" t="n">
        <v>15</v>
      </c>
      <c r="H64" t="n">
        <v>14</v>
      </c>
      <c r="J64" t="n">
        <v>12808.02953391786</v>
      </c>
      <c r="K64" t="n">
        <v>11805</v>
      </c>
      <c r="L64" t="n">
        <v>1003.029533917857</v>
      </c>
      <c r="M64" t="inlineStr">
        <is>
          <t>ממתין</t>
        </is>
      </c>
    </row>
    <row r="65" ht="15" customHeight="1" s="53">
      <c r="A65" t="inlineStr">
        <is>
          <t>נתן פרדר</t>
        </is>
      </c>
      <c r="C65" t="inlineStr">
        <is>
          <t>04/2025</t>
        </is>
      </c>
      <c r="F65" t="n">
        <v>4</v>
      </c>
      <c r="G65" t="n">
        <v>6</v>
      </c>
      <c r="H65" t="n">
        <v>5</v>
      </c>
      <c r="J65" t="n">
        <v>4574.29626211352</v>
      </c>
      <c r="K65" t="n">
        <v>0</v>
      </c>
      <c r="L65" t="n">
        <v>4574.29626211352</v>
      </c>
      <c r="M65" t="inlineStr">
        <is>
          <t>ממתין</t>
        </is>
      </c>
    </row>
    <row r="66" ht="15" customHeight="1" s="53">
      <c r="A66" t="inlineStr">
        <is>
          <t>נתן פרדר</t>
        </is>
      </c>
      <c r="C66" t="inlineStr">
        <is>
          <t>05/2025</t>
        </is>
      </c>
      <c r="F66" t="n">
        <v>5</v>
      </c>
      <c r="G66" t="n">
        <v>6</v>
      </c>
      <c r="H66" t="n">
        <v>4</v>
      </c>
      <c r="J66" t="n">
        <v>3659.437009690816</v>
      </c>
      <c r="K66" t="n">
        <v>0</v>
      </c>
      <c r="L66" t="n">
        <v>3659.437009690816</v>
      </c>
      <c r="M66" t="inlineStr">
        <is>
          <t>ממתין</t>
        </is>
      </c>
    </row>
    <row r="67" ht="15" customHeight="1" s="53">
      <c r="A67" t="inlineStr">
        <is>
          <t>נתן פרדר</t>
        </is>
      </c>
      <c r="C67" t="inlineStr">
        <is>
          <t>06/2025</t>
        </is>
      </c>
      <c r="F67" t="n">
        <v>3</v>
      </c>
      <c r="G67" t="n">
        <v>22</v>
      </c>
      <c r="H67" t="n">
        <v>15</v>
      </c>
      <c r="J67" t="n">
        <v>13722.88878634056</v>
      </c>
      <c r="K67" t="n">
        <v>0</v>
      </c>
      <c r="L67" t="n">
        <v>13722.88878634056</v>
      </c>
      <c r="M67" t="inlineStr">
        <is>
          <t>ממתין</t>
        </is>
      </c>
    </row>
    <row r="68" ht="15" customHeight="1" s="53">
      <c r="A68" t="inlineStr">
        <is>
          <t>נתן פרדר</t>
        </is>
      </c>
      <c r="C68" t="inlineStr">
        <is>
          <t>07/2025</t>
        </is>
      </c>
      <c r="F68" t="n">
        <v>3</v>
      </c>
      <c r="G68" t="n">
        <v>5</v>
      </c>
      <c r="H68" t="n">
        <v>5</v>
      </c>
      <c r="J68" t="n">
        <v>4574.29626211352</v>
      </c>
      <c r="K68" t="n">
        <v>0</v>
      </c>
      <c r="L68" t="n">
        <v>4574.29626211352</v>
      </c>
      <c r="M68" t="inlineStr">
        <is>
          <t>ממתין</t>
        </is>
      </c>
    </row>
    <row r="69" ht="15" customHeight="1" s="53">
      <c r="A69" t="inlineStr">
        <is>
          <t>נתן פרדר</t>
        </is>
      </c>
      <c r="C69" t="inlineStr">
        <is>
          <t>08/2025</t>
        </is>
      </c>
      <c r="F69" t="n">
        <v>2</v>
      </c>
      <c r="G69" t="n">
        <v>2</v>
      </c>
      <c r="H69" t="n">
        <v>2</v>
      </c>
      <c r="J69" t="n">
        <v>1829.718504845408</v>
      </c>
      <c r="K69" t="n">
        <v>0</v>
      </c>
      <c r="L69" t="n">
        <v>1829.718504845408</v>
      </c>
      <c r="M69" t="inlineStr">
        <is>
          <t>ממתין</t>
        </is>
      </c>
    </row>
    <row r="70" ht="15" customHeight="1" s="53">
      <c r="A70" t="inlineStr">
        <is>
          <t>נתן פרדר</t>
        </is>
      </c>
      <c r="C70" t="inlineStr">
        <is>
          <t>09/2025</t>
        </is>
      </c>
      <c r="F70" t="n">
        <v>2</v>
      </c>
      <c r="G70" t="n">
        <v>4</v>
      </c>
      <c r="H70" t="n">
        <v>2</v>
      </c>
      <c r="J70" t="n">
        <v>1829.718504845408</v>
      </c>
      <c r="K70" t="n">
        <v>0</v>
      </c>
      <c r="L70" t="n">
        <v>1829.718504845408</v>
      </c>
      <c r="M70" t="inlineStr">
        <is>
          <t>ממתין</t>
        </is>
      </c>
    </row>
    <row r="71" ht="15" customHeight="1" s="53">
      <c r="A71" t="inlineStr">
        <is>
          <t>צחי חנגל</t>
        </is>
      </c>
      <c r="C71" t="inlineStr">
        <is>
          <t>03/2025</t>
        </is>
      </c>
      <c r="F71" t="n">
        <v>1</v>
      </c>
      <c r="G71" t="n">
        <v>4</v>
      </c>
      <c r="H71" t="n">
        <v>4</v>
      </c>
      <c r="J71" t="n">
        <v>3248.915551453622</v>
      </c>
      <c r="K71" t="n">
        <v>0</v>
      </c>
      <c r="L71" t="n">
        <v>3248.915551453622</v>
      </c>
      <c r="M71" t="inlineStr">
        <is>
          <t>ממתין</t>
        </is>
      </c>
    </row>
    <row r="72" ht="15" customHeight="1" s="53">
      <c r="A72" t="inlineStr">
        <is>
          <t>צחי חנגל</t>
        </is>
      </c>
      <c r="C72" t="inlineStr">
        <is>
          <t>05/2025</t>
        </is>
      </c>
      <c r="F72" t="n">
        <v>2</v>
      </c>
      <c r="G72" t="n">
        <v>7</v>
      </c>
      <c r="H72" t="n">
        <v>6</v>
      </c>
      <c r="J72" t="n">
        <v>4873.373327180434</v>
      </c>
      <c r="K72" t="n">
        <v>0</v>
      </c>
      <c r="L72" t="n">
        <v>4873.373327180434</v>
      </c>
      <c r="M72" t="inlineStr">
        <is>
          <t>ממתין</t>
        </is>
      </c>
    </row>
    <row r="73" ht="15" customHeight="1" s="53">
      <c r="A73" t="inlineStr">
        <is>
          <t>צחי חנגל</t>
        </is>
      </c>
      <c r="C73" t="inlineStr">
        <is>
          <t>06/2025</t>
        </is>
      </c>
      <c r="F73" t="n">
        <v>2</v>
      </c>
      <c r="G73" t="n">
        <v>4</v>
      </c>
      <c r="H73" t="n">
        <v>3</v>
      </c>
      <c r="J73" t="n">
        <v>2436.686663590217</v>
      </c>
      <c r="K73" t="n">
        <v>0</v>
      </c>
      <c r="L73" t="n">
        <v>2436.686663590217</v>
      </c>
      <c r="M73" t="inlineStr">
        <is>
          <t>ממתין</t>
        </is>
      </c>
    </row>
    <row r="74" ht="15" customHeight="1" s="53">
      <c r="A74" t="inlineStr">
        <is>
          <t>צחי חנגל</t>
        </is>
      </c>
      <c r="C74" t="inlineStr">
        <is>
          <t>08/2025</t>
        </is>
      </c>
      <c r="F74" t="n">
        <v>2</v>
      </c>
      <c r="G74" t="n">
        <v>4</v>
      </c>
      <c r="H74" t="n">
        <v>4</v>
      </c>
      <c r="J74" t="n">
        <v>3248.915551453622</v>
      </c>
      <c r="K74" t="n">
        <v>0</v>
      </c>
      <c r="L74" t="n">
        <v>3248.915551453622</v>
      </c>
      <c r="M74" t="inlineStr">
        <is>
          <t>ממתין</t>
        </is>
      </c>
    </row>
    <row r="75" ht="15" customHeight="1" s="53">
      <c r="A75" t="inlineStr">
        <is>
          <t>צחי חנגל</t>
        </is>
      </c>
      <c r="C75" t="inlineStr">
        <is>
          <t>09/2025</t>
        </is>
      </c>
      <c r="F75" t="n">
        <v>1</v>
      </c>
      <c r="G75" t="n">
        <v>3</v>
      </c>
      <c r="H75" t="n">
        <v>2</v>
      </c>
      <c r="J75" t="n">
        <v>1624.457775726811</v>
      </c>
      <c r="K75" t="n">
        <v>0</v>
      </c>
      <c r="L75" t="n">
        <v>1624.457775726811</v>
      </c>
      <c r="M75" t="inlineStr">
        <is>
          <t>ממתין</t>
        </is>
      </c>
    </row>
    <row r="76">
      <c r="A76" t="inlineStr">
        <is>
          <t>רפאל שועה</t>
        </is>
      </c>
      <c r="C76" t="inlineStr">
        <is>
          <t>05/2025</t>
        </is>
      </c>
      <c r="F76" t="n">
        <v>1</v>
      </c>
      <c r="G76" t="n">
        <v>2</v>
      </c>
      <c r="H76" t="n">
        <v>2</v>
      </c>
      <c r="J76" t="n">
        <v>1630.826026765113</v>
      </c>
      <c r="K76" t="n">
        <v>0</v>
      </c>
      <c r="L76" t="n">
        <v>1630.826026765113</v>
      </c>
      <c r="M76" t="inlineStr">
        <is>
          <t>ממתין</t>
        </is>
      </c>
    </row>
    <row r="77">
      <c r="A77" t="inlineStr">
        <is>
          <t>רפאל שועה</t>
        </is>
      </c>
      <c r="C77" t="inlineStr">
        <is>
          <t>06/2025</t>
        </is>
      </c>
      <c r="F77" t="n">
        <v>3</v>
      </c>
      <c r="G77" t="n">
        <v>21</v>
      </c>
      <c r="H77" t="n">
        <v>16</v>
      </c>
      <c r="J77" t="n">
        <v>13046.6082141209</v>
      </c>
      <c r="K77" t="n">
        <v>0</v>
      </c>
      <c r="L77" t="n">
        <v>13046.6082141209</v>
      </c>
      <c r="M77" t="inlineStr">
        <is>
          <t>ממתין</t>
        </is>
      </c>
    </row>
  </sheetData>
  <autoFilter ref="A1:L75">
    <sortState ref="A2:L75">
      <sortCondition ref="C1"/>
    </sortState>
  </autoFilter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1" topLeftCell="B1" workbookViewId="0">
      <selection activeCell="F6" sqref="F6"/>
    </sheetView>
  </sheetViews>
  <sheetFormatPr baseColWidth="8" defaultRowHeight="14.25"/>
  <cols>
    <col width="12" customWidth="1" style="53" min="1" max="1"/>
    <col width="18" customWidth="1" style="53" min="2" max="2"/>
    <col width="15" customWidth="1" style="53" min="3" max="5"/>
    <col width="18" customWidth="1" style="53" min="6" max="6"/>
    <col width="29.25" bestFit="1" customWidth="1" style="53" min="7" max="7"/>
  </cols>
  <sheetData>
    <row r="1" ht="30" customHeight="1" s="53">
      <c r="A1" s="13" t="inlineStr">
        <is>
          <t>מנה</t>
        </is>
      </c>
      <c r="B1" s="13" t="inlineStr">
        <is>
          <t>תאריך תשלום</t>
        </is>
      </c>
      <c r="C1" s="13" t="inlineStr">
        <is>
          <t>תגמול ₪</t>
        </is>
      </c>
      <c r="D1" s="13" t="inlineStr">
        <is>
          <t>פיצוי 20% ₪</t>
        </is>
      </c>
      <c r="E1" s="13" t="inlineStr">
        <is>
          <t>תוספת 40% ₪</t>
        </is>
      </c>
      <c r="F1" s="13" t="inlineStr">
        <is>
          <t>סה"כ כולל ₪</t>
        </is>
      </c>
      <c r="G1" s="42" t="inlineStr">
        <is>
          <t>ביקורת נתונים מול תקופות מילואים</t>
        </is>
      </c>
    </row>
    <row r="2" ht="15" customHeight="1" s="53">
      <c r="A2" t="n">
        <v>203</v>
      </c>
      <c r="B2" t="inlineStr">
        <is>
          <t>09/02/2025</t>
        </is>
      </c>
      <c r="C2" s="18" t="n">
        <v>48622</v>
      </c>
      <c r="D2" s="18" t="n">
        <v>8587</v>
      </c>
      <c r="E2" s="18" t="n">
        <v>0</v>
      </c>
      <c r="F2" s="18" t="n">
        <v>57209</v>
      </c>
    </row>
    <row r="3" ht="15" customHeight="1" s="53">
      <c r="A3" t="n">
        <v>204</v>
      </c>
      <c r="B3" t="inlineStr">
        <is>
          <t>09/02/2025</t>
        </is>
      </c>
      <c r="C3" s="18" t="n">
        <v>581</v>
      </c>
      <c r="D3" s="18" t="n">
        <v>0</v>
      </c>
      <c r="E3" s="18" t="n">
        <v>0</v>
      </c>
      <c r="F3" s="18" t="n">
        <v>581</v>
      </c>
    </row>
    <row r="4" ht="15" customHeight="1" s="53">
      <c r="A4" t="n">
        <v>408</v>
      </c>
      <c r="B4" t="inlineStr">
        <is>
          <t>23/04/2025</t>
        </is>
      </c>
      <c r="C4" s="18" t="n">
        <v>25634</v>
      </c>
      <c r="D4" s="18" t="n">
        <v>4516</v>
      </c>
      <c r="E4" s="18" t="n">
        <v>0</v>
      </c>
      <c r="F4" s="18" t="n">
        <v>30150</v>
      </c>
    </row>
    <row r="5" ht="17.25" customHeight="1" s="53">
      <c r="A5" t="n">
        <v>410</v>
      </c>
      <c r="B5" t="inlineStr">
        <is>
          <t>28/04/2025</t>
        </is>
      </c>
      <c r="C5" s="18" t="n">
        <v>0</v>
      </c>
      <c r="D5" s="18" t="n">
        <v>0</v>
      </c>
      <c r="E5" s="18" t="n">
        <v>6209</v>
      </c>
      <c r="F5" s="18">
        <f>SUM(C5:E5)</f>
        <v/>
      </c>
      <c r="G5" s="32" t="inlineStr">
        <is>
          <t>תקין</t>
        </is>
      </c>
    </row>
    <row r="6" ht="17.25" customHeight="1" s="53">
      <c r="B6" s="44" t="n">
        <v>45777</v>
      </c>
      <c r="C6" s="45" t="n">
        <v>103440</v>
      </c>
      <c r="D6" s="45">
        <f>15441+257</f>
        <v/>
      </c>
      <c r="E6" s="45" t="n"/>
      <c r="F6" s="45">
        <f>SUM(C6:E6)</f>
        <v/>
      </c>
      <c r="G6" s="32" t="n"/>
    </row>
    <row r="7" ht="15" customHeight="1" s="53">
      <c r="A7" t="n">
        <v>510</v>
      </c>
      <c r="B7" t="inlineStr">
        <is>
          <t>23/05/2025</t>
        </is>
      </c>
      <c r="C7" s="18" t="n">
        <v>0</v>
      </c>
      <c r="D7" s="18" t="n">
        <v>0</v>
      </c>
      <c r="E7" s="18" t="n">
        <v>19639</v>
      </c>
      <c r="F7" s="18">
        <f>SUM(C7:E7)</f>
        <v/>
      </c>
    </row>
    <row r="8" ht="15" customHeight="1" s="53">
      <c r="A8" t="n">
        <v>610</v>
      </c>
      <c r="B8" t="inlineStr">
        <is>
          <t>26/06/2025</t>
        </is>
      </c>
      <c r="C8" s="18" t="n">
        <v>0</v>
      </c>
      <c r="D8" s="18" t="n">
        <v>0</v>
      </c>
      <c r="E8" s="18" t="n">
        <v>4389</v>
      </c>
      <c r="F8" s="18">
        <f>SUM(C8:E8)</f>
        <v/>
      </c>
      <c r="G8" s="32" t="inlineStr">
        <is>
          <t>תקין</t>
        </is>
      </c>
    </row>
    <row r="9" ht="15" customHeight="1" s="53">
      <c r="A9" t="n">
        <v>802</v>
      </c>
      <c r="B9" t="inlineStr">
        <is>
          <t>08/08/2025</t>
        </is>
      </c>
      <c r="C9" s="18" t="n">
        <v>112299</v>
      </c>
      <c r="D9" s="18" t="n">
        <v>21358</v>
      </c>
      <c r="E9" s="18" t="n">
        <v>0</v>
      </c>
      <c r="F9" s="18">
        <f>SUM(C9:E9)</f>
        <v/>
      </c>
      <c r="G9" s="32" t="inlineStr">
        <is>
          <t>תקין</t>
        </is>
      </c>
    </row>
    <row r="11" ht="18" customHeight="1" s="53">
      <c r="A11" s="19" t="inlineStr">
        <is>
          <t>סה"כ:</t>
        </is>
      </c>
      <c r="C11" s="15">
        <f>SUM(C2:C10)</f>
        <v/>
      </c>
      <c r="D11" s="15">
        <f>SUM(D2:D10)</f>
        <v/>
      </c>
      <c r="E11" s="15">
        <f>SUM(E2:E10)</f>
        <v/>
      </c>
      <c r="F11" s="15">
        <f>SUM(F2:F10)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70"/>
  <sheetViews>
    <sheetView rightToLeft="1" workbookViewId="0">
      <pane ySplit="1" topLeftCell="A110" activePane="bottomLeft" state="frozen"/>
      <selection pane="bottomLeft" activeCell="D157" sqref="D157"/>
    </sheetView>
  </sheetViews>
  <sheetFormatPr baseColWidth="8" defaultRowHeight="14.25"/>
  <cols>
    <col width="13" customWidth="1" style="53" min="1" max="1"/>
    <col width="21" customWidth="1" style="53" min="2" max="2"/>
    <col width="8" customWidth="1" style="53" min="3" max="3"/>
    <col width="14" customWidth="1" style="53" min="4" max="4"/>
    <col width="13" customWidth="1" style="53" min="5" max="5"/>
    <col width="10" customWidth="1" style="53" min="6" max="6"/>
    <col width="12" customWidth="1" style="53" min="7" max="7"/>
    <col width="10" customWidth="1" style="53" min="8" max="8"/>
    <col width="11" customWidth="1" style="53" min="9" max="9"/>
    <col width="10" customWidth="1" style="53" min="10" max="10"/>
    <col width="9" customWidth="1" style="53" min="11" max="11"/>
    <col width="13" customWidth="1" style="53" min="12" max="12"/>
    <col width="20" customWidth="1" style="53" min="13" max="13"/>
    <col width="19" customWidth="1" style="53" min="14" max="15"/>
    <col width="17" customWidth="1" style="53" min="16" max="16"/>
    <col width="15" customWidth="1" style="53" min="17" max="17"/>
    <col width="11.625" customWidth="1" style="53" min="18" max="18"/>
    <col width="20" customWidth="1" style="53" min="19" max="19"/>
    <col width="18" customWidth="1" style="53" min="20" max="20"/>
  </cols>
  <sheetData>
    <row r="1" ht="24.95" customHeight="1" s="53">
      <c r="A1" s="1" t="inlineStr">
        <is>
          <t>מזהה תקופה</t>
        </is>
      </c>
      <c r="B1" s="1" t="inlineStr">
        <is>
          <t>שם עובד</t>
        </is>
      </c>
      <c r="C1" s="1" t="inlineStr">
        <is>
          <t>מחלקה</t>
        </is>
      </c>
      <c r="D1" s="1" t="inlineStr">
        <is>
          <t>תאריך התחלה</t>
        </is>
      </c>
      <c r="E1" s="1" t="inlineStr">
        <is>
          <t>תאריך סיום</t>
        </is>
      </c>
      <c r="F1" s="1" t="inlineStr">
        <is>
          <t>חודש</t>
        </is>
      </c>
      <c r="G1" s="1" t="inlineStr">
        <is>
          <t>סה"כ ימים</t>
        </is>
      </c>
      <c r="H1" s="1" t="inlineStr">
        <is>
          <t>ימי א-ה</t>
        </is>
      </c>
      <c r="I1" s="1" t="inlineStr">
        <is>
          <t>ימי שישי</t>
        </is>
      </c>
      <c r="J1" s="1" t="inlineStr">
        <is>
          <t>ימי שבת</t>
        </is>
      </c>
      <c r="K1" s="1" t="inlineStr">
        <is>
          <t>ימי חג</t>
        </is>
      </c>
      <c r="L1" s="1" t="inlineStr">
        <is>
          <t>תעריף יומי</t>
        </is>
      </c>
      <c r="M1" s="1" t="inlineStr">
        <is>
          <t>תשלום מעסיק (א-ה)</t>
        </is>
      </c>
      <c r="N1" s="1" t="inlineStr">
        <is>
          <t>פיצוי 20% למעסיק</t>
        </is>
      </c>
      <c r="O1" s="43" t="inlineStr">
        <is>
          <t>תוספת 40%</t>
        </is>
      </c>
      <c r="P1" s="24" t="inlineStr">
        <is>
          <t>סה"כ תגמול מביטוח לאומי ₪</t>
        </is>
      </c>
      <c r="Q1" s="23" t="inlineStr">
        <is>
          <t>מועד תשלום ביטוח לאומי</t>
        </is>
      </c>
      <c r="R1" s="23" t="inlineStr">
        <is>
          <t>סכום הפרשים לעובד ₪</t>
        </is>
      </c>
      <c r="S1" s="23" t="inlineStr">
        <is>
          <t>חודש ביצוע תשלום</t>
        </is>
      </c>
      <c r="T1" s="46" t="inlineStr">
        <is>
          <t xml:space="preserve">💰 הערות </t>
        </is>
      </c>
    </row>
    <row r="2" ht="15" customHeight="1" s="53">
      <c r="A2" s="2" t="inlineStr">
        <is>
          <t>P0003</t>
        </is>
      </c>
      <c r="B2" s="2" t="inlineStr">
        <is>
          <t>אייל מלח</t>
        </is>
      </c>
      <c r="C2" s="2" t="inlineStr">
        <is>
          <t>רפאל</t>
        </is>
      </c>
      <c r="D2" s="2" t="inlineStr">
        <is>
          <t>01/01/2025</t>
        </is>
      </c>
      <c r="E2" s="2" t="inlineStr">
        <is>
          <t>03/01/2025</t>
        </is>
      </c>
      <c r="F2" s="2" t="inlineStr">
        <is>
          <t>01/2025</t>
        </is>
      </c>
      <c r="G2" s="2" t="n">
        <v>3</v>
      </c>
      <c r="H2" s="2" t="n">
        <v>3</v>
      </c>
      <c r="I2" s="2" t="n">
        <v>0</v>
      </c>
      <c r="J2" s="2" t="n">
        <v>0</v>
      </c>
      <c r="K2" s="2" t="n">
        <v>0</v>
      </c>
      <c r="L2" s="27" t="n">
        <v>946.0083064143977</v>
      </c>
      <c r="M2" s="27">
        <f>L2*H2</f>
        <v/>
      </c>
      <c r="N2" s="27" t="n">
        <v>567.6049838486387</v>
      </c>
      <c r="O2" s="27" t="n"/>
      <c r="P2" s="3" t="n"/>
    </row>
    <row r="3" ht="15" customHeight="1" s="53">
      <c r="A3" s="2" t="inlineStr">
        <is>
          <t>P0008</t>
        </is>
      </c>
      <c r="B3" s="2" t="inlineStr">
        <is>
          <t>אריאל אליה</t>
        </is>
      </c>
      <c r="C3" s="2" t="inlineStr">
        <is>
          <t>מל"מ</t>
        </is>
      </c>
      <c r="D3" s="2" t="inlineStr">
        <is>
          <t>19/01/2025</t>
        </is>
      </c>
      <c r="E3" s="2" t="inlineStr">
        <is>
          <t>22/01/2025</t>
        </is>
      </c>
      <c r="F3" s="2" t="inlineStr">
        <is>
          <t>01/2025</t>
        </is>
      </c>
      <c r="G3" s="2" t="n">
        <v>4</v>
      </c>
      <c r="H3" s="2" t="n">
        <v>3</v>
      </c>
      <c r="I3" s="2" t="n">
        <v>0</v>
      </c>
      <c r="J3" s="2" t="n">
        <v>1</v>
      </c>
      <c r="K3" s="2" t="n">
        <v>0</v>
      </c>
      <c r="L3" s="27" t="n">
        <v>868.8509460083063</v>
      </c>
      <c r="M3" s="27">
        <f>L3*H3</f>
        <v/>
      </c>
      <c r="N3" s="27" t="n">
        <v>521.3105676049838</v>
      </c>
      <c r="O3" s="27" t="n"/>
      <c r="P3" s="3" t="n"/>
    </row>
    <row r="4" ht="15" customHeight="1" s="53">
      <c r="A4" s="2" t="inlineStr">
        <is>
          <t>P0014</t>
        </is>
      </c>
      <c r="B4" s="2" t="inlineStr">
        <is>
          <t>דניאל בנדרימר</t>
        </is>
      </c>
      <c r="C4" s="2" t="inlineStr">
        <is>
          <t>מל"מ</t>
        </is>
      </c>
      <c r="D4" s="2" t="inlineStr">
        <is>
          <t>26/01/2025</t>
        </is>
      </c>
      <c r="E4" s="2" t="inlineStr">
        <is>
          <t>30/01/2025</t>
        </is>
      </c>
      <c r="F4" s="2" t="inlineStr">
        <is>
          <t>01/2025</t>
        </is>
      </c>
      <c r="G4" s="2" t="n">
        <v>5</v>
      </c>
      <c r="H4" s="2" t="n">
        <v>4</v>
      </c>
      <c r="I4" s="2" t="n">
        <v>0</v>
      </c>
      <c r="J4" s="2" t="n">
        <v>1</v>
      </c>
      <c r="K4" s="2" t="n">
        <v>0</v>
      </c>
      <c r="L4" s="27" t="n">
        <v>670.604522381172</v>
      </c>
      <c r="M4" s="27">
        <f>L4*H4</f>
        <v/>
      </c>
      <c r="N4" s="27" t="n">
        <v>536.4836179049377</v>
      </c>
      <c r="O4" s="27" t="n"/>
      <c r="P4" s="3" t="n"/>
    </row>
    <row r="5" ht="15" customHeight="1" s="53">
      <c r="A5" s="2" t="inlineStr">
        <is>
          <t>P0026</t>
        </is>
      </c>
      <c r="B5" s="2" t="inlineStr">
        <is>
          <t>יורם שלמה</t>
        </is>
      </c>
      <c r="C5" s="2" t="inlineStr">
        <is>
          <t>רוה"מ</t>
        </is>
      </c>
      <c r="D5" s="2" t="inlineStr">
        <is>
          <t>01/01/2025</t>
        </is>
      </c>
      <c r="E5" s="2" t="inlineStr">
        <is>
          <t>01/01/2025</t>
        </is>
      </c>
      <c r="F5" s="2" t="inlineStr">
        <is>
          <t>01/2025</t>
        </is>
      </c>
      <c r="G5" s="2" t="n">
        <v>1</v>
      </c>
      <c r="H5" s="2" t="n">
        <v>1</v>
      </c>
      <c r="I5" s="2" t="n">
        <v>0</v>
      </c>
      <c r="J5" s="2" t="n">
        <v>0</v>
      </c>
      <c r="K5" s="2" t="n">
        <v>0</v>
      </c>
      <c r="L5" s="27" t="n">
        <v>1096.169820027688</v>
      </c>
      <c r="M5" s="27">
        <f>L5*H5</f>
        <v/>
      </c>
      <c r="N5" s="27" t="n"/>
      <c r="O5" s="27" t="n"/>
      <c r="P5" s="3" t="n"/>
    </row>
    <row r="6" ht="15" customHeight="1" s="53">
      <c r="A6" s="2" t="n"/>
      <c r="B6" s="2" t="inlineStr">
        <is>
          <t>יורם שלמה</t>
        </is>
      </c>
      <c r="C6" s="2" t="inlineStr">
        <is>
          <t>רוה"מ</t>
        </is>
      </c>
      <c r="D6" s="2" t="inlineStr">
        <is>
          <t>01/01/2025</t>
        </is>
      </c>
      <c r="E6" s="2" t="inlineStr">
        <is>
          <t>01/01/2025</t>
        </is>
      </c>
      <c r="F6" s="2" t="inlineStr">
        <is>
          <t>01/2025</t>
        </is>
      </c>
      <c r="G6" s="2" t="n">
        <v>1</v>
      </c>
      <c r="H6" s="2" t="n">
        <v>1</v>
      </c>
      <c r="I6" s="2" t="n">
        <v>0</v>
      </c>
      <c r="J6" s="2" t="n">
        <v>0</v>
      </c>
      <c r="K6" s="2" t="n">
        <v>0</v>
      </c>
      <c r="L6" s="27" t="n"/>
      <c r="M6" s="27" t="n"/>
      <c r="N6" s="27" t="n"/>
      <c r="O6" s="27" t="n">
        <v>420</v>
      </c>
      <c r="P6" s="3" t="n"/>
      <c r="Q6" s="28" t="n">
        <v>45775</v>
      </c>
    </row>
    <row r="7" ht="15" customHeight="1" s="53">
      <c r="A7" s="2" t="inlineStr">
        <is>
          <t>P0027</t>
        </is>
      </c>
      <c r="B7" s="2" t="inlineStr">
        <is>
          <t>יורם שלמה</t>
        </is>
      </c>
      <c r="C7" s="2" t="inlineStr">
        <is>
          <t>רוה"מ</t>
        </is>
      </c>
      <c r="D7" s="2" t="inlineStr">
        <is>
          <t>19/01/2025</t>
        </is>
      </c>
      <c r="E7" s="2" t="inlineStr">
        <is>
          <t>23/01/2025</t>
        </is>
      </c>
      <c r="F7" s="2" t="inlineStr">
        <is>
          <t>01/2025</t>
        </is>
      </c>
      <c r="G7" s="2" t="n">
        <v>5</v>
      </c>
      <c r="H7" s="2" t="n">
        <v>4</v>
      </c>
      <c r="I7" s="2" t="n">
        <v>0</v>
      </c>
      <c r="J7" s="2" t="n">
        <v>1</v>
      </c>
      <c r="K7" s="2" t="n">
        <v>0</v>
      </c>
      <c r="L7" s="27" t="n">
        <v>1096.169820027688</v>
      </c>
      <c r="M7" s="27">
        <f>L7*H7</f>
        <v/>
      </c>
      <c r="N7" s="27" t="n"/>
      <c r="O7" s="27" t="n"/>
      <c r="P7" s="3" t="n"/>
      <c r="Q7" s="28" t="n"/>
    </row>
    <row r="8" ht="15" customHeight="1" s="53">
      <c r="A8" s="2" t="n"/>
      <c r="B8" s="2" t="inlineStr">
        <is>
          <t>יורם שלמה</t>
        </is>
      </c>
      <c r="C8" s="2" t="inlineStr">
        <is>
          <t>רוה"מ</t>
        </is>
      </c>
      <c r="D8" s="2" t="inlineStr">
        <is>
          <t>19/01/2025</t>
        </is>
      </c>
      <c r="E8" s="2" t="inlineStr">
        <is>
          <t>23/01/2025</t>
        </is>
      </c>
      <c r="F8" s="2" t="inlineStr">
        <is>
          <t>01/2025</t>
        </is>
      </c>
      <c r="G8" s="2" t="n">
        <v>5</v>
      </c>
      <c r="H8" s="2" t="n">
        <v>4</v>
      </c>
      <c r="I8" s="2" t="n">
        <v>0</v>
      </c>
      <c r="J8" s="2" t="n">
        <v>1</v>
      </c>
      <c r="K8" s="2" t="n">
        <v>0</v>
      </c>
      <c r="L8" s="27" t="n"/>
      <c r="M8" s="27" t="n"/>
      <c r="N8" s="27" t="n"/>
      <c r="O8" s="27" t="n">
        <v>2103</v>
      </c>
      <c r="P8" s="3" t="n"/>
      <c r="Q8" s="28" t="n">
        <v>45775</v>
      </c>
    </row>
    <row r="9" ht="15" customHeight="1" s="53">
      <c r="A9" s="2" t="inlineStr">
        <is>
          <t>P0055</t>
        </is>
      </c>
      <c r="B9" s="2" t="inlineStr">
        <is>
          <t>לוי דור</t>
        </is>
      </c>
      <c r="C9" s="2" t="inlineStr">
        <is>
          <t>רפאל</t>
        </is>
      </c>
      <c r="D9" s="2" t="inlineStr">
        <is>
          <t>22/01/2025</t>
        </is>
      </c>
      <c r="E9" s="2" t="inlineStr">
        <is>
          <t>30/01/2025</t>
        </is>
      </c>
      <c r="F9" s="2" t="inlineStr">
        <is>
          <t>01/2025</t>
        </is>
      </c>
      <c r="G9" s="2" t="n">
        <v>9</v>
      </c>
      <c r="H9" s="2" t="n">
        <v>7</v>
      </c>
      <c r="I9" s="2" t="n">
        <v>1</v>
      </c>
      <c r="J9" s="2" t="n">
        <v>1</v>
      </c>
      <c r="K9" s="2" t="n">
        <v>0</v>
      </c>
      <c r="L9" s="27" t="n">
        <v>826.995846792801</v>
      </c>
      <c r="M9" s="27">
        <f>L9*H9</f>
        <v/>
      </c>
      <c r="N9" s="27" t="n">
        <v>1157.794185509921</v>
      </c>
      <c r="O9" s="27" t="n"/>
      <c r="P9" s="3" t="n"/>
    </row>
    <row r="10" ht="15" customHeight="1" s="53">
      <c r="A10" s="2" t="inlineStr">
        <is>
          <t>P0063</t>
        </is>
      </c>
      <c r="B10" s="2" t="inlineStr">
        <is>
          <t>מנפרד מרקוביץ'</t>
        </is>
      </c>
      <c r="C10" s="2" t="inlineStr">
        <is>
          <t>רפאל</t>
        </is>
      </c>
      <c r="D10" s="2" t="inlineStr">
        <is>
          <t>07/01/2025</t>
        </is>
      </c>
      <c r="E10" s="2" t="inlineStr">
        <is>
          <t>07/01/2025</t>
        </is>
      </c>
      <c r="F10" s="2" t="inlineStr">
        <is>
          <t>01/2025</t>
        </is>
      </c>
      <c r="G10" s="2" t="n">
        <v>1</v>
      </c>
      <c r="H10" s="2" t="n">
        <v>1</v>
      </c>
      <c r="I10" s="2" t="n">
        <v>0</v>
      </c>
      <c r="J10" s="2" t="n">
        <v>0</v>
      </c>
      <c r="K10" s="2" t="n">
        <v>0</v>
      </c>
      <c r="L10" s="27" t="n">
        <v>868.5740655283802</v>
      </c>
      <c r="M10" s="27">
        <f>L10*H10</f>
        <v/>
      </c>
      <c r="N10" s="27" t="n"/>
      <c r="O10" s="27" t="n"/>
      <c r="P10" s="3" t="n"/>
    </row>
    <row r="11" ht="15" customHeight="1" s="53">
      <c r="A11" s="2" t="inlineStr">
        <is>
          <t>P0063</t>
        </is>
      </c>
      <c r="B11" s="2" t="inlineStr">
        <is>
          <t>מנפרד מרקוביץ'</t>
        </is>
      </c>
      <c r="C11" s="2" t="inlineStr">
        <is>
          <t>רפאל</t>
        </is>
      </c>
      <c r="D11" s="2" t="inlineStr">
        <is>
          <t>07/01/2025</t>
        </is>
      </c>
      <c r="E11" s="2" t="inlineStr">
        <is>
          <t>07/01/2025</t>
        </is>
      </c>
      <c r="F11" s="2" t="inlineStr">
        <is>
          <t>01/2025</t>
        </is>
      </c>
      <c r="G11" s="2" t="n">
        <v>1</v>
      </c>
      <c r="H11" s="2" t="n">
        <v>1</v>
      </c>
      <c r="I11" s="2" t="n">
        <v>0</v>
      </c>
      <c r="J11" s="2" t="n">
        <v>0</v>
      </c>
      <c r="K11" s="2" t="n">
        <v>0</v>
      </c>
      <c r="L11" s="27" t="n"/>
      <c r="M11" s="27" t="n"/>
      <c r="N11" s="27" t="n"/>
      <c r="O11" s="27" t="n">
        <v>575</v>
      </c>
      <c r="P11" s="3" t="n"/>
      <c r="Q11" s="28" t="n">
        <v>45775</v>
      </c>
      <c r="R11" s="37">
        <f>O11</f>
        <v/>
      </c>
      <c r="S11" s="29" t="n">
        <v>45809</v>
      </c>
    </row>
    <row r="12" ht="15" customHeight="1" s="53">
      <c r="A12" s="2" t="inlineStr">
        <is>
          <t>P0064</t>
        </is>
      </c>
      <c r="B12" s="2" t="inlineStr">
        <is>
          <t>מנפרד מרקוביץ'</t>
        </is>
      </c>
      <c r="C12" s="2" t="inlineStr">
        <is>
          <t>רפאל</t>
        </is>
      </c>
      <c r="D12" s="2" t="inlineStr">
        <is>
          <t>16/01/2025</t>
        </is>
      </c>
      <c r="E12" s="2" t="inlineStr">
        <is>
          <t>16/01/2025</t>
        </is>
      </c>
      <c r="F12" s="2" t="inlineStr">
        <is>
          <t>01/2025</t>
        </is>
      </c>
      <c r="G12" s="2" t="n">
        <v>1</v>
      </c>
      <c r="H12" s="2" t="n">
        <v>1</v>
      </c>
      <c r="I12" s="2" t="n">
        <v>0</v>
      </c>
      <c r="J12" s="2" t="n">
        <v>0</v>
      </c>
      <c r="K12" s="2" t="n">
        <v>0</v>
      </c>
      <c r="L12" s="27" t="n">
        <v>868.5740655283802</v>
      </c>
      <c r="M12" s="27">
        <f>L12*H12</f>
        <v/>
      </c>
      <c r="N12" s="27" t="n"/>
      <c r="O12" s="27" t="n"/>
      <c r="P12" s="3" t="n"/>
    </row>
    <row r="13" ht="15" customHeight="1" s="53">
      <c r="A13" s="2" t="inlineStr">
        <is>
          <t>P0064</t>
        </is>
      </c>
      <c r="B13" s="2" t="inlineStr">
        <is>
          <t>מנפרד מרקוביץ'</t>
        </is>
      </c>
      <c r="C13" s="2" t="inlineStr">
        <is>
          <t>רפאל</t>
        </is>
      </c>
      <c r="D13" s="2" t="inlineStr">
        <is>
          <t>16/01/2025</t>
        </is>
      </c>
      <c r="E13" s="2" t="inlineStr">
        <is>
          <t>16/01/2025</t>
        </is>
      </c>
      <c r="F13" s="2" t="inlineStr">
        <is>
          <t>01/2025</t>
        </is>
      </c>
      <c r="G13" s="2" t="n">
        <v>1</v>
      </c>
      <c r="H13" s="2" t="n">
        <v>1</v>
      </c>
      <c r="I13" s="2" t="n">
        <v>0</v>
      </c>
      <c r="J13" s="2" t="n">
        <v>0</v>
      </c>
      <c r="K13" s="2" t="n">
        <v>0</v>
      </c>
      <c r="L13" s="27" t="n"/>
      <c r="M13" s="27" t="n"/>
      <c r="N13" s="27" t="n"/>
      <c r="O13" s="27" t="n">
        <v>575</v>
      </c>
      <c r="P13" s="3" t="n"/>
      <c r="Q13" s="28" t="n">
        <v>45775</v>
      </c>
      <c r="R13" s="37">
        <f>O13</f>
        <v/>
      </c>
      <c r="S13" s="29" t="n">
        <v>45809</v>
      </c>
    </row>
    <row r="14" ht="15" customHeight="1" s="53">
      <c r="A14" s="2" t="inlineStr">
        <is>
          <t>P0074</t>
        </is>
      </c>
      <c r="B14" s="2" t="inlineStr">
        <is>
          <t>משה בורך</t>
        </is>
      </c>
      <c r="C14" s="2" t="inlineStr">
        <is>
          <t>רפאל</t>
        </is>
      </c>
      <c r="D14" s="2" t="inlineStr">
        <is>
          <t>09/01/2025</t>
        </is>
      </c>
      <c r="E14" s="2" t="inlineStr">
        <is>
          <t>09/01/2025</t>
        </is>
      </c>
      <c r="F14" s="2" t="inlineStr">
        <is>
          <t>01/2025</t>
        </is>
      </c>
      <c r="G14" s="2" t="n">
        <v>1</v>
      </c>
      <c r="H14" s="2" t="n">
        <v>1</v>
      </c>
      <c r="I14" s="2" t="n">
        <v>0</v>
      </c>
      <c r="J14" s="2" t="n">
        <v>0</v>
      </c>
      <c r="K14" s="2" t="n">
        <v>0</v>
      </c>
      <c r="L14" s="27" t="n">
        <v>929.8569450853714</v>
      </c>
      <c r="M14" s="27">
        <f>L14*H14</f>
        <v/>
      </c>
      <c r="N14" s="27" t="n"/>
      <c r="O14" s="27" t="n"/>
      <c r="P14" s="3" t="n"/>
    </row>
    <row r="15" ht="15" customHeight="1" s="53">
      <c r="A15" s="2" t="n"/>
      <c r="B15" s="2" t="inlineStr">
        <is>
          <t>משה בורך</t>
        </is>
      </c>
      <c r="C15" s="2" t="inlineStr">
        <is>
          <t>רפאל</t>
        </is>
      </c>
      <c r="D15" s="2" t="inlineStr">
        <is>
          <t>09/01/2025</t>
        </is>
      </c>
      <c r="E15" s="2" t="inlineStr">
        <is>
          <t>09/01/2025</t>
        </is>
      </c>
      <c r="F15" s="2" t="inlineStr">
        <is>
          <t>01/2025</t>
        </is>
      </c>
      <c r="G15" s="2" t="n">
        <v>1</v>
      </c>
      <c r="H15" s="2" t="n">
        <v>1</v>
      </c>
      <c r="I15" s="2" t="n">
        <v>0</v>
      </c>
      <c r="J15" s="2" t="n">
        <v>0</v>
      </c>
      <c r="K15" s="2" t="n">
        <v>0</v>
      </c>
      <c r="L15" s="27" t="n"/>
      <c r="M15" s="27" t="n"/>
      <c r="N15" s="27" t="n"/>
      <c r="O15" s="27" t="n">
        <v>305</v>
      </c>
      <c r="P15" s="3" t="n"/>
      <c r="Q15" s="28" t="n">
        <v>45775</v>
      </c>
    </row>
    <row r="16" ht="15" customHeight="1" s="53">
      <c r="A16" s="2" t="inlineStr">
        <is>
          <t>P0075</t>
        </is>
      </c>
      <c r="B16" s="2" t="inlineStr">
        <is>
          <t>משה בורך</t>
        </is>
      </c>
      <c r="C16" s="2" t="inlineStr">
        <is>
          <t>רפאל</t>
        </is>
      </c>
      <c r="D16" s="2" t="inlineStr">
        <is>
          <t>29/01/2025</t>
        </is>
      </c>
      <c r="E16" s="2" t="inlineStr">
        <is>
          <t>30/01/2025</t>
        </is>
      </c>
      <c r="F16" s="2" t="inlineStr">
        <is>
          <t>01/2025</t>
        </is>
      </c>
      <c r="G16" s="2" t="n">
        <v>2</v>
      </c>
      <c r="H16" s="2" t="n">
        <v>2</v>
      </c>
      <c r="I16" s="2" t="n">
        <v>0</v>
      </c>
      <c r="J16" s="2" t="n">
        <v>0</v>
      </c>
      <c r="K16" s="2" t="n">
        <v>0</v>
      </c>
      <c r="L16" s="27" t="n">
        <v>929.8569450853714</v>
      </c>
      <c r="M16" s="27">
        <f>L16*H16</f>
        <v/>
      </c>
      <c r="N16" s="27" t="n"/>
      <c r="O16" s="27" t="n"/>
      <c r="P16" s="3" t="n"/>
    </row>
    <row r="17" ht="15" customHeight="1" s="53">
      <c r="A17" s="2" t="inlineStr">
        <is>
          <t>P0095</t>
        </is>
      </c>
      <c r="B17" s="2" t="inlineStr">
        <is>
          <t>נתן פרדר</t>
        </is>
      </c>
      <c r="C17" s="2" t="inlineStr">
        <is>
          <t>רוה"מ</t>
        </is>
      </c>
      <c r="D17" s="2" t="inlineStr">
        <is>
          <t>01/01/2025</t>
        </is>
      </c>
      <c r="E17" s="2" t="inlineStr">
        <is>
          <t>01/01/2025</t>
        </is>
      </c>
      <c r="F17" s="2" t="inlineStr">
        <is>
          <t>01/2025</t>
        </is>
      </c>
      <c r="G17" s="2" t="n">
        <v>1</v>
      </c>
      <c r="H17" s="2" t="n">
        <v>1</v>
      </c>
      <c r="I17" s="2" t="n">
        <v>0</v>
      </c>
      <c r="J17" s="2" t="n">
        <v>0</v>
      </c>
      <c r="K17" s="2" t="n">
        <v>0</v>
      </c>
      <c r="L17" s="27" t="n">
        <v>914.8592524227041</v>
      </c>
      <c r="M17" s="27">
        <f>L17*H17</f>
        <v/>
      </c>
      <c r="N17" s="27" t="n"/>
      <c r="O17" s="27" t="n"/>
      <c r="P17" s="3" t="n"/>
    </row>
    <row r="18" ht="15" customHeight="1" s="53">
      <c r="A18" s="2" t="inlineStr">
        <is>
          <t>P0096</t>
        </is>
      </c>
      <c r="B18" s="2" t="inlineStr">
        <is>
          <t>נתן פרדר</t>
        </is>
      </c>
      <c r="C18" s="2" t="inlineStr">
        <is>
          <t>רוה"מ</t>
        </is>
      </c>
      <c r="D18" s="2" t="inlineStr">
        <is>
          <t>05/01/2025</t>
        </is>
      </c>
      <c r="E18" s="2" t="inlineStr">
        <is>
          <t>11/01/2025</t>
        </is>
      </c>
      <c r="F18" s="2" t="inlineStr">
        <is>
          <t>01/2025</t>
        </is>
      </c>
      <c r="G18" s="2" t="n">
        <v>7</v>
      </c>
      <c r="H18" s="2" t="n">
        <v>5</v>
      </c>
      <c r="I18" s="2" t="n">
        <v>1</v>
      </c>
      <c r="J18" s="2" t="n">
        <v>1</v>
      </c>
      <c r="K18" s="2" t="n">
        <v>0</v>
      </c>
      <c r="L18" s="27" t="n">
        <v>914.8592524227041</v>
      </c>
      <c r="M18" s="27">
        <f>L18*H18</f>
        <v/>
      </c>
      <c r="N18" s="27" t="n"/>
      <c r="O18" s="27" t="n"/>
      <c r="P18" s="3" t="n"/>
    </row>
    <row r="19" ht="15" customHeight="1" s="53">
      <c r="A19" s="2" t="inlineStr">
        <is>
          <t>P0097</t>
        </is>
      </c>
      <c r="B19" s="2" t="inlineStr">
        <is>
          <t>נתן פרדר</t>
        </is>
      </c>
      <c r="C19" s="2" t="inlineStr">
        <is>
          <t>רוה"מ</t>
        </is>
      </c>
      <c r="D19" s="2" t="inlineStr">
        <is>
          <t>14/01/2025</t>
        </is>
      </c>
      <c r="E19" s="2" t="inlineStr">
        <is>
          <t>17/01/2025</t>
        </is>
      </c>
      <c r="F19" s="2" t="inlineStr">
        <is>
          <t>01/2025</t>
        </is>
      </c>
      <c r="G19" s="2" t="n">
        <v>4</v>
      </c>
      <c r="H19" s="2" t="n">
        <v>4</v>
      </c>
      <c r="I19" s="2" t="n">
        <v>0</v>
      </c>
      <c r="J19" s="2" t="n">
        <v>0</v>
      </c>
      <c r="K19" s="2" t="n">
        <v>0</v>
      </c>
      <c r="L19" s="27" t="n">
        <v>914.8592524227041</v>
      </c>
      <c r="M19" s="27">
        <f>L19*H19</f>
        <v/>
      </c>
      <c r="N19" s="27" t="n"/>
      <c r="O19" s="27" t="n"/>
      <c r="P19" s="3" t="n"/>
    </row>
    <row r="20" ht="15" customHeight="1" s="53">
      <c r="A20" s="2" t="n"/>
      <c r="B20" s="2" t="inlineStr">
        <is>
          <t>נתן פרדר</t>
        </is>
      </c>
      <c r="C20" s="2" t="inlineStr">
        <is>
          <t>רוה"מ</t>
        </is>
      </c>
      <c r="D20" s="2" t="inlineStr">
        <is>
          <t>14/01/2025</t>
        </is>
      </c>
      <c r="E20" s="2" t="inlineStr">
        <is>
          <t>17/01/2025</t>
        </is>
      </c>
      <c r="F20" s="2" t="inlineStr">
        <is>
          <t>01/2025</t>
        </is>
      </c>
      <c r="G20" s="2" t="n">
        <v>4</v>
      </c>
      <c r="H20" s="2" t="n">
        <v>4</v>
      </c>
      <c r="I20" s="2" t="n">
        <v>0</v>
      </c>
      <c r="J20" s="2" t="n">
        <v>0</v>
      </c>
      <c r="K20" s="2" t="n">
        <v>0</v>
      </c>
      <c r="L20" s="27" t="n"/>
      <c r="M20" s="27" t="n"/>
      <c r="N20" s="27" t="n"/>
      <c r="O20" s="27" t="n">
        <v>1785</v>
      </c>
      <c r="P20" s="3" t="n"/>
      <c r="Q20" s="28" t="n">
        <v>45775</v>
      </c>
    </row>
    <row r="21" ht="15" customHeight="1" s="53">
      <c r="A21" s="2" t="inlineStr">
        <is>
          <t>P0098</t>
        </is>
      </c>
      <c r="B21" s="2" t="inlineStr">
        <is>
          <t>נתן פרדר</t>
        </is>
      </c>
      <c r="C21" s="2" t="inlineStr">
        <is>
          <t>רוה"מ</t>
        </is>
      </c>
      <c r="D21" s="2" t="inlineStr">
        <is>
          <t>20/01/2025</t>
        </is>
      </c>
      <c r="E21" s="2" t="inlineStr">
        <is>
          <t>20/01/2025</t>
        </is>
      </c>
      <c r="F21" s="2" t="inlineStr">
        <is>
          <t>01/2025</t>
        </is>
      </c>
      <c r="G21" s="2" t="n">
        <v>1</v>
      </c>
      <c r="H21" s="2" t="n">
        <v>1</v>
      </c>
      <c r="I21" s="2" t="n">
        <v>0</v>
      </c>
      <c r="J21" s="2" t="n">
        <v>0</v>
      </c>
      <c r="K21" s="2" t="n">
        <v>0</v>
      </c>
      <c r="L21" s="27" t="n">
        <v>914.8592524227041</v>
      </c>
      <c r="M21" s="27">
        <f>L21*H21</f>
        <v/>
      </c>
      <c r="N21" s="27" t="n"/>
      <c r="O21" s="27" t="n"/>
      <c r="P21" s="3" t="n"/>
    </row>
    <row r="22" ht="15" customHeight="1" s="53">
      <c r="A22" s="2" t="n"/>
      <c r="B22" s="2" t="inlineStr">
        <is>
          <t>נתן פרדר</t>
        </is>
      </c>
      <c r="C22" s="2" t="inlineStr">
        <is>
          <t>רוה"מ</t>
        </is>
      </c>
      <c r="D22" s="2" t="inlineStr">
        <is>
          <t>20/01/2025</t>
        </is>
      </c>
      <c r="E22" s="2" t="inlineStr">
        <is>
          <t>20/01/2025</t>
        </is>
      </c>
      <c r="F22" s="2" t="inlineStr">
        <is>
          <t>01/2025</t>
        </is>
      </c>
      <c r="G22" s="2" t="n">
        <v>1</v>
      </c>
      <c r="H22" s="2" t="n">
        <v>1</v>
      </c>
      <c r="I22" s="2" t="n">
        <v>0</v>
      </c>
      <c r="J22" s="2" t="n">
        <v>0</v>
      </c>
      <c r="K22" s="2" t="n">
        <v>0</v>
      </c>
      <c r="L22" s="27" t="n"/>
      <c r="M22" s="27" t="n"/>
      <c r="N22" s="27" t="n"/>
      <c r="O22" s="27" t="n">
        <v>446</v>
      </c>
      <c r="P22" s="3" t="n"/>
      <c r="Q22" s="28" t="n">
        <v>45775</v>
      </c>
    </row>
    <row r="23" ht="15" customHeight="1" s="53">
      <c r="A23" s="2" t="inlineStr">
        <is>
          <t>P0099</t>
        </is>
      </c>
      <c r="B23" s="2" t="inlineStr">
        <is>
          <t>נתן פרדר</t>
        </is>
      </c>
      <c r="C23" s="2" t="inlineStr">
        <is>
          <t>רוה"מ</t>
        </is>
      </c>
      <c r="D23" s="2" t="inlineStr">
        <is>
          <t>24/01/2025</t>
        </is>
      </c>
      <c r="E23" s="2" t="inlineStr">
        <is>
          <t>26/01/2025</t>
        </is>
      </c>
      <c r="F23" s="2" t="inlineStr">
        <is>
          <t>01/2025</t>
        </is>
      </c>
      <c r="G23" s="2" t="n">
        <v>3</v>
      </c>
      <c r="H23" s="2" t="n">
        <v>1</v>
      </c>
      <c r="I23" s="2" t="n">
        <v>1</v>
      </c>
      <c r="J23" s="2" t="n">
        <v>1</v>
      </c>
      <c r="K23" s="2" t="n">
        <v>0</v>
      </c>
      <c r="L23" s="27" t="n">
        <v>914.8592524227041</v>
      </c>
      <c r="M23" s="27">
        <f>L23*H23</f>
        <v/>
      </c>
      <c r="N23" s="27" t="n"/>
      <c r="O23" s="27" t="n"/>
      <c r="P23" s="3" t="n"/>
    </row>
    <row r="24" ht="15" customHeight="1" s="53">
      <c r="A24" s="2" t="inlineStr">
        <is>
          <t>P0023</t>
        </is>
      </c>
      <c r="B24" s="2" t="inlineStr">
        <is>
          <t>יום טוב מוסארי</t>
        </is>
      </c>
      <c r="C24" s="2" t="inlineStr">
        <is>
          <t>רוה"מ</t>
        </is>
      </c>
      <c r="D24" s="2" t="inlineStr">
        <is>
          <t>20/02/2025</t>
        </is>
      </c>
      <c r="E24" s="2" t="inlineStr">
        <is>
          <t>20/02/2025</t>
        </is>
      </c>
      <c r="F24" s="2" t="inlineStr">
        <is>
          <t>02/2025</t>
        </is>
      </c>
      <c r="G24" s="2" t="n">
        <v>1</v>
      </c>
      <c r="H24" s="2" t="n">
        <v>1</v>
      </c>
      <c r="I24" s="2" t="n">
        <v>0</v>
      </c>
      <c r="J24" s="2" t="n">
        <v>0</v>
      </c>
      <c r="K24" s="2" t="n">
        <v>0</v>
      </c>
      <c r="L24" s="27" t="n">
        <v>1282.464236271343</v>
      </c>
      <c r="M24" s="27">
        <f>L24*H24</f>
        <v/>
      </c>
      <c r="N24" s="27" t="n">
        <v>256.4928472542686</v>
      </c>
      <c r="O24" s="27" t="n"/>
      <c r="P24" s="3" t="n"/>
    </row>
    <row r="25" ht="15" customHeight="1" s="53">
      <c r="A25" s="2" t="inlineStr">
        <is>
          <t>P0024</t>
        </is>
      </c>
      <c r="B25" s="2" t="inlineStr">
        <is>
          <t>יום טוב מוסארי</t>
        </is>
      </c>
      <c r="C25" s="2" t="inlineStr">
        <is>
          <t>רוה"מ</t>
        </is>
      </c>
      <c r="D25" s="2" t="inlineStr">
        <is>
          <t>23/02/2025</t>
        </is>
      </c>
      <c r="E25" s="2" t="inlineStr">
        <is>
          <t>23/02/2025</t>
        </is>
      </c>
      <c r="F25" s="2" t="inlineStr">
        <is>
          <t>02/2025</t>
        </is>
      </c>
      <c r="G25" s="2" t="n">
        <v>1</v>
      </c>
      <c r="H25" s="2" t="n">
        <v>0</v>
      </c>
      <c r="I25" s="2" t="n">
        <v>0</v>
      </c>
      <c r="J25" s="2" t="n">
        <v>1</v>
      </c>
      <c r="K25" s="2" t="n">
        <v>0</v>
      </c>
      <c r="L25" s="27" t="n">
        <v>1282.464236271343</v>
      </c>
      <c r="M25" s="27">
        <f>L25*H25</f>
        <v/>
      </c>
      <c r="N25" s="27" t="n">
        <v>0</v>
      </c>
      <c r="O25" s="27" t="n"/>
      <c r="P25" s="3" t="n"/>
    </row>
    <row r="26" ht="15" customHeight="1" s="53">
      <c r="A26" s="2" t="inlineStr">
        <is>
          <t>P0028</t>
        </is>
      </c>
      <c r="B26" s="2" t="inlineStr">
        <is>
          <t>יורם שלמה</t>
        </is>
      </c>
      <c r="C26" s="2" t="inlineStr">
        <is>
          <t>רוה"מ</t>
        </is>
      </c>
      <c r="D26" s="2" t="inlineStr">
        <is>
          <t>10/02/2025</t>
        </is>
      </c>
      <c r="E26" s="2" t="inlineStr">
        <is>
          <t>10/02/2025</t>
        </is>
      </c>
      <c r="F26" s="2" t="inlineStr">
        <is>
          <t>02/2025</t>
        </is>
      </c>
      <c r="G26" s="2" t="n">
        <v>1</v>
      </c>
      <c r="H26" s="2" t="n">
        <v>1</v>
      </c>
      <c r="I26" s="2" t="n">
        <v>0</v>
      </c>
      <c r="J26" s="2" t="n">
        <v>0</v>
      </c>
      <c r="K26" s="2" t="n">
        <v>0</v>
      </c>
      <c r="L26" s="27" t="n">
        <v>1096.169820027688</v>
      </c>
      <c r="M26" s="27">
        <f>L26*H26</f>
        <v/>
      </c>
      <c r="N26" s="27" t="n"/>
      <c r="O26" s="27" t="n"/>
      <c r="P26" s="3" t="n"/>
    </row>
    <row r="27" ht="15" customHeight="1" s="53">
      <c r="A27" s="2" t="n"/>
      <c r="B27" s="2" t="inlineStr">
        <is>
          <t>יורם שלמה</t>
        </is>
      </c>
      <c r="C27" s="2" t="inlineStr">
        <is>
          <t>רוה"מ</t>
        </is>
      </c>
      <c r="D27" s="2" t="inlineStr">
        <is>
          <t>10/02/2025</t>
        </is>
      </c>
      <c r="E27" s="2" t="inlineStr">
        <is>
          <t>10/02/2025</t>
        </is>
      </c>
      <c r="F27" s="2" t="inlineStr">
        <is>
          <t>02/2025</t>
        </is>
      </c>
      <c r="G27" s="2" t="n">
        <v>1</v>
      </c>
      <c r="H27" s="2" t="n">
        <v>1</v>
      </c>
      <c r="I27" s="2" t="n">
        <v>0</v>
      </c>
      <c r="J27" s="2" t="n">
        <v>0</v>
      </c>
      <c r="K27" s="2" t="n">
        <v>0</v>
      </c>
      <c r="L27" s="27" t="n"/>
      <c r="M27" s="27" t="n"/>
      <c r="N27" s="27" t="n"/>
      <c r="O27" s="27" t="n">
        <v>666</v>
      </c>
      <c r="P27" s="3" t="n"/>
      <c r="Q27" s="28" t="n">
        <v>45800</v>
      </c>
    </row>
    <row r="28" ht="15" customHeight="1" s="53">
      <c r="A28" s="2" t="inlineStr">
        <is>
          <t>P0029</t>
        </is>
      </c>
      <c r="B28" s="2" t="inlineStr">
        <is>
          <t>יורם שלמה</t>
        </is>
      </c>
      <c r="C28" s="2" t="inlineStr">
        <is>
          <t>רוה"מ</t>
        </is>
      </c>
      <c r="D28" s="2" t="inlineStr">
        <is>
          <t>18/02/2025</t>
        </is>
      </c>
      <c r="E28" s="2" t="inlineStr">
        <is>
          <t>19/02/2025</t>
        </is>
      </c>
      <c r="F28" s="2" t="inlineStr">
        <is>
          <t>02/2025</t>
        </is>
      </c>
      <c r="G28" s="2" t="n">
        <v>2</v>
      </c>
      <c r="H28" s="2" t="n">
        <v>2</v>
      </c>
      <c r="I28" s="2" t="n">
        <v>0</v>
      </c>
      <c r="J28" s="2" t="n">
        <v>0</v>
      </c>
      <c r="K28" s="2" t="n">
        <v>0</v>
      </c>
      <c r="L28" s="27" t="n">
        <v>1096.169820027688</v>
      </c>
      <c r="M28" s="27">
        <f>L28*H28</f>
        <v/>
      </c>
      <c r="N28" s="27" t="n"/>
      <c r="O28" s="27" t="n"/>
      <c r="P28" s="3" t="n"/>
    </row>
    <row r="29" ht="15" customHeight="1" s="53">
      <c r="A29" s="2" t="inlineStr">
        <is>
          <t>P0030</t>
        </is>
      </c>
      <c r="B29" s="2" t="inlineStr">
        <is>
          <t>יורם שלמה</t>
        </is>
      </c>
      <c r="C29" s="2" t="inlineStr">
        <is>
          <t>רוה"מ</t>
        </is>
      </c>
      <c r="D29" s="2" t="inlineStr">
        <is>
          <t>26/02/2025</t>
        </is>
      </c>
      <c r="E29" s="2" t="inlineStr">
        <is>
          <t>26/02/2025</t>
        </is>
      </c>
      <c r="F29" s="2" t="inlineStr">
        <is>
          <t>02/2025</t>
        </is>
      </c>
      <c r="G29" s="2" t="n">
        <v>1</v>
      </c>
      <c r="H29" s="2" t="n">
        <v>1</v>
      </c>
      <c r="I29" s="2" t="n">
        <v>0</v>
      </c>
      <c r="J29" s="2" t="n">
        <v>0</v>
      </c>
      <c r="K29" s="2" t="n">
        <v>0</v>
      </c>
      <c r="L29" s="27" t="n">
        <v>1096.169820027688</v>
      </c>
      <c r="M29" s="27">
        <f>L29*H29</f>
        <v/>
      </c>
      <c r="N29" s="27" t="n"/>
      <c r="O29" s="27" t="n"/>
      <c r="P29" s="3" t="n"/>
    </row>
    <row r="30" ht="15" customHeight="1" s="53">
      <c r="A30" s="2" t="n"/>
      <c r="B30" s="2" t="inlineStr">
        <is>
          <t>יורם שלמה</t>
        </is>
      </c>
      <c r="C30" s="2" t="inlineStr">
        <is>
          <t>רוה"מ</t>
        </is>
      </c>
      <c r="D30" s="2" t="inlineStr">
        <is>
          <t>26/02/2025</t>
        </is>
      </c>
      <c r="E30" s="2" t="inlineStr">
        <is>
          <t>26/02/2025</t>
        </is>
      </c>
      <c r="F30" s="2" t="inlineStr">
        <is>
          <t>02/2025</t>
        </is>
      </c>
      <c r="G30" s="2" t="n">
        <v>1</v>
      </c>
      <c r="H30" s="2" t="n">
        <v>1</v>
      </c>
      <c r="I30" s="2" t="n">
        <v>0</v>
      </c>
      <c r="J30" s="2" t="n">
        <v>0</v>
      </c>
      <c r="K30" s="2" t="n">
        <v>0</v>
      </c>
      <c r="L30" s="27" t="n"/>
      <c r="M30" s="27" t="n"/>
      <c r="N30" s="27" t="n"/>
      <c r="O30" s="27" t="n">
        <v>666</v>
      </c>
      <c r="P30" s="3" t="n"/>
      <c r="Q30" s="28" t="n">
        <v>45800</v>
      </c>
    </row>
    <row r="31" ht="15" customHeight="1" s="53">
      <c r="A31" s="2" t="inlineStr">
        <is>
          <t>P0065</t>
        </is>
      </c>
      <c r="B31" s="2" t="inlineStr">
        <is>
          <t>מנפרד מרקוביץ'</t>
        </is>
      </c>
      <c r="C31" s="2" t="inlineStr">
        <is>
          <t>רפאל</t>
        </is>
      </c>
      <c r="D31" s="2" t="inlineStr">
        <is>
          <t>24/02/2025</t>
        </is>
      </c>
      <c r="E31" s="2" t="inlineStr">
        <is>
          <t>28/02/2025</t>
        </is>
      </c>
      <c r="F31" s="2" t="inlineStr">
        <is>
          <t>02/2025</t>
        </is>
      </c>
      <c r="G31" s="2" t="n">
        <v>5</v>
      </c>
      <c r="H31" s="2" t="n">
        <v>5</v>
      </c>
      <c r="I31" s="2" t="n">
        <v>0</v>
      </c>
      <c r="J31" s="2" t="n">
        <v>0</v>
      </c>
      <c r="K31" s="2" t="n">
        <v>0</v>
      </c>
      <c r="L31" s="27" t="n">
        <v>868.5740655283802</v>
      </c>
      <c r="M31" s="27">
        <f>L31*H31</f>
        <v/>
      </c>
      <c r="N31" s="27" t="n"/>
      <c r="O31" s="27" t="n"/>
      <c r="P31" s="3" t="n"/>
    </row>
    <row r="32" ht="15" customHeight="1" s="53">
      <c r="A32" s="2" t="inlineStr">
        <is>
          <t>P0076</t>
        </is>
      </c>
      <c r="B32" s="2" t="inlineStr">
        <is>
          <t>משה בורך</t>
        </is>
      </c>
      <c r="C32" s="2" t="inlineStr">
        <is>
          <t>רפאל</t>
        </is>
      </c>
      <c r="D32" s="2" t="inlineStr">
        <is>
          <t>23/02/2025</t>
        </is>
      </c>
      <c r="E32" s="2" t="inlineStr">
        <is>
          <t>23/02/2025</t>
        </is>
      </c>
      <c r="F32" s="2" t="inlineStr">
        <is>
          <t>02/2025</t>
        </is>
      </c>
      <c r="G32" s="2" t="n">
        <v>1</v>
      </c>
      <c r="H32" s="2" t="n">
        <v>0</v>
      </c>
      <c r="I32" s="2" t="n">
        <v>0</v>
      </c>
      <c r="J32" s="2" t="n">
        <v>1</v>
      </c>
      <c r="K32" s="2" t="n">
        <v>0</v>
      </c>
      <c r="L32" s="27" t="n">
        <v>929.8569450853714</v>
      </c>
      <c r="M32" s="27">
        <f>L32*H32</f>
        <v/>
      </c>
      <c r="N32" s="27" t="n"/>
      <c r="O32" s="27" t="n"/>
      <c r="P32" s="3" t="n"/>
    </row>
    <row r="33" ht="15" customHeight="1" s="53">
      <c r="A33" s="2" t="inlineStr">
        <is>
          <t>P0077</t>
        </is>
      </c>
      <c r="B33" s="2" t="inlineStr">
        <is>
          <t>משה בורך</t>
        </is>
      </c>
      <c r="C33" s="2" t="inlineStr">
        <is>
          <t>רפאל</t>
        </is>
      </c>
      <c r="D33" s="2" t="inlineStr">
        <is>
          <t>26/02/2025</t>
        </is>
      </c>
      <c r="E33" s="2" t="inlineStr">
        <is>
          <t>26/02/2025</t>
        </is>
      </c>
      <c r="F33" s="2" t="inlineStr">
        <is>
          <t>02/2025</t>
        </is>
      </c>
      <c r="G33" s="2" t="n">
        <v>1</v>
      </c>
      <c r="H33" s="2" t="n">
        <v>1</v>
      </c>
      <c r="I33" s="2" t="n">
        <v>0</v>
      </c>
      <c r="J33" s="2" t="n">
        <v>0</v>
      </c>
      <c r="K33" s="2" t="n">
        <v>0</v>
      </c>
      <c r="L33" s="27" t="n">
        <v>929.8569450853714</v>
      </c>
      <c r="M33" s="27">
        <f>L33*H33</f>
        <v/>
      </c>
      <c r="N33" s="27" t="n"/>
      <c r="O33" s="27" t="n"/>
      <c r="P33" s="3" t="n"/>
    </row>
    <row r="34" ht="15" customHeight="1" s="53">
      <c r="A34" s="2" t="inlineStr">
        <is>
          <t>P0100</t>
        </is>
      </c>
      <c r="B34" s="2" t="inlineStr">
        <is>
          <t>נתן פרדר</t>
        </is>
      </c>
      <c r="C34" s="2" t="inlineStr">
        <is>
          <t>רוה"מ</t>
        </is>
      </c>
      <c r="D34" s="2" t="inlineStr">
        <is>
          <t>10/02/2025</t>
        </is>
      </c>
      <c r="E34" s="2" t="inlineStr">
        <is>
          <t>11/02/2025</t>
        </is>
      </c>
      <c r="F34" s="2" t="inlineStr">
        <is>
          <t>02/2025</t>
        </is>
      </c>
      <c r="G34" s="2" t="n">
        <v>2</v>
      </c>
      <c r="H34" s="2" t="n">
        <v>2</v>
      </c>
      <c r="I34" s="2" t="n">
        <v>0</v>
      </c>
      <c r="J34" s="2" t="n">
        <v>0</v>
      </c>
      <c r="K34" s="2" t="n">
        <v>0</v>
      </c>
      <c r="L34" s="27" t="n">
        <v>914.8592524227041</v>
      </c>
      <c r="M34" s="27">
        <f>L34*H34</f>
        <v/>
      </c>
      <c r="N34" s="27" t="n"/>
      <c r="O34" s="27" t="n"/>
      <c r="P34" s="3" t="n"/>
    </row>
    <row r="35" ht="15" customHeight="1" s="53">
      <c r="A35" s="2" t="inlineStr">
        <is>
          <t>P0101</t>
        </is>
      </c>
      <c r="B35" s="2" t="inlineStr">
        <is>
          <t>נתן פרדר</t>
        </is>
      </c>
      <c r="C35" s="2" t="inlineStr">
        <is>
          <t>רוה"מ</t>
        </is>
      </c>
      <c r="D35" s="2" t="inlineStr">
        <is>
          <t>13/02/2025</t>
        </is>
      </c>
      <c r="E35" s="2" t="inlineStr">
        <is>
          <t>13/02/2025</t>
        </is>
      </c>
      <c r="F35" s="2" t="inlineStr">
        <is>
          <t>02/2025</t>
        </is>
      </c>
      <c r="G35" s="2" t="n">
        <v>1</v>
      </c>
      <c r="H35" s="2" t="n">
        <v>1</v>
      </c>
      <c r="I35" s="2" t="n">
        <v>0</v>
      </c>
      <c r="J35" s="2" t="n">
        <v>0</v>
      </c>
      <c r="K35" s="2" t="n">
        <v>0</v>
      </c>
      <c r="L35" s="27" t="n">
        <v>914.8592524227041</v>
      </c>
      <c r="M35" s="27">
        <f>L35*H35</f>
        <v/>
      </c>
      <c r="N35" s="27" t="n"/>
      <c r="O35" s="27" t="n"/>
      <c r="P35" s="3" t="n"/>
    </row>
    <row r="36" ht="15" customHeight="1" s="53">
      <c r="A36" s="2" t="inlineStr">
        <is>
          <t>P0102</t>
        </is>
      </c>
      <c r="B36" s="2" t="inlineStr">
        <is>
          <t>נתן פרדר</t>
        </is>
      </c>
      <c r="C36" s="2" t="inlineStr">
        <is>
          <t>רוה"מ</t>
        </is>
      </c>
      <c r="D36" s="2" t="inlineStr">
        <is>
          <t>17/02/2025</t>
        </is>
      </c>
      <c r="E36" s="2" t="inlineStr">
        <is>
          <t>18/02/2025</t>
        </is>
      </c>
      <c r="F36" s="2" t="inlineStr">
        <is>
          <t>02/2025</t>
        </is>
      </c>
      <c r="G36" s="2" t="n">
        <v>2</v>
      </c>
      <c r="H36" s="2" t="n">
        <v>2</v>
      </c>
      <c r="I36" s="2" t="n">
        <v>0</v>
      </c>
      <c r="J36" s="2" t="n">
        <v>0</v>
      </c>
      <c r="K36" s="2" t="n">
        <v>0</v>
      </c>
      <c r="L36" s="27" t="n">
        <v>914.8592524227041</v>
      </c>
      <c r="M36" s="27">
        <f>L36*H36</f>
        <v/>
      </c>
      <c r="N36" s="27" t="n"/>
      <c r="O36" s="27" t="n"/>
      <c r="P36" s="3" t="n"/>
    </row>
    <row r="37" ht="15" customHeight="1" s="53">
      <c r="A37" s="2" t="inlineStr">
        <is>
          <t>P0103</t>
        </is>
      </c>
      <c r="B37" s="2" t="inlineStr">
        <is>
          <t>נתן פרדר</t>
        </is>
      </c>
      <c r="C37" s="2" t="inlineStr">
        <is>
          <t>רוה"מ</t>
        </is>
      </c>
      <c r="D37" s="2" t="inlineStr">
        <is>
          <t>24/02/2025</t>
        </is>
      </c>
      <c r="E37" s="2" t="inlineStr">
        <is>
          <t>25/02/2025</t>
        </is>
      </c>
      <c r="F37" s="2" t="inlineStr">
        <is>
          <t>02/2025</t>
        </is>
      </c>
      <c r="G37" s="2" t="n">
        <v>2</v>
      </c>
      <c r="H37" s="2" t="n">
        <v>2</v>
      </c>
      <c r="I37" s="2" t="n">
        <v>0</v>
      </c>
      <c r="J37" s="2" t="n">
        <v>0</v>
      </c>
      <c r="K37" s="2" t="n">
        <v>0</v>
      </c>
      <c r="L37" s="27" t="n">
        <v>914.8592524227041</v>
      </c>
      <c r="M37" s="27">
        <f>L37*H37</f>
        <v/>
      </c>
      <c r="N37" s="27" t="n"/>
      <c r="O37" s="27" t="n"/>
      <c r="P37" s="3" t="n"/>
    </row>
    <row r="38" ht="15" customHeight="1" s="53">
      <c r="A38" s="2" t="inlineStr">
        <is>
          <t>P0001</t>
        </is>
      </c>
      <c r="B38" s="2" t="inlineStr">
        <is>
          <t>אוראל שווקי</t>
        </is>
      </c>
      <c r="C38" s="2" t="inlineStr">
        <is>
          <t>רפאל</t>
        </is>
      </c>
      <c r="D38" s="2" t="inlineStr">
        <is>
          <t>19/03/2025</t>
        </is>
      </c>
      <c r="E38" s="2" t="inlineStr">
        <is>
          <t>19/03/2025</t>
        </is>
      </c>
      <c r="F38" s="2" t="inlineStr">
        <is>
          <t>03/2025</t>
        </is>
      </c>
      <c r="G38" s="2" t="n">
        <v>1</v>
      </c>
      <c r="H38" s="2" t="n">
        <v>1</v>
      </c>
      <c r="I38" s="2" t="n">
        <v>0</v>
      </c>
      <c r="J38" s="2" t="n">
        <v>0</v>
      </c>
      <c r="K38" s="2" t="n">
        <v>0</v>
      </c>
      <c r="L38" s="27" t="n">
        <v>863.7286571296723</v>
      </c>
      <c r="M38" s="27">
        <f>L38*H38</f>
        <v/>
      </c>
      <c r="N38" s="27" t="n">
        <v>172.7457314259345</v>
      </c>
      <c r="O38" s="27" t="n"/>
      <c r="P38" s="3" t="n"/>
    </row>
    <row r="39" ht="15" customHeight="1" s="53">
      <c r="A39" s="2" t="inlineStr">
        <is>
          <t>P0009</t>
        </is>
      </c>
      <c r="B39" s="2" t="inlineStr">
        <is>
          <t>אריאל אליה</t>
        </is>
      </c>
      <c r="C39" s="2" t="inlineStr">
        <is>
          <t>מל"מ</t>
        </is>
      </c>
      <c r="D39" s="2" t="inlineStr">
        <is>
          <t>02/03/2025</t>
        </is>
      </c>
      <c r="E39" s="2" t="inlineStr">
        <is>
          <t>05/03/2025</t>
        </is>
      </c>
      <c r="F39" s="2" t="inlineStr">
        <is>
          <t>03/2025</t>
        </is>
      </c>
      <c r="G39" s="2" t="n">
        <v>4</v>
      </c>
      <c r="H39" s="2" t="n">
        <v>3</v>
      </c>
      <c r="I39" s="2" t="n">
        <v>0</v>
      </c>
      <c r="J39" s="2" t="n">
        <v>1</v>
      </c>
      <c r="K39" s="2" t="n">
        <v>0</v>
      </c>
      <c r="L39" s="27" t="n">
        <v>868.8509460083063</v>
      </c>
      <c r="M39" s="27">
        <f>L39*H39</f>
        <v/>
      </c>
      <c r="N39" s="27" t="n">
        <v>521.3105676049838</v>
      </c>
      <c r="O39" s="27" t="n"/>
      <c r="P39" s="3" t="n"/>
    </row>
    <row r="40" ht="15" customHeight="1" s="53">
      <c r="A40" s="2" t="inlineStr">
        <is>
          <t>P0031</t>
        </is>
      </c>
      <c r="B40" s="2" t="inlineStr">
        <is>
          <t>יורם שלמה</t>
        </is>
      </c>
      <c r="C40" s="2" t="inlineStr">
        <is>
          <t>רוה"מ</t>
        </is>
      </c>
      <c r="D40" s="2" t="inlineStr">
        <is>
          <t>04/03/2025</t>
        </is>
      </c>
      <c r="E40" s="2" t="inlineStr">
        <is>
          <t>04/03/2025</t>
        </is>
      </c>
      <c r="F40" s="2" t="inlineStr">
        <is>
          <t>03/2025</t>
        </is>
      </c>
      <c r="G40" s="2" t="n">
        <v>1</v>
      </c>
      <c r="H40" s="2" t="n">
        <v>1</v>
      </c>
      <c r="I40" s="2" t="n">
        <v>0</v>
      </c>
      <c r="J40" s="2" t="n">
        <v>0</v>
      </c>
      <c r="K40" s="2" t="n">
        <v>0</v>
      </c>
      <c r="L40" s="27" t="n">
        <v>1096.169820027688</v>
      </c>
      <c r="M40" s="27">
        <f>L40*H40</f>
        <v/>
      </c>
      <c r="N40" s="27" t="n"/>
      <c r="O40" s="27" t="n"/>
      <c r="P40" s="3" t="n"/>
    </row>
    <row r="41" ht="15" customHeight="1" s="53">
      <c r="A41" s="2" t="n"/>
      <c r="B41" s="2" t="inlineStr">
        <is>
          <t>יורם שלמה</t>
        </is>
      </c>
      <c r="C41" s="2" t="inlineStr">
        <is>
          <t>רוה"מ</t>
        </is>
      </c>
      <c r="D41" s="2" t="inlineStr">
        <is>
          <t>04/03/2025</t>
        </is>
      </c>
      <c r="E41" s="2" t="inlineStr">
        <is>
          <t>04/03/2025</t>
        </is>
      </c>
      <c r="F41" s="2" t="inlineStr">
        <is>
          <t>03/2025</t>
        </is>
      </c>
      <c r="G41" s="2" t="n">
        <v>1</v>
      </c>
      <c r="H41" s="2" t="n">
        <v>1</v>
      </c>
      <c r="I41" s="2" t="n">
        <v>0</v>
      </c>
      <c r="J41" s="2" t="n">
        <v>0</v>
      </c>
      <c r="K41" s="2" t="n">
        <v>0</v>
      </c>
      <c r="L41" s="27" t="n"/>
      <c r="M41" s="27" t="n"/>
      <c r="N41" s="27" t="n"/>
      <c r="O41" s="27" t="n">
        <v>666</v>
      </c>
      <c r="P41" s="3" t="n"/>
      <c r="Q41" s="28" t="n">
        <v>45834</v>
      </c>
    </row>
    <row r="42" ht="15" customHeight="1" s="53">
      <c r="A42" s="2" t="inlineStr">
        <is>
          <t>P0032</t>
        </is>
      </c>
      <c r="B42" s="2" t="inlineStr">
        <is>
          <t>יורם שלמה</t>
        </is>
      </c>
      <c r="C42" s="2" t="inlineStr">
        <is>
          <t>רוה"מ</t>
        </is>
      </c>
      <c r="D42" s="2" t="inlineStr">
        <is>
          <t>17/03/2025</t>
        </is>
      </c>
      <c r="E42" s="31" t="n">
        <v>45735</v>
      </c>
      <c r="F42" s="2" t="inlineStr">
        <is>
          <t>03/2025</t>
        </is>
      </c>
      <c r="G42" s="2" t="n">
        <v>3</v>
      </c>
      <c r="H42" s="2" t="n">
        <v>3</v>
      </c>
      <c r="I42" s="2" t="n">
        <v>0</v>
      </c>
      <c r="J42" s="2" t="n">
        <v>0</v>
      </c>
      <c r="K42" s="2" t="n">
        <v>0</v>
      </c>
      <c r="L42" s="27" t="n">
        <v>1096.169820027688</v>
      </c>
      <c r="M42" s="27">
        <f>L42*H42</f>
        <v/>
      </c>
      <c r="N42" s="27" t="n"/>
      <c r="O42" s="27" t="n"/>
      <c r="P42" s="3" t="n"/>
    </row>
    <row r="43" ht="15" customHeight="1" s="53">
      <c r="A43" s="2" t="n"/>
      <c r="B43" s="2" t="inlineStr">
        <is>
          <t>יורם שלמה</t>
        </is>
      </c>
      <c r="C43" s="2" t="inlineStr">
        <is>
          <t>רוה"מ</t>
        </is>
      </c>
      <c r="D43" s="2" t="inlineStr">
        <is>
          <t>17/03/2025</t>
        </is>
      </c>
      <c r="E43" s="31" t="n">
        <v>45735</v>
      </c>
      <c r="F43" s="2" t="inlineStr">
        <is>
          <t>03/2025</t>
        </is>
      </c>
      <c r="G43" s="2" t="n">
        <v>3</v>
      </c>
      <c r="H43" s="2" t="n">
        <v>3</v>
      </c>
      <c r="I43" s="2" t="n">
        <v>0</v>
      </c>
      <c r="J43" s="2" t="n">
        <v>0</v>
      </c>
      <c r="K43" s="2" t="n">
        <v>0</v>
      </c>
      <c r="L43" s="27" t="n"/>
      <c r="M43" s="27" t="n"/>
      <c r="N43" s="27" t="n"/>
      <c r="O43" s="27" t="n">
        <v>1999</v>
      </c>
      <c r="P43" s="3" t="n"/>
      <c r="Q43" s="28" t="n">
        <v>45834</v>
      </c>
    </row>
    <row r="44" ht="15" customHeight="1" s="53">
      <c r="A44" s="2" t="inlineStr">
        <is>
          <t>P0033</t>
        </is>
      </c>
      <c r="B44" s="2" t="inlineStr">
        <is>
          <t>יורם שלמה</t>
        </is>
      </c>
      <c r="C44" s="2" t="inlineStr">
        <is>
          <t>רוה"מ</t>
        </is>
      </c>
      <c r="D44" s="2" t="inlineStr">
        <is>
          <t>30/03/2025</t>
        </is>
      </c>
      <c r="E44" s="31" t="n">
        <v>45747</v>
      </c>
      <c r="F44" s="2" t="inlineStr">
        <is>
          <t>03/2025</t>
        </is>
      </c>
      <c r="G44" s="2" t="n">
        <v>5</v>
      </c>
      <c r="H44" s="2" t="n">
        <v>4</v>
      </c>
      <c r="I44" s="2" t="n">
        <v>0</v>
      </c>
      <c r="J44" s="2" t="n">
        <v>1</v>
      </c>
      <c r="K44" s="2" t="n">
        <v>0</v>
      </c>
      <c r="L44" s="27" t="n">
        <v>1096.169820027688</v>
      </c>
      <c r="M44" s="27">
        <f>L44*H44</f>
        <v/>
      </c>
      <c r="N44" s="27" t="n"/>
      <c r="O44" s="27" t="n"/>
      <c r="P44" s="3" t="n"/>
    </row>
    <row r="45" ht="15" customHeight="1" s="53">
      <c r="A45" s="2" t="inlineStr">
        <is>
          <t>P0050</t>
        </is>
      </c>
      <c r="B45" s="2" t="inlineStr">
        <is>
          <t>לאון שמייב</t>
        </is>
      </c>
      <c r="C45" s="2" t="inlineStr">
        <is>
          <t>רוה"מ</t>
        </is>
      </c>
      <c r="D45" s="2" t="inlineStr">
        <is>
          <t>24/03/2025</t>
        </is>
      </c>
      <c r="E45" s="2" t="inlineStr">
        <is>
          <t>24/03/2025</t>
        </is>
      </c>
      <c r="F45" s="2" t="inlineStr">
        <is>
          <t>03/2025</t>
        </is>
      </c>
      <c r="G45" s="2" t="n">
        <v>1</v>
      </c>
      <c r="H45" s="2" t="n">
        <v>1</v>
      </c>
      <c r="I45" s="2" t="n">
        <v>0</v>
      </c>
      <c r="J45" s="2" t="n">
        <v>0</v>
      </c>
      <c r="K45" s="2" t="n">
        <v>0</v>
      </c>
      <c r="L45" s="27" t="n">
        <v>730.2722658052606</v>
      </c>
      <c r="M45" s="27">
        <f>L45*H45</f>
        <v/>
      </c>
      <c r="N45" s="27" t="n">
        <v>146.0544531610521</v>
      </c>
      <c r="O45" s="27" t="n"/>
      <c r="P45" s="3" t="n"/>
    </row>
    <row r="46" ht="15" customHeight="1" s="53">
      <c r="A46" s="2" t="inlineStr">
        <is>
          <t>P0066</t>
        </is>
      </c>
      <c r="B46" s="2" t="inlineStr">
        <is>
          <t>מנפרד מרקוביץ'</t>
        </is>
      </c>
      <c r="C46" s="2" t="inlineStr">
        <is>
          <t>רפאל</t>
        </is>
      </c>
      <c r="D46" s="2" t="inlineStr">
        <is>
          <t>19/03/2025</t>
        </is>
      </c>
      <c r="E46" s="2" t="inlineStr">
        <is>
          <t>20/03/2025</t>
        </is>
      </c>
      <c r="F46" s="2" t="inlineStr">
        <is>
          <t>03/2025</t>
        </is>
      </c>
      <c r="G46" s="2" t="n">
        <v>2</v>
      </c>
      <c r="H46" s="2" t="n">
        <v>2</v>
      </c>
      <c r="I46" s="2" t="n">
        <v>0</v>
      </c>
      <c r="J46" s="2" t="n">
        <v>0</v>
      </c>
      <c r="K46" s="2" t="n">
        <v>0</v>
      </c>
      <c r="L46" s="27" t="n">
        <v>868.5740655283802</v>
      </c>
      <c r="M46" s="27">
        <f>L46*H46</f>
        <v/>
      </c>
      <c r="N46" s="27" t="n"/>
      <c r="O46" s="27" t="n"/>
      <c r="P46" s="3" t="n"/>
    </row>
    <row r="47" ht="15" customHeight="1" s="53">
      <c r="A47" s="2" t="n"/>
      <c r="B47" s="2" t="inlineStr">
        <is>
          <t>מנפרד מרקוביץ'</t>
        </is>
      </c>
      <c r="C47" s="2" t="inlineStr">
        <is>
          <t>רפאל</t>
        </is>
      </c>
      <c r="D47" s="2" t="inlineStr">
        <is>
          <t>19/03/2025</t>
        </is>
      </c>
      <c r="E47" s="2" t="inlineStr">
        <is>
          <t>20/03/2025</t>
        </is>
      </c>
      <c r="F47" s="2" t="inlineStr">
        <is>
          <t>03/2025</t>
        </is>
      </c>
      <c r="G47" s="2" t="n">
        <v>2</v>
      </c>
      <c r="H47" s="2" t="n">
        <v>2</v>
      </c>
      <c r="I47" s="2" t="n">
        <v>0</v>
      </c>
      <c r="J47" s="2" t="n">
        <v>0</v>
      </c>
      <c r="K47" s="2" t="n">
        <v>0</v>
      </c>
      <c r="L47" s="27" t="n"/>
      <c r="M47" s="27" t="n"/>
      <c r="N47" s="27" t="n"/>
      <c r="O47" s="27" t="n">
        <v>1149</v>
      </c>
      <c r="P47" s="3" t="n"/>
      <c r="Q47" s="28" t="n">
        <v>45834</v>
      </c>
    </row>
    <row r="48" ht="15" customHeight="1" s="53">
      <c r="A48" s="2" t="inlineStr">
        <is>
          <t>P0067</t>
        </is>
      </c>
      <c r="B48" s="2" t="inlineStr">
        <is>
          <t>מנפרד מרקוביץ'</t>
        </is>
      </c>
      <c r="C48" s="2" t="inlineStr">
        <is>
          <t>רפאל</t>
        </is>
      </c>
      <c r="D48" s="2" t="inlineStr">
        <is>
          <t>26/03/2025</t>
        </is>
      </c>
      <c r="E48" s="2" t="inlineStr">
        <is>
          <t>26/03/2025</t>
        </is>
      </c>
      <c r="F48" s="2" t="inlineStr">
        <is>
          <t>03/2025</t>
        </is>
      </c>
      <c r="G48" s="2" t="n">
        <v>1</v>
      </c>
      <c r="H48" s="2" t="n">
        <v>1</v>
      </c>
      <c r="I48" s="2" t="n">
        <v>0</v>
      </c>
      <c r="J48" s="2" t="n">
        <v>0</v>
      </c>
      <c r="K48" s="2" t="n">
        <v>0</v>
      </c>
      <c r="L48" s="27" t="n">
        <v>868.5740655283802</v>
      </c>
      <c r="M48" s="27">
        <f>L48*H48</f>
        <v/>
      </c>
      <c r="N48" s="27" t="n"/>
      <c r="O48" s="27" t="n"/>
      <c r="P48" s="3" t="n"/>
    </row>
    <row r="49" ht="15" customHeight="1" s="53">
      <c r="A49" s="2" t="inlineStr">
        <is>
          <t>P0034</t>
        </is>
      </c>
      <c r="B49" s="2" t="inlineStr">
        <is>
          <t>יורם שלמה</t>
        </is>
      </c>
      <c r="C49" s="2" t="inlineStr">
        <is>
          <t>רוה"מ</t>
        </is>
      </c>
      <c r="D49" s="33" t="n">
        <v>45748</v>
      </c>
      <c r="E49" s="33" t="n">
        <v>45750</v>
      </c>
      <c r="F49" s="34" t="inlineStr">
        <is>
          <t>04/2025</t>
        </is>
      </c>
      <c r="G49" s="2" t="n">
        <v>3</v>
      </c>
      <c r="H49" s="2" t="n">
        <v>3</v>
      </c>
      <c r="I49" s="2" t="n">
        <v>0</v>
      </c>
      <c r="J49" s="2" t="n">
        <v>0</v>
      </c>
      <c r="K49" s="2" t="n">
        <v>0</v>
      </c>
      <c r="L49" s="27" t="n">
        <v>1096.17</v>
      </c>
      <c r="M49" s="27">
        <f>L49*H49</f>
        <v/>
      </c>
      <c r="N49" s="2" t="n">
        <v>760</v>
      </c>
      <c r="O49" s="2" t="n"/>
      <c r="P49" s="3" t="n">
        <v>4998</v>
      </c>
      <c r="Q49" s="28" t="n">
        <v>45877</v>
      </c>
      <c r="R49" s="37">
        <f>P49-M49</f>
        <v/>
      </c>
      <c r="T49" t="inlineStr">
        <is>
          <t>לא שולם- בני- בהמשך -09.11.25</t>
        </is>
      </c>
    </row>
    <row r="50" ht="15" customHeight="1" s="53">
      <c r="A50" s="2" t="inlineStr">
        <is>
          <t>P0034</t>
        </is>
      </c>
      <c r="B50" s="2" t="inlineStr">
        <is>
          <t>יורם שלמה</t>
        </is>
      </c>
      <c r="C50" s="2" t="inlineStr">
        <is>
          <t>רוה"מ</t>
        </is>
      </c>
      <c r="D50" s="2" t="inlineStr">
        <is>
          <t>09/04/2025</t>
        </is>
      </c>
      <c r="E50" s="2" t="inlineStr">
        <is>
          <t>10/04/2025</t>
        </is>
      </c>
      <c r="F50" s="2" t="inlineStr">
        <is>
          <t>04/2025</t>
        </is>
      </c>
      <c r="G50" s="2" t="n">
        <v>2</v>
      </c>
      <c r="H50" s="2" t="n">
        <v>2</v>
      </c>
      <c r="I50" s="2" t="n">
        <v>0</v>
      </c>
      <c r="J50" s="2" t="n">
        <v>0</v>
      </c>
      <c r="K50" s="2" t="n">
        <v>0</v>
      </c>
      <c r="L50" s="27" t="n">
        <v>1096.169820027688</v>
      </c>
      <c r="M50" s="27">
        <f>L50*H50</f>
        <v/>
      </c>
      <c r="N50" s="27" t="n">
        <v>506</v>
      </c>
      <c r="O50" s="27" t="n"/>
      <c r="P50" s="3" t="n">
        <v>3332</v>
      </c>
      <c r="Q50" s="28" t="n">
        <v>45877</v>
      </c>
      <c r="R50" s="37">
        <f>P50-M50</f>
        <v/>
      </c>
      <c r="T50" t="inlineStr">
        <is>
          <t>לא שולם- בני- בהמשך -09.11.25</t>
        </is>
      </c>
    </row>
    <row r="51" ht="15" customHeight="1" s="53">
      <c r="A51" s="2" t="inlineStr">
        <is>
          <t>P0035</t>
        </is>
      </c>
      <c r="B51" s="2" t="inlineStr">
        <is>
          <t>יורם שלמה</t>
        </is>
      </c>
      <c r="C51" s="2" t="inlineStr">
        <is>
          <t>רוה"מ</t>
        </is>
      </c>
      <c r="D51" s="31" t="n">
        <v>45781</v>
      </c>
      <c r="E51" s="2" t="inlineStr">
        <is>
          <t>08/05/2025</t>
        </is>
      </c>
      <c r="F51" s="2" t="inlineStr">
        <is>
          <t>05/2025</t>
        </is>
      </c>
      <c r="G51" s="2" t="n">
        <v>5</v>
      </c>
      <c r="H51" s="2" t="n">
        <v>5</v>
      </c>
      <c r="I51" s="2" t="n">
        <v>0</v>
      </c>
      <c r="J51" s="2" t="n">
        <v>0</v>
      </c>
      <c r="K51" s="2" t="n">
        <v>0</v>
      </c>
      <c r="L51" s="27" t="n">
        <v>1096.169820027688</v>
      </c>
      <c r="M51" s="27">
        <f>L51*H51</f>
        <v/>
      </c>
      <c r="N51" s="27" t="n">
        <v>1254</v>
      </c>
      <c r="O51" s="27" t="n"/>
      <c r="P51" s="3" t="n">
        <v>8775</v>
      </c>
      <c r="Q51" s="28" t="n">
        <v>45877</v>
      </c>
      <c r="R51" s="37">
        <f>P51-M51</f>
        <v/>
      </c>
      <c r="T51" t="inlineStr">
        <is>
          <t>לא שולם- בני- בהמשך -09.11.25</t>
        </is>
      </c>
    </row>
    <row r="52" ht="15" customHeight="1" s="53">
      <c r="A52" s="2" t="n"/>
      <c r="B52" s="2" t="inlineStr">
        <is>
          <t>מנפרד מרקוביץ'</t>
        </is>
      </c>
      <c r="C52" s="2" t="inlineStr">
        <is>
          <t>רפאל</t>
        </is>
      </c>
      <c r="D52" s="2" t="inlineStr">
        <is>
          <t>26/03/2025</t>
        </is>
      </c>
      <c r="E52" s="2" t="inlineStr">
        <is>
          <t>26/03/2025</t>
        </is>
      </c>
      <c r="F52" s="2" t="inlineStr">
        <is>
          <t>03/2025</t>
        </is>
      </c>
      <c r="G52" s="2" t="n">
        <v>1</v>
      </c>
      <c r="H52" s="2" t="n">
        <v>1</v>
      </c>
      <c r="I52" s="2" t="n">
        <v>0</v>
      </c>
      <c r="J52" s="2" t="n">
        <v>0</v>
      </c>
      <c r="K52" s="2" t="n">
        <v>0</v>
      </c>
      <c r="L52" s="27" t="n"/>
      <c r="M52" s="27" t="n"/>
      <c r="N52" s="27" t="n"/>
      <c r="O52" s="27" t="n">
        <v>575</v>
      </c>
      <c r="P52" s="3" t="n"/>
      <c r="Q52" s="28" t="n">
        <v>45834</v>
      </c>
      <c r="R52" s="37" t="n"/>
    </row>
    <row r="53" ht="15" customHeight="1" s="53">
      <c r="A53" s="2" t="inlineStr">
        <is>
          <t>P0093</t>
        </is>
      </c>
      <c r="B53" s="2" t="inlineStr">
        <is>
          <t>משה פינץ</t>
        </is>
      </c>
      <c r="C53" s="2" t="inlineStr">
        <is>
          <t>רוה"מ</t>
        </is>
      </c>
      <c r="D53" s="2" t="inlineStr">
        <is>
          <t>18/03/2025</t>
        </is>
      </c>
      <c r="E53" s="2" t="inlineStr">
        <is>
          <t>20/03/2025</t>
        </is>
      </c>
      <c r="F53" s="2" t="inlineStr">
        <is>
          <t>03/2025</t>
        </is>
      </c>
      <c r="G53" s="2" t="n">
        <v>3</v>
      </c>
      <c r="H53" s="2" t="n">
        <v>3</v>
      </c>
      <c r="I53" s="2" t="n">
        <v>0</v>
      </c>
      <c r="J53" s="2" t="n">
        <v>0</v>
      </c>
      <c r="K53" s="2" t="n">
        <v>0</v>
      </c>
      <c r="L53" s="27" t="n">
        <v>914.9053991693585</v>
      </c>
      <c r="M53" s="27">
        <f>L53*H53</f>
        <v/>
      </c>
      <c r="N53" s="27" t="n">
        <v>548.943239501615</v>
      </c>
      <c r="O53" s="27" t="n"/>
      <c r="P53" s="3" t="n"/>
    </row>
    <row r="54" ht="15" customHeight="1" s="53">
      <c r="A54" s="2" t="inlineStr">
        <is>
          <t>P0036</t>
        </is>
      </c>
      <c r="B54" s="2" t="inlineStr">
        <is>
          <t>יורם שלמה</t>
        </is>
      </c>
      <c r="C54" s="2" t="inlineStr">
        <is>
          <t>רוה"מ</t>
        </is>
      </c>
      <c r="D54" s="2" t="inlineStr">
        <is>
          <t>12/05/2025</t>
        </is>
      </c>
      <c r="E54" s="2" t="inlineStr">
        <is>
          <t>12/05/2025</t>
        </is>
      </c>
      <c r="F54" s="2" t="inlineStr">
        <is>
          <t>05/2025</t>
        </is>
      </c>
      <c r="G54" s="2" t="n">
        <v>1</v>
      </c>
      <c r="H54" s="2" t="n">
        <v>1</v>
      </c>
      <c r="I54" s="2" t="n">
        <v>0</v>
      </c>
      <c r="J54" s="2" t="n">
        <v>0</v>
      </c>
      <c r="K54" s="2" t="n">
        <v>0</v>
      </c>
      <c r="L54" s="27" t="n">
        <v>1096.169820027688</v>
      </c>
      <c r="M54" s="27">
        <f>L54*H54</f>
        <v/>
      </c>
      <c r="N54" s="27" t="n">
        <v>251</v>
      </c>
      <c r="O54" s="27" t="n"/>
      <c r="P54" s="3" t="n">
        <v>1254</v>
      </c>
      <c r="Q54" s="28" t="n">
        <v>45877</v>
      </c>
      <c r="R54" s="37">
        <f>P54-M54</f>
        <v/>
      </c>
      <c r="T54" t="inlineStr">
        <is>
          <t>לא שולם- בני- בהמשך -09.11.25</t>
        </is>
      </c>
    </row>
    <row r="55" ht="15" customHeight="1" s="53">
      <c r="A55" s="2" t="inlineStr">
        <is>
          <t>P0037</t>
        </is>
      </c>
      <c r="B55" s="2" t="inlineStr">
        <is>
          <t>יורם שלמה</t>
        </is>
      </c>
      <c r="C55" s="2" t="inlineStr">
        <is>
          <t>רוה"מ</t>
        </is>
      </c>
      <c r="D55" s="2" t="inlineStr">
        <is>
          <t>28/05/2025</t>
        </is>
      </c>
      <c r="E55" s="2" t="inlineStr">
        <is>
          <t>28/05/2025</t>
        </is>
      </c>
      <c r="F55" s="2" t="inlineStr">
        <is>
          <t>05/2025</t>
        </is>
      </c>
      <c r="G55" s="2" t="n">
        <v>1</v>
      </c>
      <c r="H55" s="2" t="n">
        <v>1</v>
      </c>
      <c r="I55" s="2" t="n">
        <v>0</v>
      </c>
      <c r="J55" s="2" t="n">
        <v>0</v>
      </c>
      <c r="K55" s="2" t="n">
        <v>0</v>
      </c>
      <c r="L55" s="27" t="n">
        <v>1096.169820027688</v>
      </c>
      <c r="M55" s="27">
        <f>L55*H55</f>
        <v/>
      </c>
      <c r="N55" s="27" t="n">
        <v>251</v>
      </c>
      <c r="O55" s="27" t="n"/>
      <c r="P55" s="3" t="n">
        <v>1254</v>
      </c>
      <c r="Q55" s="28" t="n">
        <v>45877</v>
      </c>
      <c r="R55" s="37">
        <f>P55-M55</f>
        <v/>
      </c>
      <c r="T55" t="inlineStr">
        <is>
          <t>לא שולם- בני- בהמשך -09.11.25</t>
        </is>
      </c>
    </row>
    <row r="56" ht="15" customHeight="1" s="53">
      <c r="A56" s="2" t="inlineStr">
        <is>
          <t>P0106</t>
        </is>
      </c>
      <c r="B56" s="2" t="inlineStr">
        <is>
          <t>נתן פרדר</t>
        </is>
      </c>
      <c r="C56" s="2" t="inlineStr">
        <is>
          <t>רוה"מ</t>
        </is>
      </c>
      <c r="D56" s="2" t="inlineStr">
        <is>
          <t>24/03/2025</t>
        </is>
      </c>
      <c r="E56" s="2" t="inlineStr">
        <is>
          <t>25/03/2025</t>
        </is>
      </c>
      <c r="F56" s="2" t="inlineStr">
        <is>
          <t>03/2025</t>
        </is>
      </c>
      <c r="G56" s="2" t="n">
        <v>2</v>
      </c>
      <c r="H56" s="2" t="n">
        <v>2</v>
      </c>
      <c r="I56" s="2" t="n">
        <v>0</v>
      </c>
      <c r="J56" s="2" t="n">
        <v>0</v>
      </c>
      <c r="K56" s="2" t="n">
        <v>0</v>
      </c>
      <c r="L56" s="27" t="n">
        <v>914.8592524227041</v>
      </c>
      <c r="M56" s="27">
        <f>L56*H56</f>
        <v/>
      </c>
      <c r="N56" s="27" t="n"/>
      <c r="O56" s="27" t="n"/>
      <c r="P56" s="3" t="n"/>
    </row>
    <row r="57" ht="15" customHeight="1" s="53">
      <c r="A57" s="2" t="inlineStr">
        <is>
          <t>P0107</t>
        </is>
      </c>
      <c r="B57" s="2" t="inlineStr">
        <is>
          <t>נתן פרדר</t>
        </is>
      </c>
      <c r="C57" s="2" t="inlineStr">
        <is>
          <t>רוה"מ</t>
        </is>
      </c>
      <c r="D57" s="2" t="inlineStr">
        <is>
          <t>27/03/2025</t>
        </is>
      </c>
      <c r="E57" s="2" t="inlineStr">
        <is>
          <t>28/03/2025</t>
        </is>
      </c>
      <c r="F57" s="2" t="inlineStr">
        <is>
          <t>03/2025</t>
        </is>
      </c>
      <c r="G57" s="2" t="n">
        <v>2</v>
      </c>
      <c r="H57" s="2" t="n">
        <v>2</v>
      </c>
      <c r="I57" s="2" t="n">
        <v>0</v>
      </c>
      <c r="J57" s="2" t="n">
        <v>0</v>
      </c>
      <c r="K57" s="2" t="n">
        <v>0</v>
      </c>
      <c r="L57" s="27" t="n">
        <v>914.8592524227041</v>
      </c>
      <c r="M57" s="27">
        <f>L57*H57</f>
        <v/>
      </c>
      <c r="N57" s="27" t="n"/>
      <c r="O57" s="27" t="n"/>
      <c r="P57" s="3" t="n"/>
    </row>
    <row r="58" ht="15" customHeight="1" s="53">
      <c r="A58" s="2" t="inlineStr">
        <is>
          <t>P0108</t>
        </is>
      </c>
      <c r="B58" s="2" t="inlineStr">
        <is>
          <t>נתן פרדר</t>
        </is>
      </c>
      <c r="C58" s="2" t="inlineStr">
        <is>
          <t>רוה"מ</t>
        </is>
      </c>
      <c r="D58" s="2" t="inlineStr">
        <is>
          <t>30/03/2025</t>
        </is>
      </c>
      <c r="E58" s="2" t="inlineStr">
        <is>
          <t>03/04/2025</t>
        </is>
      </c>
      <c r="F58" s="2" t="inlineStr">
        <is>
          <t>03/2025</t>
        </is>
      </c>
      <c r="G58" s="2" t="n">
        <v>5</v>
      </c>
      <c r="H58" s="2" t="n">
        <v>4</v>
      </c>
      <c r="I58" s="2" t="n">
        <v>0</v>
      </c>
      <c r="J58" s="2" t="n">
        <v>1</v>
      </c>
      <c r="K58" s="2" t="n">
        <v>0</v>
      </c>
      <c r="L58" s="27" t="n">
        <v>914.8592524227041</v>
      </c>
      <c r="M58" s="27">
        <f>L58*H58</f>
        <v/>
      </c>
      <c r="N58" s="27" t="n"/>
      <c r="O58" s="27" t="n"/>
      <c r="P58" s="3" t="n"/>
    </row>
    <row r="59" ht="15" customHeight="1" s="53">
      <c r="A59" s="2" t="inlineStr">
        <is>
          <t>P0128</t>
        </is>
      </c>
      <c r="B59" s="2" t="inlineStr">
        <is>
          <t>צחי חנגל</t>
        </is>
      </c>
      <c r="C59" s="2" t="inlineStr">
        <is>
          <t>רפאל</t>
        </is>
      </c>
      <c r="D59" s="2" t="inlineStr">
        <is>
          <t>17/03/2025</t>
        </is>
      </c>
      <c r="E59" s="2" t="inlineStr">
        <is>
          <t>20/03/2025</t>
        </is>
      </c>
      <c r="F59" s="2" t="inlineStr">
        <is>
          <t>03/2025</t>
        </is>
      </c>
      <c r="G59" s="2" t="n">
        <v>4</v>
      </c>
      <c r="H59" s="2" t="n">
        <v>4</v>
      </c>
      <c r="I59" s="2" t="n">
        <v>0</v>
      </c>
      <c r="J59" s="2" t="n">
        <v>0</v>
      </c>
      <c r="K59" s="2" t="n">
        <v>0</v>
      </c>
      <c r="L59" s="27" t="n">
        <v>812.2288878634056</v>
      </c>
      <c r="M59" s="27">
        <f>L59*H59</f>
        <v/>
      </c>
      <c r="N59" s="27" t="n">
        <v>649.7831102907245</v>
      </c>
      <c r="O59" s="27" t="n"/>
      <c r="P59" s="3" t="n"/>
    </row>
    <row r="60" ht="15" customHeight="1" s="53">
      <c r="A60" s="2" t="inlineStr">
        <is>
          <t>P0010</t>
        </is>
      </c>
      <c r="B60" s="2" t="inlineStr">
        <is>
          <t>אריאל אליה</t>
        </is>
      </c>
      <c r="C60" s="2" t="inlineStr">
        <is>
          <t>מל"מ</t>
        </is>
      </c>
      <c r="D60" s="2" t="inlineStr">
        <is>
          <t>23/04/2025</t>
        </is>
      </c>
      <c r="E60" s="2" t="inlineStr">
        <is>
          <t>23/04/2025</t>
        </is>
      </c>
      <c r="F60" s="2" t="inlineStr">
        <is>
          <t>04/2025</t>
        </is>
      </c>
      <c r="G60" s="2" t="n">
        <v>1</v>
      </c>
      <c r="H60" s="2" t="n">
        <v>1</v>
      </c>
      <c r="I60" s="2" t="n">
        <v>0</v>
      </c>
      <c r="J60" s="2" t="n">
        <v>0</v>
      </c>
      <c r="K60" s="2" t="n">
        <v>0</v>
      </c>
      <c r="L60" s="27" t="n">
        <v>868.8509460083063</v>
      </c>
      <c r="M60" s="27">
        <f>L60*H60</f>
        <v/>
      </c>
      <c r="N60" s="27" t="n">
        <v>173.7701892016613</v>
      </c>
      <c r="O60" s="27" t="n"/>
      <c r="P60" s="3" t="n"/>
    </row>
    <row r="61" ht="15" customHeight="1" s="53">
      <c r="A61" s="2" t="inlineStr">
        <is>
          <t>P0011</t>
        </is>
      </c>
      <c r="B61" s="2" t="inlineStr">
        <is>
          <t>אריאל אליה</t>
        </is>
      </c>
      <c r="C61" s="2" t="inlineStr">
        <is>
          <t>מל"מ</t>
        </is>
      </c>
      <c r="D61" s="2" t="inlineStr">
        <is>
          <t>27/04/2025</t>
        </is>
      </c>
      <c r="E61" s="2" t="inlineStr">
        <is>
          <t>27/04/2025</t>
        </is>
      </c>
      <c r="F61" s="2" t="inlineStr">
        <is>
          <t>04/2025</t>
        </is>
      </c>
      <c r="G61" s="2" t="n">
        <v>1</v>
      </c>
      <c r="H61" s="2" t="n">
        <v>0</v>
      </c>
      <c r="I61" s="2" t="n">
        <v>0</v>
      </c>
      <c r="J61" s="2" t="n">
        <v>1</v>
      </c>
      <c r="K61" s="2" t="n">
        <v>0</v>
      </c>
      <c r="L61" s="27" t="n">
        <v>868.8509460083063</v>
      </c>
      <c r="M61" s="27">
        <f>L61*H61</f>
        <v/>
      </c>
      <c r="N61" s="27" t="n">
        <v>0</v>
      </c>
      <c r="O61" s="27" t="n"/>
      <c r="P61" s="3" t="n"/>
    </row>
    <row r="62" ht="15" customHeight="1" s="53">
      <c r="A62" s="2" t="inlineStr">
        <is>
          <t>P0015</t>
        </is>
      </c>
      <c r="B62" s="2" t="inlineStr">
        <is>
          <t>דניאל בנדרימר</t>
        </is>
      </c>
      <c r="C62" s="2" t="inlineStr">
        <is>
          <t>מל"מ</t>
        </is>
      </c>
      <c r="D62" s="2" t="inlineStr">
        <is>
          <t>22/04/2025</t>
        </is>
      </c>
      <c r="E62" s="2" t="inlineStr">
        <is>
          <t>29/05/2025</t>
        </is>
      </c>
      <c r="F62" s="2" t="inlineStr">
        <is>
          <t>04/2025</t>
        </is>
      </c>
      <c r="G62" s="2" t="n">
        <v>38</v>
      </c>
      <c r="H62" s="2" t="n">
        <v>28</v>
      </c>
      <c r="I62" s="2" t="n">
        <v>5</v>
      </c>
      <c r="J62" s="2" t="n">
        <v>5</v>
      </c>
      <c r="K62" s="2" t="n">
        <v>0</v>
      </c>
      <c r="L62" s="27" t="n">
        <v>670.604522381172</v>
      </c>
      <c r="M62" s="27">
        <f>L62*H62</f>
        <v/>
      </c>
      <c r="N62" s="27" t="n">
        <v>3755.385325334563</v>
      </c>
      <c r="O62" s="27" t="n"/>
      <c r="P62" s="3" t="n"/>
    </row>
    <row r="63" ht="15" customHeight="1" s="53">
      <c r="A63" s="2" t="inlineStr">
        <is>
          <t>P0038</t>
        </is>
      </c>
      <c r="B63" s="2" t="inlineStr">
        <is>
          <t>יורם שלמה</t>
        </is>
      </c>
      <c r="C63" s="2" t="inlineStr">
        <is>
          <t>רוה"מ</t>
        </is>
      </c>
      <c r="D63" s="2" t="inlineStr">
        <is>
          <t>05/06/2025</t>
        </is>
      </c>
      <c r="E63" s="2" t="inlineStr">
        <is>
          <t>05/06/2025</t>
        </is>
      </c>
      <c r="F63" s="2" t="inlineStr">
        <is>
          <t>06/2025</t>
        </is>
      </c>
      <c r="G63" s="2" t="n">
        <v>1</v>
      </c>
      <c r="H63" s="2" t="n">
        <v>1</v>
      </c>
      <c r="I63" s="2" t="n">
        <v>0</v>
      </c>
      <c r="J63" s="2" t="n">
        <v>0</v>
      </c>
      <c r="K63" s="2" t="n">
        <v>0</v>
      </c>
      <c r="L63" s="27" t="n">
        <v>1096.169820027688</v>
      </c>
      <c r="M63" s="27">
        <f>L63*H63</f>
        <v/>
      </c>
      <c r="N63" s="27" t="n">
        <v>259</v>
      </c>
      <c r="O63" s="27" t="n"/>
      <c r="P63" s="3" t="n">
        <v>1811</v>
      </c>
      <c r="Q63" s="28" t="n">
        <v>45877</v>
      </c>
      <c r="R63" s="37">
        <f>P63-M63</f>
        <v/>
      </c>
      <c r="T63" t="inlineStr">
        <is>
          <t>לא שולם- בני- בהמשך -09.11.25</t>
        </is>
      </c>
    </row>
    <row r="64" ht="15" customHeight="1" s="53">
      <c r="A64" s="2" t="inlineStr">
        <is>
          <t>P0056</t>
        </is>
      </c>
      <c r="B64" s="2" t="inlineStr">
        <is>
          <t>לוי דור</t>
        </is>
      </c>
      <c r="C64" s="2" t="inlineStr">
        <is>
          <t>רפאל</t>
        </is>
      </c>
      <c r="D64" s="2" t="inlineStr">
        <is>
          <t>22/04/2025</t>
        </is>
      </c>
      <c r="E64" s="2" t="inlineStr">
        <is>
          <t>24/04/2025</t>
        </is>
      </c>
      <c r="F64" s="2" t="inlineStr">
        <is>
          <t>04/2025</t>
        </is>
      </c>
      <c r="G64" s="2" t="n">
        <v>3</v>
      </c>
      <c r="H64" s="2" t="n">
        <v>3</v>
      </c>
      <c r="I64" s="2" t="n">
        <v>0</v>
      </c>
      <c r="J64" s="2" t="n">
        <v>0</v>
      </c>
      <c r="K64" s="2" t="n">
        <v>0</v>
      </c>
      <c r="L64" s="27" t="n">
        <v>826.995846792801</v>
      </c>
      <c r="M64" s="27">
        <f>L64*H64</f>
        <v/>
      </c>
      <c r="N64" s="27" t="n">
        <v>496.1975080756806</v>
      </c>
      <c r="O64" s="27" t="n"/>
      <c r="P64" s="3" t="n"/>
    </row>
    <row r="65" ht="15" customHeight="1" s="53">
      <c r="A65" s="2" t="inlineStr">
        <is>
          <t>P0039</t>
        </is>
      </c>
      <c r="B65" s="2" t="inlineStr">
        <is>
          <t>יורם שלמה</t>
        </is>
      </c>
      <c r="C65" s="2" t="inlineStr">
        <is>
          <t>רוה"מ</t>
        </is>
      </c>
      <c r="D65" s="2" t="inlineStr">
        <is>
          <t>11/06/2025</t>
        </is>
      </c>
      <c r="E65" s="2" t="inlineStr">
        <is>
          <t>12/06/2025</t>
        </is>
      </c>
      <c r="F65" s="2" t="inlineStr">
        <is>
          <t>06/2025</t>
        </is>
      </c>
      <c r="G65" s="2" t="n">
        <v>2</v>
      </c>
      <c r="H65" s="2" t="n">
        <v>2</v>
      </c>
      <c r="I65" s="2" t="n">
        <v>0</v>
      </c>
      <c r="J65" s="2" t="n">
        <v>0</v>
      </c>
      <c r="K65" s="2" t="n">
        <v>0</v>
      </c>
      <c r="L65" s="27" t="n">
        <v>1096.169820027688</v>
      </c>
      <c r="M65" s="27">
        <f>L65*H65</f>
        <v/>
      </c>
      <c r="N65" s="27" t="n">
        <v>517</v>
      </c>
      <c r="O65" s="27" t="n"/>
      <c r="P65" s="3" t="n">
        <v>2587</v>
      </c>
      <c r="Q65" s="28" t="n">
        <v>45877</v>
      </c>
      <c r="R65" s="37">
        <f>P65-M65</f>
        <v/>
      </c>
      <c r="T65" t="inlineStr">
        <is>
          <t>לא שולם- בני- בהמשך -09.11.25</t>
        </is>
      </c>
    </row>
    <row r="66" ht="15" customHeight="1" s="53">
      <c r="A66" s="2" t="inlineStr">
        <is>
          <t>P0068</t>
        </is>
      </c>
      <c r="B66" s="2" t="inlineStr">
        <is>
          <t>מנפרד מרקוביץ'</t>
        </is>
      </c>
      <c r="C66" s="2" t="inlineStr">
        <is>
          <t>רפאל</t>
        </is>
      </c>
      <c r="D66" s="2" t="inlineStr">
        <is>
          <t>02/04/2025</t>
        </is>
      </c>
      <c r="E66" s="2" t="inlineStr">
        <is>
          <t>02/04/2025</t>
        </is>
      </c>
      <c r="F66" s="2" t="inlineStr">
        <is>
          <t>04/2025</t>
        </is>
      </c>
      <c r="G66" s="2" t="n">
        <v>1</v>
      </c>
      <c r="H66" s="2" t="n">
        <v>1</v>
      </c>
      <c r="I66" s="2" t="n">
        <v>0</v>
      </c>
      <c r="J66" s="2" t="n">
        <v>0</v>
      </c>
      <c r="K66" s="2" t="n">
        <v>0</v>
      </c>
      <c r="L66" s="27" t="n">
        <v>868.5740655283802</v>
      </c>
      <c r="M66" s="27">
        <f>L66*H66</f>
        <v/>
      </c>
      <c r="N66" s="27" t="n">
        <v>250</v>
      </c>
      <c r="O66" s="27" t="n"/>
      <c r="P66" s="3" t="n">
        <v>1437</v>
      </c>
      <c r="Q66" s="28" t="n">
        <v>45877</v>
      </c>
      <c r="R66" s="37">
        <f>P66-M66</f>
        <v/>
      </c>
      <c r="S66" s="29" t="n">
        <v>45931</v>
      </c>
    </row>
    <row r="67" ht="15" customHeight="1" s="53">
      <c r="A67" s="2" t="inlineStr">
        <is>
          <t>P0069</t>
        </is>
      </c>
      <c r="B67" s="2" t="inlineStr">
        <is>
          <t>מנפרד מרקוביץ'</t>
        </is>
      </c>
      <c r="C67" s="2" t="inlineStr">
        <is>
          <t>רפאל</t>
        </is>
      </c>
      <c r="D67" s="2" t="inlineStr">
        <is>
          <t>08/04/2025</t>
        </is>
      </c>
      <c r="E67" s="2" t="inlineStr">
        <is>
          <t>08/04/2025</t>
        </is>
      </c>
      <c r="F67" s="2" t="inlineStr">
        <is>
          <t>04/2025</t>
        </is>
      </c>
      <c r="G67" s="2" t="n">
        <v>1</v>
      </c>
      <c r="H67" s="2" t="n">
        <v>1</v>
      </c>
      <c r="I67" s="2" t="n">
        <v>0</v>
      </c>
      <c r="J67" s="2" t="n">
        <v>0</v>
      </c>
      <c r="K67" s="2" t="n">
        <v>0</v>
      </c>
      <c r="L67" s="27" t="n">
        <v>868.5740655283802</v>
      </c>
      <c r="M67" s="27">
        <f>L67*H67</f>
        <v/>
      </c>
      <c r="N67" s="27" t="n">
        <v>250</v>
      </c>
      <c r="O67" s="27" t="n"/>
      <c r="P67" s="3" t="n">
        <v>1437</v>
      </c>
      <c r="Q67" s="28" t="n">
        <v>45877</v>
      </c>
      <c r="R67" s="37">
        <f>P67-M67</f>
        <v/>
      </c>
      <c r="S67" s="29" t="n">
        <v>45931</v>
      </c>
    </row>
    <row r="68" ht="15" customHeight="1" s="53">
      <c r="A68" s="38" t="inlineStr">
        <is>
          <t>P0082</t>
        </is>
      </c>
      <c r="B68" s="38" t="inlineStr">
        <is>
          <t>משה בורך</t>
        </is>
      </c>
      <c r="C68" s="38" t="inlineStr">
        <is>
          <t>רפאל</t>
        </is>
      </c>
      <c r="D68" s="38" t="inlineStr">
        <is>
          <t>27/04/2025</t>
        </is>
      </c>
      <c r="E68" s="38" t="inlineStr">
        <is>
          <t>27/04/2025</t>
        </is>
      </c>
      <c r="F68" s="38" t="inlineStr">
        <is>
          <t>04/2025</t>
        </is>
      </c>
      <c r="G68" s="38" t="n">
        <v>1</v>
      </c>
      <c r="H68" s="38" t="n">
        <v>1</v>
      </c>
      <c r="I68" s="38" t="n">
        <v>0</v>
      </c>
      <c r="J68" s="38" t="n">
        <v>1</v>
      </c>
      <c r="K68" s="38" t="n">
        <v>0</v>
      </c>
      <c r="L68" s="39" t="n">
        <v>929.8569450853714</v>
      </c>
      <c r="M68" s="39">
        <f>L68*H68</f>
        <v/>
      </c>
      <c r="N68" s="27" t="n"/>
      <c r="O68" s="27" t="n"/>
      <c r="P68" s="3" t="n"/>
      <c r="Q68" s="28" t="n"/>
      <c r="R68" s="37" t="n"/>
    </row>
    <row r="69" ht="15" customHeight="1" s="53">
      <c r="A69" s="2" t="inlineStr">
        <is>
          <t>P0109</t>
        </is>
      </c>
      <c r="B69" s="2" t="inlineStr">
        <is>
          <t>נתן פרדר</t>
        </is>
      </c>
      <c r="C69" s="2" t="inlineStr">
        <is>
          <t>רוה"מ</t>
        </is>
      </c>
      <c r="D69" s="2" t="inlineStr">
        <is>
          <t>06/04/2025</t>
        </is>
      </c>
      <c r="E69" s="2" t="inlineStr">
        <is>
          <t>06/04/2025</t>
        </is>
      </c>
      <c r="F69" s="2" t="inlineStr">
        <is>
          <t>04/2025</t>
        </is>
      </c>
      <c r="G69" s="2" t="n">
        <v>1</v>
      </c>
      <c r="H69" s="2" t="n">
        <v>0</v>
      </c>
      <c r="I69" s="2" t="n">
        <v>0</v>
      </c>
      <c r="J69" s="2" t="n">
        <v>1</v>
      </c>
      <c r="K69" s="2" t="n">
        <v>0</v>
      </c>
      <c r="L69" s="27" t="n">
        <v>914.8592524227041</v>
      </c>
      <c r="M69" s="27">
        <f>L69*H69</f>
        <v/>
      </c>
      <c r="N69" s="27" t="n"/>
      <c r="O69" s="27" t="n"/>
      <c r="P69" s="3" t="n"/>
    </row>
    <row r="70" ht="15" customHeight="1" s="53">
      <c r="A70" s="2" t="inlineStr">
        <is>
          <t>P0110</t>
        </is>
      </c>
      <c r="B70" s="2" t="inlineStr">
        <is>
          <t>נתן פרדר</t>
        </is>
      </c>
      <c r="C70" s="2" t="inlineStr">
        <is>
          <t>רוה"מ</t>
        </is>
      </c>
      <c r="D70" s="2" t="inlineStr">
        <is>
          <t>09/04/2025</t>
        </is>
      </c>
      <c r="E70" s="2" t="inlineStr">
        <is>
          <t>09/04/2025</t>
        </is>
      </c>
      <c r="F70" s="2" t="inlineStr">
        <is>
          <t>04/2025</t>
        </is>
      </c>
      <c r="G70" s="2" t="n">
        <v>1</v>
      </c>
      <c r="H70" s="2" t="n">
        <v>1</v>
      </c>
      <c r="I70" s="2" t="n">
        <v>0</v>
      </c>
      <c r="J70" s="2" t="n">
        <v>0</v>
      </c>
      <c r="K70" s="2" t="n">
        <v>0</v>
      </c>
      <c r="L70" s="27" t="n">
        <v>914.8592524227041</v>
      </c>
      <c r="M70" s="27">
        <f>L70*H70</f>
        <v/>
      </c>
      <c r="N70" s="27" t="n"/>
      <c r="O70" s="27" t="n"/>
      <c r="P70" s="3" t="n"/>
    </row>
    <row r="71" ht="15" customHeight="1" s="53">
      <c r="A71" s="2" t="inlineStr">
        <is>
          <t>P0111</t>
        </is>
      </c>
      <c r="B71" s="2" t="inlineStr">
        <is>
          <t>נתן פרדר</t>
        </is>
      </c>
      <c r="C71" s="2" t="inlineStr">
        <is>
          <t>רוה"מ</t>
        </is>
      </c>
      <c r="D71" s="2" t="inlineStr">
        <is>
          <t>21/04/2025</t>
        </is>
      </c>
      <c r="E71" s="2" t="inlineStr">
        <is>
          <t>23/04/2025</t>
        </is>
      </c>
      <c r="F71" s="2" t="inlineStr">
        <is>
          <t>04/2025</t>
        </is>
      </c>
      <c r="G71" s="2" t="n">
        <v>3</v>
      </c>
      <c r="H71" s="2" t="n">
        <v>3</v>
      </c>
      <c r="I71" s="2" t="n">
        <v>0</v>
      </c>
      <c r="J71" s="2" t="n">
        <v>0</v>
      </c>
      <c r="K71" s="2" t="n">
        <v>0</v>
      </c>
      <c r="L71" s="27" t="n">
        <v>914.8592524227041</v>
      </c>
      <c r="M71" s="27">
        <f>L71*H71</f>
        <v/>
      </c>
      <c r="N71" s="27" t="n"/>
      <c r="O71" s="27" t="n"/>
      <c r="P71" s="3" t="n"/>
    </row>
    <row r="72" ht="15" customHeight="1" s="53">
      <c r="A72" s="2" t="inlineStr">
        <is>
          <t>P0112</t>
        </is>
      </c>
      <c r="B72" s="2" t="inlineStr">
        <is>
          <t>נתן פרדר</t>
        </is>
      </c>
      <c r="C72" s="2" t="inlineStr">
        <is>
          <t>רוה"מ</t>
        </is>
      </c>
      <c r="D72" s="2" t="inlineStr">
        <is>
          <t>29/04/2025</t>
        </is>
      </c>
      <c r="E72" s="2" t="inlineStr">
        <is>
          <t>29/04/2025</t>
        </is>
      </c>
      <c r="F72" s="2" t="inlineStr">
        <is>
          <t>04/2025</t>
        </is>
      </c>
      <c r="G72" s="2" t="n">
        <v>1</v>
      </c>
      <c r="H72" s="2" t="n">
        <v>1</v>
      </c>
      <c r="I72" s="2" t="n">
        <v>0</v>
      </c>
      <c r="J72" s="2" t="n">
        <v>0</v>
      </c>
      <c r="K72" s="2" t="n">
        <v>0</v>
      </c>
      <c r="L72" s="27" t="n">
        <v>914.8592524227041</v>
      </c>
      <c r="M72" s="27">
        <f>L72*H72</f>
        <v/>
      </c>
      <c r="N72" s="27" t="n"/>
      <c r="O72" s="27" t="n"/>
      <c r="P72" s="3" t="n"/>
    </row>
    <row r="73" ht="15" customHeight="1" s="53">
      <c r="A73" s="2" t="inlineStr">
        <is>
          <t>P0004</t>
        </is>
      </c>
      <c r="B73" s="2" t="inlineStr">
        <is>
          <t>אייל מלח</t>
        </is>
      </c>
      <c r="C73" s="2" t="inlineStr">
        <is>
          <t>רפאל</t>
        </is>
      </c>
      <c r="D73" s="2" t="inlineStr">
        <is>
          <t>19/05/2025</t>
        </is>
      </c>
      <c r="E73" s="2" t="inlineStr">
        <is>
          <t>21/05/2025</t>
        </is>
      </c>
      <c r="F73" s="2" t="inlineStr">
        <is>
          <t>05/2025</t>
        </is>
      </c>
      <c r="G73" s="2" t="n">
        <v>3</v>
      </c>
      <c r="H73" s="2" t="n">
        <v>3</v>
      </c>
      <c r="I73" s="2" t="n">
        <v>0</v>
      </c>
      <c r="J73" s="2" t="n">
        <v>0</v>
      </c>
      <c r="K73" s="2" t="n">
        <v>0</v>
      </c>
      <c r="L73" s="27" t="n">
        <v>946.0083064143977</v>
      </c>
      <c r="M73" s="27">
        <f>L73*H73</f>
        <v/>
      </c>
      <c r="N73" s="27" t="n">
        <v>567.6049838486387</v>
      </c>
      <c r="O73" s="27" t="n"/>
      <c r="P73" s="3" t="n"/>
    </row>
    <row r="74" ht="15" customHeight="1" s="53">
      <c r="A74" s="2" t="inlineStr">
        <is>
          <t>P0012</t>
        </is>
      </c>
      <c r="B74" s="2" t="inlineStr">
        <is>
          <t>אריאל אליה</t>
        </is>
      </c>
      <c r="C74" s="2" t="inlineStr">
        <is>
          <t>מל"מ</t>
        </is>
      </c>
      <c r="D74" s="2" t="inlineStr">
        <is>
          <t>04/05/2025</t>
        </is>
      </c>
      <c r="E74" s="2" t="inlineStr">
        <is>
          <t>24/05/2025</t>
        </is>
      </c>
      <c r="F74" s="2" t="inlineStr">
        <is>
          <t>05/2025</t>
        </is>
      </c>
      <c r="G74" s="2" t="n">
        <v>21</v>
      </c>
      <c r="H74" s="2" t="n">
        <v>15</v>
      </c>
      <c r="I74" s="2" t="n">
        <v>3</v>
      </c>
      <c r="J74" s="2" t="n">
        <v>3</v>
      </c>
      <c r="K74" s="2" t="n">
        <v>0</v>
      </c>
      <c r="L74" s="27" t="n">
        <v>868.8509460083063</v>
      </c>
      <c r="M74" s="27">
        <f>L74*H74</f>
        <v/>
      </c>
      <c r="N74" s="27" t="n">
        <v>2606.552838024919</v>
      </c>
      <c r="O74" s="27" t="n"/>
      <c r="P74" s="3" t="n"/>
    </row>
    <row r="75" ht="15" customHeight="1" s="53">
      <c r="A75" s="2" t="inlineStr">
        <is>
          <t>P0070</t>
        </is>
      </c>
      <c r="B75" s="2" t="inlineStr">
        <is>
          <t>מנפרד מרקוביץ'</t>
        </is>
      </c>
      <c r="C75" s="2" t="inlineStr">
        <is>
          <t>רפאל</t>
        </is>
      </c>
      <c r="D75" s="2" t="inlineStr">
        <is>
          <t>04/05/2025</t>
        </is>
      </c>
      <c r="E75" s="2" t="inlineStr">
        <is>
          <t>04/05/2025</t>
        </is>
      </c>
      <c r="F75" s="2" t="inlineStr">
        <is>
          <t>05/2025</t>
        </is>
      </c>
      <c r="G75" s="2" t="n">
        <v>1</v>
      </c>
      <c r="H75" s="2" t="n">
        <v>1</v>
      </c>
      <c r="I75" s="2" t="n">
        <v>0</v>
      </c>
      <c r="J75" s="2" t="n">
        <v>0</v>
      </c>
      <c r="K75" s="2" t="n">
        <v>0</v>
      </c>
      <c r="L75" s="27" t="n">
        <v>868.5740655283802</v>
      </c>
      <c r="M75" s="27">
        <f>L75*H75</f>
        <v/>
      </c>
      <c r="N75" s="27" t="n">
        <v>178</v>
      </c>
      <c r="O75" s="27" t="n"/>
      <c r="P75" s="3" t="n">
        <v>891</v>
      </c>
      <c r="Q75" s="28" t="n">
        <v>45877</v>
      </c>
      <c r="R75" s="37">
        <f>P75-M75</f>
        <v/>
      </c>
      <c r="S75" s="29" t="n">
        <v>45931</v>
      </c>
    </row>
    <row r="76" ht="15" customHeight="1" s="53">
      <c r="A76" s="2" t="inlineStr">
        <is>
          <t>P0071</t>
        </is>
      </c>
      <c r="B76" s="2" t="inlineStr">
        <is>
          <t>מנפרד מרקוביץ'</t>
        </is>
      </c>
      <c r="C76" s="2" t="inlineStr">
        <is>
          <t>רפאל</t>
        </is>
      </c>
      <c r="D76" s="2" t="inlineStr">
        <is>
          <t>07/05/2025</t>
        </is>
      </c>
      <c r="E76" s="2" t="inlineStr">
        <is>
          <t>07/05/2025</t>
        </is>
      </c>
      <c r="F76" s="2" t="inlineStr">
        <is>
          <t>05/2025</t>
        </is>
      </c>
      <c r="G76" s="2" t="n">
        <v>1</v>
      </c>
      <c r="H76" s="2" t="n">
        <v>1</v>
      </c>
      <c r="I76" s="2" t="n">
        <v>0</v>
      </c>
      <c r="J76" s="2" t="n">
        <v>0</v>
      </c>
      <c r="K76" s="2" t="n">
        <v>0</v>
      </c>
      <c r="L76" s="27" t="n">
        <v>868.5740655283802</v>
      </c>
      <c r="M76" s="27">
        <f>L76*H76</f>
        <v/>
      </c>
      <c r="N76" s="27" t="n">
        <v>178</v>
      </c>
      <c r="O76" s="27" t="n"/>
      <c r="P76" s="3" t="n">
        <v>891</v>
      </c>
      <c r="Q76" s="28" t="n">
        <v>45877</v>
      </c>
      <c r="R76" s="37">
        <f>P76-M76</f>
        <v/>
      </c>
      <c r="S76" s="29" t="n">
        <v>45931</v>
      </c>
    </row>
    <row r="77" ht="15" customHeight="1" s="53">
      <c r="A77" s="2" t="inlineStr">
        <is>
          <t>P0072</t>
        </is>
      </c>
      <c r="B77" s="2" t="inlineStr">
        <is>
          <t>מנפרד מרקוביץ'</t>
        </is>
      </c>
      <c r="C77" s="2" t="inlineStr">
        <is>
          <t>רפאל</t>
        </is>
      </c>
      <c r="D77" s="2" t="inlineStr">
        <is>
          <t>12/05/2025</t>
        </is>
      </c>
      <c r="E77" s="2" t="inlineStr">
        <is>
          <t>12/05/2025</t>
        </is>
      </c>
      <c r="F77" s="2" t="inlineStr">
        <is>
          <t>05/2025</t>
        </is>
      </c>
      <c r="G77" s="2" t="n">
        <v>1</v>
      </c>
      <c r="H77" s="2" t="n">
        <v>1</v>
      </c>
      <c r="I77" s="2" t="n">
        <v>0</v>
      </c>
      <c r="J77" s="2" t="n">
        <v>0</v>
      </c>
      <c r="K77" s="2" t="n">
        <v>0</v>
      </c>
      <c r="L77" s="27" t="n">
        <v>868.5740655283802</v>
      </c>
      <c r="M77" s="27">
        <f>L77*H77</f>
        <v/>
      </c>
      <c r="N77" s="27" t="n">
        <v>178</v>
      </c>
      <c r="O77" s="27" t="n"/>
      <c r="P77" s="3" t="n">
        <v>891</v>
      </c>
      <c r="Q77" s="28" t="n">
        <v>45877</v>
      </c>
      <c r="R77" s="37">
        <f>P77-M77</f>
        <v/>
      </c>
      <c r="S77" s="29" t="n">
        <v>45931</v>
      </c>
    </row>
    <row r="78" ht="15" customHeight="1" s="53">
      <c r="A78" s="2" t="inlineStr">
        <is>
          <t>P0051</t>
        </is>
      </c>
      <c r="B78" s="2" t="inlineStr">
        <is>
          <t>לאון שמייב</t>
        </is>
      </c>
      <c r="C78" s="2" t="inlineStr">
        <is>
          <t>רוה"מ</t>
        </is>
      </c>
      <c r="D78" s="2" t="inlineStr">
        <is>
          <t>25/05/2025</t>
        </is>
      </c>
      <c r="E78" s="2" t="inlineStr">
        <is>
          <t>27/05/2025</t>
        </is>
      </c>
      <c r="F78" s="2" t="inlineStr">
        <is>
          <t>05/2025</t>
        </is>
      </c>
      <c r="G78" s="2" t="n">
        <v>3</v>
      </c>
      <c r="H78" s="2" t="n">
        <v>2</v>
      </c>
      <c r="I78" s="2" t="n">
        <v>0</v>
      </c>
      <c r="J78" s="2" t="n">
        <v>1</v>
      </c>
      <c r="K78" s="2" t="n">
        <v>0</v>
      </c>
      <c r="L78" s="27" t="n">
        <v>730.2722658052606</v>
      </c>
      <c r="M78" s="27">
        <f>L78*H78</f>
        <v/>
      </c>
      <c r="N78" s="27" t="n">
        <v>292.1089063221042</v>
      </c>
      <c r="O78" s="27" t="n"/>
      <c r="P78" s="3" t="n"/>
    </row>
    <row r="79" ht="15" customHeight="1" s="53">
      <c r="A79" s="2" t="inlineStr">
        <is>
          <t>P0057</t>
        </is>
      </c>
      <c r="B79" s="2" t="inlineStr">
        <is>
          <t>לוי דור</t>
        </is>
      </c>
      <c r="C79" s="2" t="inlineStr">
        <is>
          <t>רפאל</t>
        </is>
      </c>
      <c r="D79" s="2" t="inlineStr">
        <is>
          <t>20/05/2025</t>
        </is>
      </c>
      <c r="E79" s="2" t="inlineStr">
        <is>
          <t>22/05/2025</t>
        </is>
      </c>
      <c r="F79" s="2" t="inlineStr">
        <is>
          <t>05/2025</t>
        </is>
      </c>
      <c r="G79" s="2" t="n">
        <v>3</v>
      </c>
      <c r="H79" s="2" t="n">
        <v>3</v>
      </c>
      <c r="I79" s="2" t="n">
        <v>0</v>
      </c>
      <c r="J79" s="2" t="n">
        <v>0</v>
      </c>
      <c r="K79" s="2" t="n">
        <v>0</v>
      </c>
      <c r="L79" s="27" t="n">
        <v>826.995846792801</v>
      </c>
      <c r="M79" s="27">
        <f>L79*H79</f>
        <v/>
      </c>
      <c r="N79" s="27" t="n">
        <v>496.1975080756806</v>
      </c>
      <c r="O79" s="27" t="n"/>
      <c r="P79" s="3" t="n"/>
    </row>
    <row r="80" ht="15" customHeight="1" s="53">
      <c r="A80" s="2" t="inlineStr">
        <is>
          <t>P0058</t>
        </is>
      </c>
      <c r="B80" s="2" t="inlineStr">
        <is>
          <t>לוי דור</t>
        </is>
      </c>
      <c r="C80" s="2" t="inlineStr">
        <is>
          <t>רפאל</t>
        </is>
      </c>
      <c r="D80" s="2" t="inlineStr">
        <is>
          <t>26/05/2025</t>
        </is>
      </c>
      <c r="E80" s="2" t="inlineStr">
        <is>
          <t>30/05/2025</t>
        </is>
      </c>
      <c r="F80" s="2" t="inlineStr">
        <is>
          <t>05/2025</t>
        </is>
      </c>
      <c r="G80" s="2" t="n">
        <v>5</v>
      </c>
      <c r="H80" s="2" t="n">
        <v>5</v>
      </c>
      <c r="I80" s="2" t="n">
        <v>0</v>
      </c>
      <c r="J80" s="2" t="n">
        <v>0</v>
      </c>
      <c r="K80" s="2" t="n">
        <v>0</v>
      </c>
      <c r="L80" s="27" t="n">
        <v>826.995846792801</v>
      </c>
      <c r="M80" s="27">
        <f>L80*H80</f>
        <v/>
      </c>
      <c r="N80" s="27" t="n">
        <v>826.9958467928011</v>
      </c>
      <c r="O80" s="27" t="n"/>
      <c r="P80" s="3" t="n"/>
    </row>
    <row r="81" ht="15" customHeight="1" s="53">
      <c r="A81" s="2" t="inlineStr">
        <is>
          <t>P0073</t>
        </is>
      </c>
      <c r="B81" s="2" t="inlineStr">
        <is>
          <t>מנפרד מרקוביץ'</t>
        </is>
      </c>
      <c r="C81" s="2" t="inlineStr">
        <is>
          <t>רפאל</t>
        </is>
      </c>
      <c r="D81" s="2" t="inlineStr">
        <is>
          <t>24/05/2025</t>
        </is>
      </c>
      <c r="E81" s="2" t="inlineStr">
        <is>
          <t>24/05/2025</t>
        </is>
      </c>
      <c r="F81" s="2" t="inlineStr">
        <is>
          <t>05/2025</t>
        </is>
      </c>
      <c r="G81" s="2" t="n">
        <v>1</v>
      </c>
      <c r="H81" s="2" t="n">
        <v>1</v>
      </c>
      <c r="I81" s="2" t="n">
        <v>0</v>
      </c>
      <c r="J81" s="2" t="n">
        <v>0</v>
      </c>
      <c r="K81" s="2" t="n">
        <v>0</v>
      </c>
      <c r="L81" s="27" t="n">
        <v>868.5740655283802</v>
      </c>
      <c r="M81" s="27">
        <f>L81*H81</f>
        <v/>
      </c>
      <c r="N81" s="27" t="n">
        <v>178</v>
      </c>
      <c r="O81" s="27" t="n"/>
      <c r="P81" s="3" t="n">
        <v>891</v>
      </c>
      <c r="Q81" s="28" t="n">
        <v>45877</v>
      </c>
      <c r="R81" s="37">
        <f>P81-M81</f>
        <v/>
      </c>
      <c r="S81" s="29" t="n">
        <v>45931</v>
      </c>
    </row>
    <row r="82" ht="15" customHeight="1" s="53">
      <c r="A82" s="2" t="inlineStr">
        <is>
          <t>P0073</t>
        </is>
      </c>
      <c r="B82" s="2" t="inlineStr">
        <is>
          <t>מנפרד מרקוביץ'</t>
        </is>
      </c>
      <c r="C82" s="2" t="inlineStr">
        <is>
          <t>רפאל</t>
        </is>
      </c>
      <c r="D82" s="33" t="n">
        <v>45802</v>
      </c>
      <c r="E82" s="33" t="n">
        <v>45808</v>
      </c>
      <c r="F82" s="2" t="inlineStr">
        <is>
          <t>05/2025</t>
        </is>
      </c>
      <c r="G82" s="2" t="n">
        <v>7</v>
      </c>
      <c r="H82" s="2" t="n">
        <v>5</v>
      </c>
      <c r="I82" s="2" t="n">
        <v>2</v>
      </c>
      <c r="J82" s="2" t="n">
        <v>0</v>
      </c>
      <c r="K82" s="2" t="n">
        <v>0</v>
      </c>
      <c r="L82" s="27" t="n">
        <v>868.5740655283802</v>
      </c>
      <c r="M82" s="27">
        <f>L82*H82</f>
        <v/>
      </c>
      <c r="N82" s="27" t="n">
        <v>1247</v>
      </c>
      <c r="O82" s="27" t="n"/>
      <c r="P82" s="40" t="n">
        <v>6234</v>
      </c>
      <c r="Q82" s="28" t="n">
        <v>45877</v>
      </c>
      <c r="R82" s="37">
        <f>P82-M82</f>
        <v/>
      </c>
      <c r="S82" s="29" t="n">
        <v>45931</v>
      </c>
    </row>
    <row r="83" ht="15" customHeight="1" s="53">
      <c r="A83" s="2" t="inlineStr">
        <is>
          <t>P0073</t>
        </is>
      </c>
      <c r="B83" s="2" t="inlineStr">
        <is>
          <t>מנפרד מרקוביץ'</t>
        </is>
      </c>
      <c r="C83" s="2" t="inlineStr">
        <is>
          <t>רפאל</t>
        </is>
      </c>
      <c r="D83" s="33" t="n">
        <v>45809</v>
      </c>
      <c r="E83" s="33" t="n">
        <v>45838</v>
      </c>
      <c r="F83" s="30" t="inlineStr">
        <is>
          <t>06/2025</t>
        </is>
      </c>
      <c r="G83" s="2" t="n">
        <v>30</v>
      </c>
      <c r="H83" s="2" t="n">
        <v>22</v>
      </c>
      <c r="I83" s="2" t="n">
        <v>4</v>
      </c>
      <c r="J83" s="2" t="n">
        <v>4</v>
      </c>
      <c r="K83" s="2" t="n">
        <v>0</v>
      </c>
      <c r="L83" s="27" t="n">
        <v>868.5740655283802</v>
      </c>
      <c r="M83" s="27">
        <f>'1️⃣ רשימת עובדים'!F14</f>
        <v/>
      </c>
      <c r="N83" s="27" t="n">
        <v>5333</v>
      </c>
      <c r="O83" s="27" t="n"/>
      <c r="P83" s="40" t="n">
        <v>26717</v>
      </c>
      <c r="Q83" s="28" t="n">
        <v>45877</v>
      </c>
      <c r="R83" s="37">
        <f>P83-M83</f>
        <v/>
      </c>
      <c r="S83" s="29" t="n">
        <v>45931</v>
      </c>
    </row>
    <row r="84" ht="15" customHeight="1" s="53">
      <c r="A84" s="2" t="inlineStr">
        <is>
          <t>P0073</t>
        </is>
      </c>
      <c r="B84" s="2" t="inlineStr">
        <is>
          <t>מנפרד מרקוביץ'</t>
        </is>
      </c>
      <c r="C84" s="2" t="inlineStr">
        <is>
          <t>רפאל</t>
        </is>
      </c>
      <c r="D84" s="33" t="n">
        <v>45839</v>
      </c>
      <c r="E84" s="33" t="n">
        <v>45869</v>
      </c>
      <c r="F84" s="30" t="inlineStr">
        <is>
          <t>07/2025</t>
        </is>
      </c>
      <c r="G84" s="2" t="n">
        <v>31</v>
      </c>
      <c r="H84" s="2" t="n">
        <v>23</v>
      </c>
      <c r="I84" s="2" t="n">
        <v>4</v>
      </c>
      <c r="J84" s="2" t="n">
        <v>4</v>
      </c>
      <c r="K84" s="2" t="n">
        <v>0</v>
      </c>
      <c r="L84" s="27" t="n">
        <v>868.5740655283802</v>
      </c>
      <c r="M84" s="27">
        <f>'1️⃣ רשימת עובדים'!F6</f>
        <v/>
      </c>
      <c r="N84" s="27" t="n">
        <v>5448</v>
      </c>
      <c r="O84" s="27" t="n"/>
      <c r="P84" s="40" t="n">
        <v>27607</v>
      </c>
      <c r="Q84" s="28" t="n">
        <v>45877</v>
      </c>
      <c r="R84" s="37">
        <f>P84-M84</f>
        <v/>
      </c>
      <c r="S84" s="29" t="n">
        <v>45931</v>
      </c>
    </row>
    <row r="85" ht="15" customHeight="1" s="53">
      <c r="A85" s="2" t="inlineStr">
        <is>
          <t>P0078</t>
        </is>
      </c>
      <c r="B85" s="2" t="inlineStr">
        <is>
          <t>משה בורך</t>
        </is>
      </c>
      <c r="C85" s="2" t="inlineStr">
        <is>
          <t>רפאל</t>
        </is>
      </c>
      <c r="D85" s="2" t="inlineStr">
        <is>
          <t>05/03/2025</t>
        </is>
      </c>
      <c r="E85" s="2" t="inlineStr">
        <is>
          <t>05/03/2025</t>
        </is>
      </c>
      <c r="F85" s="2" t="inlineStr">
        <is>
          <t>03/2025</t>
        </is>
      </c>
      <c r="G85" s="2" t="n">
        <v>1</v>
      </c>
      <c r="H85" s="2" t="n">
        <v>1</v>
      </c>
      <c r="I85" s="2" t="n">
        <v>0</v>
      </c>
      <c r="J85" s="2" t="n">
        <v>0</v>
      </c>
      <c r="K85" s="2" t="n">
        <v>0</v>
      </c>
      <c r="L85" s="27" t="n">
        <v>929.8569450853714</v>
      </c>
      <c r="M85" s="27">
        <f>L85*H85</f>
        <v/>
      </c>
      <c r="N85" s="27" t="n">
        <v>162</v>
      </c>
      <c r="O85" s="27" t="n"/>
      <c r="P85" s="3" t="n">
        <v>1136</v>
      </c>
      <c r="Q85" s="28" t="n">
        <v>45877</v>
      </c>
      <c r="R85" s="37">
        <f>P85-M85</f>
        <v/>
      </c>
      <c r="T85" t="inlineStr">
        <is>
          <t>לא שולם- מועבר לולדה לבדיקה שח 05-07.2025- הפרשים שליליים</t>
        </is>
      </c>
    </row>
    <row r="86" ht="15" customHeight="1" s="53">
      <c r="A86" s="2" t="inlineStr">
        <is>
          <t>P0079</t>
        </is>
      </c>
      <c r="B86" s="2" t="inlineStr">
        <is>
          <t>משה בורך</t>
        </is>
      </c>
      <c r="C86" s="2" t="inlineStr">
        <is>
          <t>רפאל</t>
        </is>
      </c>
      <c r="D86" s="2" t="inlineStr">
        <is>
          <t>24/03/2025</t>
        </is>
      </c>
      <c r="E86" s="2" t="inlineStr">
        <is>
          <t>25/03/2025</t>
        </is>
      </c>
      <c r="F86" s="2" t="inlineStr">
        <is>
          <t>03/2025</t>
        </is>
      </c>
      <c r="G86" s="2" t="n">
        <v>2</v>
      </c>
      <c r="H86" s="2" t="n">
        <v>2</v>
      </c>
      <c r="I86" s="2" t="n">
        <v>0</v>
      </c>
      <c r="J86" s="2" t="n">
        <v>0</v>
      </c>
      <c r="K86" s="2" t="n">
        <v>0</v>
      </c>
      <c r="L86" s="27" t="n">
        <v>929.8569450853714</v>
      </c>
      <c r="M86" s="27">
        <f>L86*H86</f>
        <v/>
      </c>
      <c r="N86" s="27" t="n">
        <v>325</v>
      </c>
      <c r="O86" s="27" t="n"/>
      <c r="P86" s="3" t="n">
        <v>2273</v>
      </c>
      <c r="Q86" s="28" t="n">
        <v>45877</v>
      </c>
      <c r="R86" s="37">
        <f>P86-M86</f>
        <v/>
      </c>
      <c r="T86" t="inlineStr">
        <is>
          <t>לא שולם- מועבר לולדה לבדיקה שח 05-07.2025- הפרשים שליליים</t>
        </is>
      </c>
    </row>
    <row r="87" ht="15" customHeight="1" s="53">
      <c r="A87" s="2" t="inlineStr">
        <is>
          <t>P0080</t>
        </is>
      </c>
      <c r="B87" s="2" t="inlineStr">
        <is>
          <t>משה בורך</t>
        </is>
      </c>
      <c r="C87" s="2" t="inlineStr">
        <is>
          <t>רפאל</t>
        </is>
      </c>
      <c r="D87" s="2" t="inlineStr">
        <is>
          <t>27/03/2025</t>
        </is>
      </c>
      <c r="E87" s="2" t="inlineStr">
        <is>
          <t>27/03/2025</t>
        </is>
      </c>
      <c r="F87" s="2" t="inlineStr">
        <is>
          <t>03/2025</t>
        </is>
      </c>
      <c r="G87" s="2" t="n">
        <v>1</v>
      </c>
      <c r="H87" s="2" t="n">
        <v>1</v>
      </c>
      <c r="I87" s="2" t="n">
        <v>0</v>
      </c>
      <c r="J87" s="2" t="n">
        <v>0</v>
      </c>
      <c r="K87" s="2" t="n">
        <v>0</v>
      </c>
      <c r="L87" s="27" t="n">
        <v>929.8569450853714</v>
      </c>
      <c r="M87" s="27">
        <f>L87*H87</f>
        <v/>
      </c>
      <c r="N87" s="27" t="n">
        <v>162</v>
      </c>
      <c r="O87" s="27" t="n"/>
      <c r="P87" s="3" t="n">
        <v>1136</v>
      </c>
      <c r="Q87" s="28" t="n">
        <v>45877</v>
      </c>
      <c r="R87" s="37">
        <f>P87-M87</f>
        <v/>
      </c>
      <c r="T87" t="inlineStr">
        <is>
          <t>לא שולם- מועבר לולדה לבדיקה שח 05-07.2025- הפרשים שליליים</t>
        </is>
      </c>
    </row>
    <row r="88" ht="15" customHeight="1" s="53">
      <c r="A88" s="2" t="inlineStr">
        <is>
          <t>P0081</t>
        </is>
      </c>
      <c r="B88" s="2" t="inlineStr">
        <is>
          <t>משה בורך</t>
        </is>
      </c>
      <c r="C88" s="2" t="inlineStr">
        <is>
          <t>רפאל</t>
        </is>
      </c>
      <c r="D88" s="2" t="inlineStr">
        <is>
          <t>21/04/2025</t>
        </is>
      </c>
      <c r="E88" s="2" t="inlineStr">
        <is>
          <t>21/04/2025</t>
        </is>
      </c>
      <c r="F88" s="2" t="inlineStr">
        <is>
          <t>04/2025</t>
        </is>
      </c>
      <c r="G88" s="2" t="n">
        <v>1</v>
      </c>
      <c r="H88" s="2" t="n">
        <v>1</v>
      </c>
      <c r="I88" s="2" t="n">
        <v>0</v>
      </c>
      <c r="J88" s="2" t="n">
        <v>0</v>
      </c>
      <c r="K88" s="2" t="n">
        <v>0</v>
      </c>
      <c r="L88" s="27" t="n">
        <v>929.8569450853714</v>
      </c>
      <c r="M88" s="27">
        <f>L88*H88</f>
        <v/>
      </c>
      <c r="N88" s="27" t="n">
        <v>163</v>
      </c>
      <c r="O88" s="27" t="n"/>
      <c r="P88" s="3" t="n">
        <v>1138</v>
      </c>
      <c r="Q88" s="28" t="n">
        <v>45877</v>
      </c>
      <c r="R88" s="37">
        <f>P88-M88</f>
        <v/>
      </c>
      <c r="T88" t="inlineStr">
        <is>
          <t>לא שולם- מועבר לולדה לבדיקה שח 05-07.2025- הפרשים שליליים</t>
        </is>
      </c>
    </row>
    <row r="89" ht="15" customHeight="1" s="53">
      <c r="A89" s="2" t="inlineStr">
        <is>
          <t>P0113</t>
        </is>
      </c>
      <c r="B89" s="2" t="inlineStr">
        <is>
          <t>נתן פרדר</t>
        </is>
      </c>
      <c r="C89" s="2" t="inlineStr">
        <is>
          <t>רוה"מ</t>
        </is>
      </c>
      <c r="D89" s="2" t="inlineStr">
        <is>
          <t>05/05/2025</t>
        </is>
      </c>
      <c r="E89" s="2" t="inlineStr">
        <is>
          <t>06/05/2025</t>
        </is>
      </c>
      <c r="F89" s="2" t="inlineStr">
        <is>
          <t>05/2025</t>
        </is>
      </c>
      <c r="G89" s="2" t="n">
        <v>2</v>
      </c>
      <c r="H89" s="2" t="n">
        <v>2</v>
      </c>
      <c r="I89" s="2" t="n">
        <v>0</v>
      </c>
      <c r="J89" s="2" t="n">
        <v>0</v>
      </c>
      <c r="K89" s="2" t="n">
        <v>0</v>
      </c>
      <c r="L89" s="27" t="n">
        <v>914.8592524227041</v>
      </c>
      <c r="M89" s="27">
        <f>L89*H89</f>
        <v/>
      </c>
      <c r="N89" s="27" t="n"/>
      <c r="O89" s="27" t="n"/>
      <c r="P89" s="3" t="n"/>
    </row>
    <row r="90" ht="15" customHeight="1" s="53">
      <c r="A90" s="2" t="inlineStr">
        <is>
          <t>P0114</t>
        </is>
      </c>
      <c r="B90" s="2" t="inlineStr">
        <is>
          <t>נתן פרדר</t>
        </is>
      </c>
      <c r="C90" s="2" t="inlineStr">
        <is>
          <t>רוה"מ</t>
        </is>
      </c>
      <c r="D90" s="2" t="inlineStr">
        <is>
          <t>18/05/2025</t>
        </is>
      </c>
      <c r="E90" s="2" t="inlineStr">
        <is>
          <t>18/05/2025</t>
        </is>
      </c>
      <c r="F90" s="2" t="inlineStr">
        <is>
          <t>05/2025</t>
        </is>
      </c>
      <c r="G90" s="2" t="n">
        <v>1</v>
      </c>
      <c r="H90" s="2" t="n">
        <v>0</v>
      </c>
      <c r="I90" s="2" t="n">
        <v>0</v>
      </c>
      <c r="J90" s="2" t="n">
        <v>1</v>
      </c>
      <c r="K90" s="2" t="n">
        <v>0</v>
      </c>
      <c r="L90" s="27" t="n">
        <v>914.8592524227041</v>
      </c>
      <c r="M90" s="27">
        <f>L90*H90</f>
        <v/>
      </c>
      <c r="N90" s="27" t="n"/>
      <c r="O90" s="27" t="n"/>
      <c r="P90" s="3" t="n"/>
    </row>
    <row r="91" ht="15" customHeight="1" s="53">
      <c r="A91" s="2" t="inlineStr">
        <is>
          <t>P0115</t>
        </is>
      </c>
      <c r="B91" s="2" t="inlineStr">
        <is>
          <t>נתן פרדר</t>
        </is>
      </c>
      <c r="C91" s="2" t="inlineStr">
        <is>
          <t>רוה"מ</t>
        </is>
      </c>
      <c r="D91" s="2" t="inlineStr">
        <is>
          <t>20/05/2025</t>
        </is>
      </c>
      <c r="E91" s="2" t="inlineStr">
        <is>
          <t>20/05/2025</t>
        </is>
      </c>
      <c r="F91" s="2" t="inlineStr">
        <is>
          <t>05/2025</t>
        </is>
      </c>
      <c r="G91" s="2" t="n">
        <v>1</v>
      </c>
      <c r="H91" s="2" t="n">
        <v>1</v>
      </c>
      <c r="I91" s="2" t="n">
        <v>0</v>
      </c>
      <c r="J91" s="2" t="n">
        <v>0</v>
      </c>
      <c r="K91" s="2" t="n">
        <v>0</v>
      </c>
      <c r="L91" s="27" t="n">
        <v>914.8592524227041</v>
      </c>
      <c r="M91" s="27">
        <f>L91*H91</f>
        <v/>
      </c>
      <c r="N91" s="27" t="n"/>
      <c r="O91" s="27" t="n"/>
      <c r="P91" s="3" t="n"/>
    </row>
    <row r="92" ht="15" customHeight="1" s="53">
      <c r="A92" s="2" t="inlineStr">
        <is>
          <t>P0116</t>
        </is>
      </c>
      <c r="B92" s="2" t="inlineStr">
        <is>
          <t>נתן פרדר</t>
        </is>
      </c>
      <c r="C92" s="2" t="inlineStr">
        <is>
          <t>רוה"מ</t>
        </is>
      </c>
      <c r="D92" s="2" t="inlineStr">
        <is>
          <t>22/05/2025</t>
        </is>
      </c>
      <c r="E92" s="2" t="inlineStr">
        <is>
          <t>22/05/2025</t>
        </is>
      </c>
      <c r="F92" s="2" t="inlineStr">
        <is>
          <t>05/2025</t>
        </is>
      </c>
      <c r="G92" s="2" t="n">
        <v>1</v>
      </c>
      <c r="H92" s="2" t="n">
        <v>1</v>
      </c>
      <c r="I92" s="2" t="n">
        <v>0</v>
      </c>
      <c r="J92" s="2" t="n">
        <v>0</v>
      </c>
      <c r="K92" s="2" t="n">
        <v>0</v>
      </c>
      <c r="L92" s="27" t="n">
        <v>914.8592524227041</v>
      </c>
      <c r="M92" s="27">
        <f>L92*H92</f>
        <v/>
      </c>
      <c r="N92" s="27" t="n"/>
      <c r="O92" s="27" t="n"/>
      <c r="P92" s="3" t="n"/>
    </row>
    <row r="93" ht="15" customHeight="1" s="53">
      <c r="A93" s="2" t="inlineStr">
        <is>
          <t>P0117</t>
        </is>
      </c>
      <c r="B93" s="2" t="inlineStr">
        <is>
          <t>נתן פרדר</t>
        </is>
      </c>
      <c r="C93" s="2" t="inlineStr">
        <is>
          <t>רוה"מ</t>
        </is>
      </c>
      <c r="D93" s="2" t="inlineStr">
        <is>
          <t>25/05/2025</t>
        </is>
      </c>
      <c r="E93" s="2" t="inlineStr">
        <is>
          <t>25/05/2025</t>
        </is>
      </c>
      <c r="F93" s="2" t="inlineStr">
        <is>
          <t>05/2025</t>
        </is>
      </c>
      <c r="G93" s="2" t="n">
        <v>1</v>
      </c>
      <c r="H93" s="2" t="n">
        <v>0</v>
      </c>
      <c r="I93" s="2" t="n">
        <v>0</v>
      </c>
      <c r="J93" s="2" t="n">
        <v>1</v>
      </c>
      <c r="K93" s="2" t="n">
        <v>0</v>
      </c>
      <c r="L93" s="27" t="n">
        <v>914.8592524227041</v>
      </c>
      <c r="M93" s="27">
        <f>L93*H93</f>
        <v/>
      </c>
      <c r="N93" s="27" t="n"/>
      <c r="O93" s="27" t="n"/>
      <c r="P93" s="3" t="n"/>
    </row>
    <row r="94" ht="15" customHeight="1" s="53">
      <c r="A94" s="2" t="inlineStr">
        <is>
          <t>P0129</t>
        </is>
      </c>
      <c r="B94" s="2" t="inlineStr">
        <is>
          <t>צחי חנגל</t>
        </is>
      </c>
      <c r="C94" s="2" t="inlineStr">
        <is>
          <t>רפאל</t>
        </is>
      </c>
      <c r="D94" s="2" t="inlineStr">
        <is>
          <t>21/05/2025</t>
        </is>
      </c>
      <c r="E94" s="2" t="inlineStr">
        <is>
          <t>22/05/2025</t>
        </is>
      </c>
      <c r="F94" s="2" t="inlineStr">
        <is>
          <t>05/2025</t>
        </is>
      </c>
      <c r="G94" s="2" t="n">
        <v>2</v>
      </c>
      <c r="H94" s="2" t="n">
        <v>2</v>
      </c>
      <c r="I94" s="2" t="n">
        <v>0</v>
      </c>
      <c r="J94" s="2" t="n">
        <v>0</v>
      </c>
      <c r="K94" s="2" t="n">
        <v>0</v>
      </c>
      <c r="L94" s="27" t="n">
        <v>812.2288878634056</v>
      </c>
      <c r="M94" s="27">
        <f>L94*H94</f>
        <v/>
      </c>
      <c r="N94" s="27" t="n">
        <v>324.8915551453622</v>
      </c>
      <c r="O94" s="27" t="n"/>
      <c r="P94" s="3" t="n"/>
    </row>
    <row r="95" ht="15" customHeight="1" s="53">
      <c r="A95" s="2" t="inlineStr">
        <is>
          <t>P0130</t>
        </is>
      </c>
      <c r="B95" s="2" t="inlineStr">
        <is>
          <t>צחי חנגל</t>
        </is>
      </c>
      <c r="C95" s="2" t="inlineStr">
        <is>
          <t>רפאל</t>
        </is>
      </c>
      <c r="D95" s="2" t="inlineStr">
        <is>
          <t>25/05/2025</t>
        </is>
      </c>
      <c r="E95" s="2" t="inlineStr">
        <is>
          <t>29/05/2025</t>
        </is>
      </c>
      <c r="F95" s="2" t="inlineStr">
        <is>
          <t>05/2025</t>
        </is>
      </c>
      <c r="G95" s="2" t="n">
        <v>5</v>
      </c>
      <c r="H95" s="2" t="n">
        <v>4</v>
      </c>
      <c r="I95" s="2" t="n">
        <v>0</v>
      </c>
      <c r="J95" s="2" t="n">
        <v>1</v>
      </c>
      <c r="K95" s="2" t="n">
        <v>0</v>
      </c>
      <c r="L95" s="27" t="n">
        <v>812.2288878634056</v>
      </c>
      <c r="M95" s="27">
        <f>L95*H95</f>
        <v/>
      </c>
      <c r="N95" s="27" t="n">
        <v>649.7831102907245</v>
      </c>
      <c r="O95" s="27" t="n"/>
      <c r="P95" s="3" t="n"/>
    </row>
    <row r="96" ht="15" customHeight="1" s="53">
      <c r="A96" s="2" t="inlineStr">
        <is>
          <t>P0136</t>
        </is>
      </c>
      <c r="B96" s="2" t="inlineStr">
        <is>
          <t>רפאל שועה</t>
        </is>
      </c>
      <c r="C96" s="2" t="inlineStr">
        <is>
          <t>מל"מ</t>
        </is>
      </c>
      <c r="D96" s="2" t="inlineStr">
        <is>
          <t>27/05/2025</t>
        </is>
      </c>
      <c r="E96" s="2" t="inlineStr">
        <is>
          <t>28/05/2025</t>
        </is>
      </c>
      <c r="F96" s="2" t="inlineStr">
        <is>
          <t>05/2025</t>
        </is>
      </c>
      <c r="G96" s="2" t="n">
        <v>2</v>
      </c>
      <c r="H96" s="2" t="n">
        <v>2</v>
      </c>
      <c r="I96" s="2" t="n">
        <v>0</v>
      </c>
      <c r="J96" s="2" t="n">
        <v>0</v>
      </c>
      <c r="K96" s="2" t="n">
        <v>0</v>
      </c>
      <c r="L96" s="27" t="n">
        <v>815.4130133825564</v>
      </c>
      <c r="M96" s="27">
        <f>L96*H96</f>
        <v/>
      </c>
      <c r="N96" s="27" t="n">
        <v>326.1652053530226</v>
      </c>
      <c r="O96" s="27" t="n"/>
      <c r="P96" s="3" t="n"/>
    </row>
    <row r="97" ht="15" customHeight="1" s="53">
      <c r="A97" s="2" t="inlineStr">
        <is>
          <t>P0005</t>
        </is>
      </c>
      <c r="B97" s="2" t="inlineStr">
        <is>
          <t>אייל מלח</t>
        </is>
      </c>
      <c r="C97" s="2" t="inlineStr">
        <is>
          <t>רפאל</t>
        </is>
      </c>
      <c r="D97" s="2" t="inlineStr">
        <is>
          <t>12/06/2025</t>
        </is>
      </c>
      <c r="E97" s="2" t="inlineStr">
        <is>
          <t>26/06/2025</t>
        </is>
      </c>
      <c r="F97" s="2" t="inlineStr">
        <is>
          <t>06/2025</t>
        </is>
      </c>
      <c r="G97" s="2" t="n">
        <v>15</v>
      </c>
      <c r="H97" s="2" t="n">
        <v>11</v>
      </c>
      <c r="I97" s="2" t="n">
        <v>2</v>
      </c>
      <c r="J97" s="2" t="n">
        <v>2</v>
      </c>
      <c r="K97" s="2" t="n">
        <v>0</v>
      </c>
      <c r="L97" s="27" t="n">
        <v>946.0083064143977</v>
      </c>
      <c r="M97" s="27">
        <f>L97*H97</f>
        <v/>
      </c>
      <c r="N97" s="27" t="n">
        <v>2081.218274111675</v>
      </c>
      <c r="O97" s="27" t="n"/>
      <c r="P97" s="3" t="n"/>
    </row>
    <row r="98" ht="15" customHeight="1" s="53">
      <c r="A98" s="2" t="inlineStr">
        <is>
          <t>P0016</t>
        </is>
      </c>
      <c r="B98" s="2" t="inlineStr">
        <is>
          <t>דניאל בנדרימר</t>
        </is>
      </c>
      <c r="C98" s="2" t="inlineStr">
        <is>
          <t>מל"מ</t>
        </is>
      </c>
      <c r="D98" s="2" t="inlineStr">
        <is>
          <t>03/06/2025</t>
        </is>
      </c>
      <c r="E98" s="2" t="inlineStr">
        <is>
          <t>30/06/2025</t>
        </is>
      </c>
      <c r="F98" s="2" t="inlineStr">
        <is>
          <t>06/2025</t>
        </is>
      </c>
      <c r="G98" s="2" t="n">
        <v>28</v>
      </c>
      <c r="H98" s="2" t="n">
        <v>20</v>
      </c>
      <c r="I98" s="2" t="n">
        <v>4</v>
      </c>
      <c r="J98" s="2" t="n">
        <v>4</v>
      </c>
      <c r="K98" s="2" t="n">
        <v>0</v>
      </c>
      <c r="L98" s="27" t="n">
        <v>670.604522381172</v>
      </c>
      <c r="M98" s="27">
        <f>L98*H98</f>
        <v/>
      </c>
      <c r="N98" s="27" t="n">
        <v>2682.418089524688</v>
      </c>
      <c r="O98" s="27" t="n"/>
      <c r="P98" s="3" t="n"/>
    </row>
    <row r="99" ht="15" customHeight="1" s="53">
      <c r="A99" s="2" t="inlineStr">
        <is>
          <t>P0022</t>
        </is>
      </c>
      <c r="B99" s="2" t="inlineStr">
        <is>
          <t>חיים ראש</t>
        </is>
      </c>
      <c r="C99" s="2" t="inlineStr">
        <is>
          <t>מל"מ</t>
        </is>
      </c>
      <c r="D99" s="2" t="inlineStr">
        <is>
          <t>05/06/2025</t>
        </is>
      </c>
      <c r="E99" s="2" t="inlineStr">
        <is>
          <t>05/06/2025</t>
        </is>
      </c>
      <c r="F99" s="2" t="inlineStr">
        <is>
          <t>06/2025</t>
        </is>
      </c>
      <c r="G99" s="2" t="n">
        <v>1</v>
      </c>
      <c r="H99" s="2" t="n">
        <v>1</v>
      </c>
      <c r="I99" s="2" t="n">
        <v>0</v>
      </c>
      <c r="J99" s="2" t="n">
        <v>0</v>
      </c>
      <c r="K99" s="2" t="n">
        <v>0</v>
      </c>
      <c r="L99" s="27" t="n">
        <v>950.0046146746653</v>
      </c>
      <c r="M99" s="27">
        <f>L99*H99</f>
        <v/>
      </c>
      <c r="N99" s="27" t="n">
        <v>190.0009229349331</v>
      </c>
      <c r="O99" s="27" t="n"/>
      <c r="P99" s="3" t="n"/>
    </row>
    <row r="100" ht="15" customHeight="1" s="53">
      <c r="A100" s="2" t="inlineStr">
        <is>
          <t>P0025</t>
        </is>
      </c>
      <c r="B100" s="2" t="inlineStr">
        <is>
          <t>יום טוב מוסארי</t>
        </is>
      </c>
      <c r="C100" s="2" t="inlineStr">
        <is>
          <t>רוה"מ</t>
        </is>
      </c>
      <c r="D100" s="2" t="inlineStr">
        <is>
          <t>12/06/2025</t>
        </is>
      </c>
      <c r="E100" s="2" t="inlineStr">
        <is>
          <t>29/06/2025</t>
        </is>
      </c>
      <c r="F100" s="2" t="inlineStr">
        <is>
          <t>06/2025</t>
        </is>
      </c>
      <c r="G100" s="2" t="n">
        <v>18</v>
      </c>
      <c r="H100" s="2" t="n">
        <v>12</v>
      </c>
      <c r="I100" s="2" t="n">
        <v>3</v>
      </c>
      <c r="J100" s="2" t="n">
        <v>3</v>
      </c>
      <c r="K100" s="2" t="n">
        <v>0</v>
      </c>
      <c r="L100" s="27" t="n">
        <v>1282.464236271343</v>
      </c>
      <c r="M100" s="27">
        <f>L100*H100</f>
        <v/>
      </c>
      <c r="N100" s="27" t="n">
        <v>3077.914167051224</v>
      </c>
      <c r="O100" s="27" t="n"/>
      <c r="P100" s="3" t="n"/>
    </row>
    <row r="101" ht="15" customHeight="1" s="53">
      <c r="A101" s="2" t="inlineStr">
        <is>
          <t>P0083</t>
        </is>
      </c>
      <c r="B101" s="2" t="inlineStr">
        <is>
          <t>משה בורך</t>
        </is>
      </c>
      <c r="C101" s="2" t="inlineStr">
        <is>
          <t>רפאל</t>
        </is>
      </c>
      <c r="D101" s="2" t="inlineStr">
        <is>
          <t>04/05/2025</t>
        </is>
      </c>
      <c r="E101" s="2" t="inlineStr">
        <is>
          <t>04/05/2025</t>
        </is>
      </c>
      <c r="F101" s="2" t="inlineStr">
        <is>
          <t>05/2025</t>
        </is>
      </c>
      <c r="G101" s="2" t="n">
        <v>1</v>
      </c>
      <c r="H101" s="2" t="n">
        <v>1</v>
      </c>
      <c r="I101" s="2" t="n">
        <v>0</v>
      </c>
      <c r="J101" s="2" t="n">
        <v>1</v>
      </c>
      <c r="K101" s="2" t="n">
        <v>0</v>
      </c>
      <c r="L101" s="27" t="n">
        <v>929.8569450853714</v>
      </c>
      <c r="M101" s="27">
        <f>L101*H101</f>
        <v/>
      </c>
      <c r="N101" s="27" t="n">
        <v>161</v>
      </c>
      <c r="O101" s="27" t="n"/>
      <c r="P101" s="3" t="n">
        <v>511</v>
      </c>
      <c r="Q101" s="28" t="n">
        <v>45877</v>
      </c>
      <c r="R101" s="37">
        <f>P101-M101</f>
        <v/>
      </c>
      <c r="T101" t="inlineStr">
        <is>
          <t>לא שולם- מועבר לולדה לבדיקה שח 05-07.2025- הפרשים שליליים</t>
        </is>
      </c>
    </row>
    <row r="102" ht="15" customHeight="1" s="53">
      <c r="A102" s="2" t="inlineStr">
        <is>
          <t>P0084</t>
        </is>
      </c>
      <c r="B102" s="2" t="inlineStr">
        <is>
          <t>משה בורך</t>
        </is>
      </c>
      <c r="C102" s="2" t="inlineStr">
        <is>
          <t>רפאל</t>
        </is>
      </c>
      <c r="D102" s="2" t="inlineStr">
        <is>
          <t>12/05/2025</t>
        </is>
      </c>
      <c r="E102" s="2" t="inlineStr">
        <is>
          <t>15/05/2025</t>
        </is>
      </c>
      <c r="F102" s="2" t="inlineStr">
        <is>
          <t>05/2025</t>
        </is>
      </c>
      <c r="G102" s="2" t="n">
        <v>4</v>
      </c>
      <c r="H102" s="2" t="n">
        <v>4</v>
      </c>
      <c r="I102" s="2" t="n">
        <v>0</v>
      </c>
      <c r="J102" s="2" t="n">
        <v>0</v>
      </c>
      <c r="K102" s="2" t="n">
        <v>0</v>
      </c>
      <c r="L102" s="27" t="n">
        <v>929.8569450853714</v>
      </c>
      <c r="M102" s="27">
        <f>L102*H102</f>
        <v/>
      </c>
      <c r="N102" s="27" t="n">
        <v>644</v>
      </c>
      <c r="O102" s="27" t="n"/>
      <c r="P102" s="3" t="n">
        <v>2042</v>
      </c>
      <c r="Q102" s="28" t="n">
        <v>45877</v>
      </c>
      <c r="R102" s="37">
        <f>P102-M102</f>
        <v/>
      </c>
      <c r="T102" t="inlineStr">
        <is>
          <t>לא שולם- מועבר לולדה לבדיקה שח 05-07.2025- הפרשים שליליים</t>
        </is>
      </c>
    </row>
    <row r="103" ht="15" customHeight="1" s="53">
      <c r="A103" s="2" t="inlineStr">
        <is>
          <t>P0052</t>
        </is>
      </c>
      <c r="B103" s="2" t="inlineStr">
        <is>
          <t>לאון שמייב</t>
        </is>
      </c>
      <c r="C103" s="2" t="inlineStr">
        <is>
          <t>רוה"מ</t>
        </is>
      </c>
      <c r="D103" s="2" t="inlineStr">
        <is>
          <t>16/06/2025</t>
        </is>
      </c>
      <c r="E103" s="2" t="inlineStr">
        <is>
          <t>23/06/2025</t>
        </is>
      </c>
      <c r="F103" s="2" t="inlineStr">
        <is>
          <t>06/2025</t>
        </is>
      </c>
      <c r="G103" s="2" t="n">
        <v>8</v>
      </c>
      <c r="H103" s="2" t="n">
        <v>6</v>
      </c>
      <c r="I103" s="2" t="n">
        <v>1</v>
      </c>
      <c r="J103" s="2" t="n">
        <v>1</v>
      </c>
      <c r="K103" s="2" t="n">
        <v>0</v>
      </c>
      <c r="L103" s="27" t="n">
        <v>730.2722658052606</v>
      </c>
      <c r="M103" s="27">
        <f>L103*H103</f>
        <v/>
      </c>
      <c r="N103" s="27" t="n">
        <v>876.3267189663128</v>
      </c>
      <c r="O103" s="27" t="n"/>
      <c r="P103" s="3" t="n"/>
    </row>
    <row r="104" ht="15" customHeight="1" s="53">
      <c r="A104" s="2" t="inlineStr">
        <is>
          <t>P0059</t>
        </is>
      </c>
      <c r="B104" s="2" t="inlineStr">
        <is>
          <t>לוי דור</t>
        </is>
      </c>
      <c r="C104" s="2" t="inlineStr">
        <is>
          <t>רפאל</t>
        </is>
      </c>
      <c r="D104" s="2" t="inlineStr">
        <is>
          <t>18/06/2025</t>
        </is>
      </c>
      <c r="E104" s="2" t="inlineStr">
        <is>
          <t>22/06/2025</t>
        </is>
      </c>
      <c r="F104" s="2" t="inlineStr">
        <is>
          <t>06/2025</t>
        </is>
      </c>
      <c r="G104" s="2" t="n">
        <v>5</v>
      </c>
      <c r="H104" s="2" t="n">
        <v>3</v>
      </c>
      <c r="I104" s="2" t="n">
        <v>1</v>
      </c>
      <c r="J104" s="2" t="n">
        <v>1</v>
      </c>
      <c r="K104" s="2" t="n">
        <v>0</v>
      </c>
      <c r="L104" s="27" t="n">
        <v>826.995846792801</v>
      </c>
      <c r="M104" s="27">
        <f>L104*H104</f>
        <v/>
      </c>
      <c r="N104" s="27" t="n">
        <v>496.1975080756806</v>
      </c>
      <c r="O104" s="27" t="n"/>
      <c r="P104" s="3" t="n"/>
    </row>
    <row r="105" ht="15" customHeight="1" s="53">
      <c r="A105" s="2" t="inlineStr">
        <is>
          <t>P0094</t>
        </is>
      </c>
      <c r="B105" s="2" t="inlineStr">
        <is>
          <t>משה פינץ</t>
        </is>
      </c>
      <c r="C105" s="2" t="inlineStr">
        <is>
          <t>רוה"מ</t>
        </is>
      </c>
      <c r="D105" s="2" t="inlineStr">
        <is>
          <t>19/06/2025</t>
        </is>
      </c>
      <c r="E105" s="2" t="inlineStr">
        <is>
          <t>24/06/2025</t>
        </is>
      </c>
      <c r="F105" s="2" t="inlineStr">
        <is>
          <t>06/2025</t>
        </is>
      </c>
      <c r="G105" s="2" t="n">
        <v>6</v>
      </c>
      <c r="H105" s="2" t="n">
        <v>4</v>
      </c>
      <c r="I105" s="2" t="n">
        <v>1</v>
      </c>
      <c r="J105" s="2" t="n">
        <v>1</v>
      </c>
      <c r="K105" s="2" t="n">
        <v>0</v>
      </c>
      <c r="L105" s="27" t="n">
        <v>914.9053991693585</v>
      </c>
      <c r="M105" s="27">
        <f>L105*H105</f>
        <v/>
      </c>
      <c r="N105" s="27" t="n">
        <v>731.9243193354869</v>
      </c>
      <c r="O105" s="27" t="n"/>
      <c r="P105" s="3" t="n"/>
    </row>
    <row r="106" ht="15" customHeight="1" s="53">
      <c r="A106" s="2" t="inlineStr">
        <is>
          <t>P0118</t>
        </is>
      </c>
      <c r="B106" s="2" t="inlineStr">
        <is>
          <t>נתן פרדר</t>
        </is>
      </c>
      <c r="C106" s="2" t="inlineStr">
        <is>
          <t>רוה"מ</t>
        </is>
      </c>
      <c r="D106" s="2" t="inlineStr">
        <is>
          <t>03/06/2025</t>
        </is>
      </c>
      <c r="E106" s="2" t="inlineStr">
        <is>
          <t>04/06/2025</t>
        </is>
      </c>
      <c r="F106" s="2" t="inlineStr">
        <is>
          <t>06/2025</t>
        </is>
      </c>
      <c r="G106" s="2" t="n">
        <v>2</v>
      </c>
      <c r="H106" s="2" t="n">
        <v>2</v>
      </c>
      <c r="I106" s="2" t="n">
        <v>0</v>
      </c>
      <c r="J106" s="2" t="n">
        <v>0</v>
      </c>
      <c r="K106" s="2" t="n">
        <v>0</v>
      </c>
      <c r="L106" s="27" t="n">
        <v>914.8592524227041</v>
      </c>
      <c r="M106" s="27">
        <f>L106*H106</f>
        <v/>
      </c>
      <c r="N106" s="27" t="n"/>
      <c r="O106" s="27" t="n"/>
      <c r="P106" s="3" t="n"/>
    </row>
    <row r="107" ht="15" customHeight="1" s="53">
      <c r="A107" s="2" t="inlineStr">
        <is>
          <t>P0119</t>
        </is>
      </c>
      <c r="B107" s="2" t="inlineStr">
        <is>
          <t>נתן פרדר</t>
        </is>
      </c>
      <c r="C107" s="2" t="inlineStr">
        <is>
          <t>רוה"מ</t>
        </is>
      </c>
      <c r="D107" s="2" t="inlineStr">
        <is>
          <t>08/06/2025</t>
        </is>
      </c>
      <c r="E107" s="2" t="inlineStr">
        <is>
          <t>08/06/2025</t>
        </is>
      </c>
      <c r="F107" s="2" t="inlineStr">
        <is>
          <t>06/2025</t>
        </is>
      </c>
      <c r="G107" s="2" t="n">
        <v>1</v>
      </c>
      <c r="H107" s="2" t="n">
        <v>0</v>
      </c>
      <c r="I107" s="2" t="n">
        <v>0</v>
      </c>
      <c r="J107" s="2" t="n">
        <v>1</v>
      </c>
      <c r="K107" s="2" t="n">
        <v>0</v>
      </c>
      <c r="L107" s="27" t="n">
        <v>914.8592524227041</v>
      </c>
      <c r="M107" s="27">
        <f>L107*H107</f>
        <v/>
      </c>
      <c r="N107" s="27" t="n"/>
      <c r="O107" s="27" t="n"/>
      <c r="P107" s="3" t="n"/>
    </row>
    <row r="108" ht="15" customHeight="1" s="53">
      <c r="A108" s="2" t="inlineStr">
        <is>
          <t>P0120</t>
        </is>
      </c>
      <c r="B108" s="2" t="inlineStr">
        <is>
          <t>נתן פרדר</t>
        </is>
      </c>
      <c r="C108" s="2" t="inlineStr">
        <is>
          <t>רוה"מ</t>
        </is>
      </c>
      <c r="D108" s="2" t="inlineStr">
        <is>
          <t>11/06/2025</t>
        </is>
      </c>
      <c r="E108" s="2" t="inlineStr">
        <is>
          <t>29/06/2025</t>
        </is>
      </c>
      <c r="F108" s="2" t="inlineStr">
        <is>
          <t>06/2025</t>
        </is>
      </c>
      <c r="G108" s="2" t="n">
        <v>19</v>
      </c>
      <c r="H108" s="2" t="n">
        <v>13</v>
      </c>
      <c r="I108" s="2" t="n">
        <v>3</v>
      </c>
      <c r="J108" s="2" t="n">
        <v>3</v>
      </c>
      <c r="K108" s="2" t="n">
        <v>0</v>
      </c>
      <c r="L108" s="27" t="n">
        <v>914.8592524227041</v>
      </c>
      <c r="M108" s="27">
        <f>L108*H108</f>
        <v/>
      </c>
      <c r="N108" s="27" t="n"/>
      <c r="O108" s="27" t="n"/>
      <c r="P108" s="3" t="n"/>
    </row>
    <row r="109" ht="15" customHeight="1" s="53">
      <c r="A109" s="2" t="inlineStr">
        <is>
          <t>P0131</t>
        </is>
      </c>
      <c r="B109" s="2" t="inlineStr">
        <is>
          <t>צחי חנגל</t>
        </is>
      </c>
      <c r="C109" s="2" t="inlineStr">
        <is>
          <t>רפאל</t>
        </is>
      </c>
      <c r="D109" s="2" t="inlineStr">
        <is>
          <t>10/06/2025</t>
        </is>
      </c>
      <c r="E109" s="2" t="inlineStr">
        <is>
          <t>12/06/2025</t>
        </is>
      </c>
      <c r="F109" s="2" t="inlineStr">
        <is>
          <t>06/2025</t>
        </is>
      </c>
      <c r="G109" s="2" t="n">
        <v>3</v>
      </c>
      <c r="H109" s="2" t="n">
        <v>3</v>
      </c>
      <c r="I109" s="2" t="n">
        <v>0</v>
      </c>
      <c r="J109" s="2" t="n">
        <v>0</v>
      </c>
      <c r="K109" s="2" t="n">
        <v>0</v>
      </c>
      <c r="L109" s="27" t="n">
        <v>812.2288878634056</v>
      </c>
      <c r="M109" s="27">
        <f>L109*H109</f>
        <v/>
      </c>
      <c r="N109" s="27" t="n">
        <v>487.3373327180434</v>
      </c>
      <c r="O109" s="27" t="n"/>
      <c r="P109" s="3" t="n"/>
    </row>
    <row r="110" ht="15" customHeight="1" s="53">
      <c r="A110" s="2" t="inlineStr">
        <is>
          <t>P0132</t>
        </is>
      </c>
      <c r="B110" s="2" t="inlineStr">
        <is>
          <t>צחי חנגל</t>
        </is>
      </c>
      <c r="C110" s="2" t="inlineStr">
        <is>
          <t>רפאל</t>
        </is>
      </c>
      <c r="D110" s="2" t="inlineStr">
        <is>
          <t>15/06/2025</t>
        </is>
      </c>
      <c r="E110" s="2" t="inlineStr">
        <is>
          <t>15/06/2025</t>
        </is>
      </c>
      <c r="F110" s="2" t="inlineStr">
        <is>
          <t>06/2025</t>
        </is>
      </c>
      <c r="G110" s="2" t="n">
        <v>1</v>
      </c>
      <c r="H110" s="2" t="n">
        <v>0</v>
      </c>
      <c r="I110" s="2" t="n">
        <v>0</v>
      </c>
      <c r="J110" s="2" t="n">
        <v>1</v>
      </c>
      <c r="K110" s="2" t="n">
        <v>0</v>
      </c>
      <c r="L110" s="27" t="n">
        <v>812.2288878634056</v>
      </c>
      <c r="M110" s="27">
        <f>L110*H110</f>
        <v/>
      </c>
      <c r="N110" s="27" t="n">
        <v>0</v>
      </c>
      <c r="O110" s="27" t="n"/>
      <c r="P110" s="3" t="n"/>
    </row>
    <row r="111" ht="15" customHeight="1" s="53">
      <c r="A111" s="2" t="inlineStr">
        <is>
          <t>P0137</t>
        </is>
      </c>
      <c r="B111" s="2" t="inlineStr">
        <is>
          <t>רפאל שועה</t>
        </is>
      </c>
      <c r="C111" s="2" t="inlineStr">
        <is>
          <t>מל"מ</t>
        </is>
      </c>
      <c r="D111" s="2" t="inlineStr">
        <is>
          <t>03/06/2025</t>
        </is>
      </c>
      <c r="E111" s="2" t="inlineStr">
        <is>
          <t>04/06/2025</t>
        </is>
      </c>
      <c r="F111" s="2" t="inlineStr">
        <is>
          <t>06/2025</t>
        </is>
      </c>
      <c r="G111" s="2" t="n">
        <v>2</v>
      </c>
      <c r="H111" s="2" t="n">
        <v>2</v>
      </c>
      <c r="I111" s="2" t="n">
        <v>0</v>
      </c>
      <c r="J111" s="2" t="n">
        <v>0</v>
      </c>
      <c r="K111" s="2" t="n">
        <v>0</v>
      </c>
      <c r="L111" s="27" t="n">
        <v>815.4130133825564</v>
      </c>
      <c r="M111" s="27">
        <f>L111*H111</f>
        <v/>
      </c>
      <c r="N111" s="27" t="n">
        <v>326.1652053530226</v>
      </c>
      <c r="O111" s="27" t="n"/>
      <c r="P111" s="3" t="n"/>
    </row>
    <row r="112" ht="15" customHeight="1" s="53">
      <c r="A112" s="2" t="inlineStr">
        <is>
          <t>P0138</t>
        </is>
      </c>
      <c r="B112" s="2" t="inlineStr">
        <is>
          <t>רפאל שועה</t>
        </is>
      </c>
      <c r="C112" s="2" t="inlineStr">
        <is>
          <t>מל"מ</t>
        </is>
      </c>
      <c r="D112" s="2" t="inlineStr">
        <is>
          <t>09/06/2025</t>
        </is>
      </c>
      <c r="E112" s="2" t="inlineStr">
        <is>
          <t>10/06/2025</t>
        </is>
      </c>
      <c r="F112" s="2" t="inlineStr">
        <is>
          <t>06/2025</t>
        </is>
      </c>
      <c r="G112" s="2" t="n">
        <v>2</v>
      </c>
      <c r="H112" s="2" t="n">
        <v>2</v>
      </c>
      <c r="I112" s="2" t="n">
        <v>0</v>
      </c>
      <c r="J112" s="2" t="n">
        <v>0</v>
      </c>
      <c r="K112" s="2" t="n">
        <v>0</v>
      </c>
      <c r="L112" s="27" t="n">
        <v>815.4130133825564</v>
      </c>
      <c r="M112" s="27">
        <f>L112*H112</f>
        <v/>
      </c>
      <c r="N112" s="27" t="n">
        <v>326.1652053530226</v>
      </c>
      <c r="O112" s="27" t="n"/>
      <c r="P112" s="3" t="n"/>
    </row>
    <row r="113" ht="15" customHeight="1" s="53">
      <c r="A113" s="2" t="inlineStr">
        <is>
          <t>P0139</t>
        </is>
      </c>
      <c r="B113" s="2" t="inlineStr">
        <is>
          <t>רפאל שועה</t>
        </is>
      </c>
      <c r="C113" s="2" t="inlineStr">
        <is>
          <t>מל"מ</t>
        </is>
      </c>
      <c r="D113" s="2" t="inlineStr">
        <is>
          <t>12/06/2025</t>
        </is>
      </c>
      <c r="E113" s="2" t="inlineStr">
        <is>
          <t>28/06/2025</t>
        </is>
      </c>
      <c r="F113" s="2" t="inlineStr">
        <is>
          <t>06/2025</t>
        </is>
      </c>
      <c r="G113" s="2" t="n">
        <v>17</v>
      </c>
      <c r="H113" s="2" t="n">
        <v>12</v>
      </c>
      <c r="I113" s="2" t="n">
        <v>3</v>
      </c>
      <c r="J113" s="2" t="n">
        <v>2</v>
      </c>
      <c r="K113" s="2" t="n">
        <v>0</v>
      </c>
      <c r="L113" s="27" t="n">
        <v>815.4130133825564</v>
      </c>
      <c r="M113" s="27">
        <f>L113*H113</f>
        <v/>
      </c>
      <c r="N113" s="27" t="n">
        <v>1956.991232118135</v>
      </c>
      <c r="O113" s="27" t="n"/>
      <c r="P113" s="3" t="n"/>
    </row>
    <row r="114" ht="15" customHeight="1" s="53">
      <c r="A114" s="2" t="inlineStr">
        <is>
          <t>P0006</t>
        </is>
      </c>
      <c r="B114" s="2" t="inlineStr">
        <is>
          <t>אייל מלח</t>
        </is>
      </c>
      <c r="C114" s="2" t="inlineStr">
        <is>
          <t>רפאל</t>
        </is>
      </c>
      <c r="D114" s="2" t="inlineStr">
        <is>
          <t>29/07/2025</t>
        </is>
      </c>
      <c r="E114" s="2" t="inlineStr">
        <is>
          <t>31/07/2025</t>
        </is>
      </c>
      <c r="F114" s="2" t="inlineStr">
        <is>
          <t>07/2025</t>
        </is>
      </c>
      <c r="G114" s="2" t="n">
        <v>3</v>
      </c>
      <c r="H114" s="2" t="n">
        <v>3</v>
      </c>
      <c r="I114" s="2" t="n">
        <v>0</v>
      </c>
      <c r="J114" s="2" t="n">
        <v>0</v>
      </c>
      <c r="K114" s="2" t="n">
        <v>0</v>
      </c>
      <c r="L114" s="27" t="n">
        <v>946.0083064143977</v>
      </c>
      <c r="M114" s="27">
        <f>L114*H114</f>
        <v/>
      </c>
      <c r="N114" s="27" t="n">
        <v>567.6049838486387</v>
      </c>
      <c r="O114" s="27" t="n"/>
      <c r="P114" s="3" t="n"/>
    </row>
    <row r="115" ht="15" customHeight="1" s="53">
      <c r="A115" s="2" t="inlineStr">
        <is>
          <t>P0017</t>
        </is>
      </c>
      <c r="B115" s="2" t="inlineStr">
        <is>
          <t>דניאל בנדרימר</t>
        </is>
      </c>
      <c r="C115" s="2" t="inlineStr">
        <is>
          <t>מל"מ</t>
        </is>
      </c>
      <c r="D115" s="2" t="inlineStr">
        <is>
          <t>07/07/2025</t>
        </is>
      </c>
      <c r="E115" s="2" t="inlineStr">
        <is>
          <t>07/07/2025</t>
        </is>
      </c>
      <c r="F115" s="2" t="inlineStr">
        <is>
          <t>07/2025</t>
        </is>
      </c>
      <c r="G115" s="2" t="n">
        <v>1</v>
      </c>
      <c r="H115" s="2" t="n">
        <v>1</v>
      </c>
      <c r="I115" s="2" t="n">
        <v>0</v>
      </c>
      <c r="J115" s="2" t="n">
        <v>0</v>
      </c>
      <c r="K115" s="2" t="n">
        <v>0</v>
      </c>
      <c r="L115" s="27" t="n">
        <v>670.604522381172</v>
      </c>
      <c r="M115" s="27">
        <f>L115*H115</f>
        <v/>
      </c>
      <c r="N115" s="27" t="n">
        <v>134.1209044762344</v>
      </c>
      <c r="O115" s="27" t="n"/>
      <c r="P115" s="3" t="n"/>
    </row>
    <row r="116" ht="15" customHeight="1" s="53">
      <c r="A116" s="2" t="inlineStr">
        <is>
          <t>P0018</t>
        </is>
      </c>
      <c r="B116" s="2" t="inlineStr">
        <is>
          <t>דניאל בנדרימר</t>
        </is>
      </c>
      <c r="C116" s="2" t="inlineStr">
        <is>
          <t>מל"מ</t>
        </is>
      </c>
      <c r="D116" s="2" t="inlineStr">
        <is>
          <t>27/07/2025</t>
        </is>
      </c>
      <c r="E116" s="2" t="inlineStr">
        <is>
          <t>28/07/2025</t>
        </is>
      </c>
      <c r="F116" s="2" t="inlineStr">
        <is>
          <t>07/2025</t>
        </is>
      </c>
      <c r="G116" s="2" t="n">
        <v>2</v>
      </c>
      <c r="H116" s="2" t="n">
        <v>1</v>
      </c>
      <c r="I116" s="2" t="n">
        <v>0</v>
      </c>
      <c r="J116" s="2" t="n">
        <v>1</v>
      </c>
      <c r="K116" s="2" t="n">
        <v>0</v>
      </c>
      <c r="L116" s="27" t="n">
        <v>670.604522381172</v>
      </c>
      <c r="M116" s="27">
        <f>L116*H116</f>
        <v/>
      </c>
      <c r="N116" s="27" t="n">
        <v>134.1209044762344</v>
      </c>
      <c r="O116" s="27" t="n"/>
      <c r="P116" s="3" t="n"/>
    </row>
    <row r="117" ht="15" customHeight="1" s="53">
      <c r="A117" s="2" t="inlineStr">
        <is>
          <t>P0085</t>
        </is>
      </c>
      <c r="B117" s="2" t="inlineStr">
        <is>
          <t>משה בורך</t>
        </is>
      </c>
      <c r="C117" s="2" t="inlineStr">
        <is>
          <t>רפאל</t>
        </is>
      </c>
      <c r="D117" s="2" t="inlineStr">
        <is>
          <t>19/05/2025</t>
        </is>
      </c>
      <c r="E117" s="2" t="inlineStr">
        <is>
          <t>22/05/2025</t>
        </is>
      </c>
      <c r="F117" s="2" t="inlineStr">
        <is>
          <t>05/2025</t>
        </is>
      </c>
      <c r="G117" s="2" t="n">
        <v>4</v>
      </c>
      <c r="H117" s="2" t="n">
        <v>4</v>
      </c>
      <c r="I117" s="2" t="n">
        <v>0</v>
      </c>
      <c r="J117" s="2" t="n">
        <v>0</v>
      </c>
      <c r="K117" s="2" t="n">
        <v>0</v>
      </c>
      <c r="L117" s="27" t="n">
        <v>929.8569450853714</v>
      </c>
      <c r="M117" s="27">
        <f>L117*H117</f>
        <v/>
      </c>
      <c r="N117" s="27" t="n">
        <v>644</v>
      </c>
      <c r="O117" s="27" t="n"/>
      <c r="P117" s="3" t="n">
        <v>2042</v>
      </c>
      <c r="Q117" s="28" t="n">
        <v>45877</v>
      </c>
      <c r="R117" s="37">
        <f>P117-M117</f>
        <v/>
      </c>
      <c r="T117" t="inlineStr">
        <is>
          <t>לא שולם- מועבר לולדה לבדיקה שח 05-07.2025- הפרשים שליליים</t>
        </is>
      </c>
    </row>
    <row r="118" ht="15" customHeight="1" s="53">
      <c r="A118" s="2" t="inlineStr">
        <is>
          <t>P0042</t>
        </is>
      </c>
      <c r="B118" s="2" t="inlineStr">
        <is>
          <t>יענקל מונטבולינסקי</t>
        </is>
      </c>
      <c r="C118" s="2" t="inlineStr">
        <is>
          <t>רפאל</t>
        </is>
      </c>
      <c r="D118" s="2" t="inlineStr">
        <is>
          <t>21/07/2025</t>
        </is>
      </c>
      <c r="E118" s="2" t="inlineStr">
        <is>
          <t>21/07/2025</t>
        </is>
      </c>
      <c r="F118" s="2" t="inlineStr">
        <is>
          <t>07/2025</t>
        </is>
      </c>
      <c r="G118" s="2" t="n">
        <v>1</v>
      </c>
      <c r="H118" s="2" t="n">
        <v>1</v>
      </c>
      <c r="I118" s="2" t="n">
        <v>0</v>
      </c>
      <c r="J118" s="2" t="n">
        <v>0</v>
      </c>
      <c r="K118" s="2" t="n">
        <v>0</v>
      </c>
      <c r="L118" s="27" t="n">
        <v>834.1947392708813</v>
      </c>
      <c r="M118" s="27">
        <f>L118*H118</f>
        <v/>
      </c>
      <c r="N118" s="27" t="n">
        <v>166.8389478541763</v>
      </c>
      <c r="O118" s="27" t="n"/>
      <c r="P118" s="3" t="n"/>
    </row>
    <row r="119" ht="15" customHeight="1" s="53">
      <c r="A119" s="2" t="inlineStr">
        <is>
          <t>P0043</t>
        </is>
      </c>
      <c r="B119" s="2" t="inlineStr">
        <is>
          <t>יענקל מונטבולינסקי</t>
        </is>
      </c>
      <c r="C119" s="2" t="inlineStr">
        <is>
          <t>רפאל</t>
        </is>
      </c>
      <c r="D119" s="2" t="inlineStr">
        <is>
          <t>23/07/2025</t>
        </is>
      </c>
      <c r="E119" s="2" t="inlineStr">
        <is>
          <t>24/07/2025</t>
        </is>
      </c>
      <c r="F119" s="2" t="inlineStr">
        <is>
          <t>07/2025</t>
        </is>
      </c>
      <c r="G119" s="2" t="n">
        <v>2</v>
      </c>
      <c r="H119" s="2" t="n">
        <v>2</v>
      </c>
      <c r="I119" s="2" t="n">
        <v>0</v>
      </c>
      <c r="J119" s="2" t="n">
        <v>0</v>
      </c>
      <c r="K119" s="2" t="n">
        <v>0</v>
      </c>
      <c r="L119" s="27" t="n">
        <v>834.1947392708813</v>
      </c>
      <c r="M119" s="27">
        <f>L119*H119</f>
        <v/>
      </c>
      <c r="N119" s="27" t="n">
        <v>333.6778957083525</v>
      </c>
      <c r="O119" s="27" t="n"/>
      <c r="P119" s="3" t="n"/>
    </row>
    <row r="120" ht="15" customHeight="1" s="53">
      <c r="A120" s="2" t="inlineStr">
        <is>
          <t>P0044</t>
        </is>
      </c>
      <c r="B120" s="2" t="inlineStr">
        <is>
          <t>יענקל מונטבולינסקי</t>
        </is>
      </c>
      <c r="C120" s="2" t="inlineStr">
        <is>
          <t>רפאל</t>
        </is>
      </c>
      <c r="D120" s="2" t="inlineStr">
        <is>
          <t>28/07/2025</t>
        </is>
      </c>
      <c r="E120" s="2" t="inlineStr">
        <is>
          <t>30/07/2025</t>
        </is>
      </c>
      <c r="F120" s="2" t="inlineStr">
        <is>
          <t>07/2025</t>
        </is>
      </c>
      <c r="G120" s="2" t="n">
        <v>3</v>
      </c>
      <c r="H120" s="2" t="n">
        <v>3</v>
      </c>
      <c r="I120" s="2" t="n">
        <v>0</v>
      </c>
      <c r="J120" s="2" t="n">
        <v>0</v>
      </c>
      <c r="K120" s="2" t="n">
        <v>0</v>
      </c>
      <c r="L120" s="27" t="n">
        <v>834.1947392708813</v>
      </c>
      <c r="M120" s="27">
        <f>L120*H120</f>
        <v/>
      </c>
      <c r="N120" s="27" t="n">
        <v>500.5168435625288</v>
      </c>
      <c r="O120" s="27" t="n"/>
      <c r="P120" s="3" t="n"/>
    </row>
    <row r="121" ht="15" customHeight="1" s="53">
      <c r="A121" s="2" t="inlineStr">
        <is>
          <t>P0053</t>
        </is>
      </c>
      <c r="B121" s="2" t="inlineStr">
        <is>
          <t>לאון שמייב</t>
        </is>
      </c>
      <c r="C121" s="2" t="inlineStr">
        <is>
          <t>רוה"מ</t>
        </is>
      </c>
      <c r="D121" s="2" t="inlineStr">
        <is>
          <t>27/07/2025</t>
        </is>
      </c>
      <c r="E121" s="2" t="inlineStr">
        <is>
          <t>29/07/2025</t>
        </is>
      </c>
      <c r="F121" s="2" t="inlineStr">
        <is>
          <t>07/2025</t>
        </is>
      </c>
      <c r="G121" s="2" t="n">
        <v>3</v>
      </c>
      <c r="H121" s="2" t="n">
        <v>2</v>
      </c>
      <c r="I121" s="2" t="n">
        <v>0</v>
      </c>
      <c r="J121" s="2" t="n">
        <v>1</v>
      </c>
      <c r="K121" s="2" t="n">
        <v>0</v>
      </c>
      <c r="L121" s="27" t="n">
        <v>730.2722658052606</v>
      </c>
      <c r="M121" s="27">
        <f>L121*H121</f>
        <v/>
      </c>
      <c r="N121" s="27" t="n">
        <v>292.1089063221042</v>
      </c>
      <c r="O121" s="27" t="n"/>
      <c r="P121" s="3" t="n"/>
    </row>
    <row r="122" ht="15" customHeight="1" s="53">
      <c r="A122" s="2" t="inlineStr">
        <is>
          <t>P0060</t>
        </is>
      </c>
      <c r="B122" s="2" t="inlineStr">
        <is>
          <t>לוי דור</t>
        </is>
      </c>
      <c r="C122" s="2" t="inlineStr">
        <is>
          <t>רפאל</t>
        </is>
      </c>
      <c r="D122" s="2" t="inlineStr">
        <is>
          <t>22/07/2025</t>
        </is>
      </c>
      <c r="E122" s="2" t="inlineStr">
        <is>
          <t>22/07/2025</t>
        </is>
      </c>
      <c r="F122" s="2" t="inlineStr">
        <is>
          <t>07/2025</t>
        </is>
      </c>
      <c r="G122" s="2" t="n">
        <v>1</v>
      </c>
      <c r="H122" s="2" t="n">
        <v>1</v>
      </c>
      <c r="I122" s="2" t="n">
        <v>0</v>
      </c>
      <c r="J122" s="2" t="n">
        <v>0</v>
      </c>
      <c r="K122" s="2" t="n">
        <v>0</v>
      </c>
      <c r="L122" s="27" t="n">
        <v>826.995846792801</v>
      </c>
      <c r="M122" s="27">
        <f>L122*H122</f>
        <v/>
      </c>
      <c r="N122" s="27" t="n">
        <v>165.3991693585602</v>
      </c>
      <c r="O122" s="27" t="n"/>
      <c r="P122" s="3" t="n"/>
    </row>
    <row r="123" ht="15" customHeight="1" s="53">
      <c r="A123" s="2" t="inlineStr">
        <is>
          <t>P0087</t>
        </is>
      </c>
      <c r="B123" s="2" t="inlineStr">
        <is>
          <t>משה בורך</t>
        </is>
      </c>
      <c r="C123" s="2" t="inlineStr">
        <is>
          <t>רפאל</t>
        </is>
      </c>
      <c r="D123" s="2" t="inlineStr">
        <is>
          <t>15/07/2025</t>
        </is>
      </c>
      <c r="E123" s="2" t="inlineStr">
        <is>
          <t>15/07/2025</t>
        </is>
      </c>
      <c r="F123" s="2" t="inlineStr">
        <is>
          <t>07/2025</t>
        </is>
      </c>
      <c r="G123" s="2" t="n">
        <v>1</v>
      </c>
      <c r="H123" s="2" t="n">
        <v>1</v>
      </c>
      <c r="I123" s="2" t="n">
        <v>0</v>
      </c>
      <c r="J123" s="2" t="n">
        <v>0</v>
      </c>
      <c r="K123" s="2" t="n">
        <v>0</v>
      </c>
      <c r="L123" s="27" t="n">
        <v>929.8569450853714</v>
      </c>
      <c r="M123" s="27">
        <f>L123*H123</f>
        <v/>
      </c>
      <c r="N123" s="27" t="n">
        <v>161</v>
      </c>
      <c r="O123" s="27" t="n"/>
      <c r="P123" s="3" t="n">
        <v>511</v>
      </c>
      <c r="Q123" s="28" t="n">
        <v>45877</v>
      </c>
      <c r="R123" s="37">
        <f>P123-M123</f>
        <v/>
      </c>
      <c r="T123" t="inlineStr">
        <is>
          <t>לא שולם- מועבר לולדה לבדיקה שח 05-07.2025- הפרשים שליליים</t>
        </is>
      </c>
    </row>
    <row r="124" ht="15" customHeight="1" s="53">
      <c r="A124" s="2" t="inlineStr">
        <is>
          <t>P0121</t>
        </is>
      </c>
      <c r="B124" s="2" t="inlineStr">
        <is>
          <t>נתן פרדר</t>
        </is>
      </c>
      <c r="C124" s="2" t="inlineStr">
        <is>
          <t>רוה"מ</t>
        </is>
      </c>
      <c r="D124" s="2" t="inlineStr">
        <is>
          <t>15/07/2025</t>
        </is>
      </c>
      <c r="E124" s="2" t="inlineStr">
        <is>
          <t>16/07/2025</t>
        </is>
      </c>
      <c r="F124" s="2" t="inlineStr">
        <is>
          <t>07/2025</t>
        </is>
      </c>
      <c r="G124" s="2" t="n">
        <v>2</v>
      </c>
      <c r="H124" s="2" t="n">
        <v>2</v>
      </c>
      <c r="I124" s="2" t="n">
        <v>0</v>
      </c>
      <c r="J124" s="2" t="n">
        <v>0</v>
      </c>
      <c r="K124" s="2" t="n">
        <v>0</v>
      </c>
      <c r="L124" s="27" t="n">
        <v>914.8592524227041</v>
      </c>
      <c r="M124" s="27">
        <f>L124*H124</f>
        <v/>
      </c>
      <c r="N124" s="27" t="n"/>
      <c r="O124" s="27" t="n"/>
      <c r="P124" s="3" t="n"/>
    </row>
    <row r="125" ht="15" customHeight="1" s="53">
      <c r="A125" s="2" t="inlineStr">
        <is>
          <t>P0122</t>
        </is>
      </c>
      <c r="B125" s="2" t="inlineStr">
        <is>
          <t>נתן פרדר</t>
        </is>
      </c>
      <c r="C125" s="2" t="inlineStr">
        <is>
          <t>רוה"מ</t>
        </is>
      </c>
      <c r="D125" s="2" t="inlineStr">
        <is>
          <t>23/07/2025</t>
        </is>
      </c>
      <c r="E125" s="2" t="inlineStr">
        <is>
          <t>24/07/2025</t>
        </is>
      </c>
      <c r="F125" s="2" t="inlineStr">
        <is>
          <t>07/2025</t>
        </is>
      </c>
      <c r="G125" s="2" t="n">
        <v>2</v>
      </c>
      <c r="H125" s="2" t="n">
        <v>2</v>
      </c>
      <c r="I125" s="2" t="n">
        <v>0</v>
      </c>
      <c r="J125" s="2" t="n">
        <v>0</v>
      </c>
      <c r="K125" s="2" t="n">
        <v>0</v>
      </c>
      <c r="L125" s="27" t="n">
        <v>914.8592524227041</v>
      </c>
      <c r="M125" s="27">
        <f>L125*H125</f>
        <v/>
      </c>
      <c r="N125" s="27" t="n"/>
      <c r="O125" s="27" t="n"/>
      <c r="P125" s="3" t="n"/>
    </row>
    <row r="126" ht="15" customHeight="1" s="53">
      <c r="A126" s="2" t="inlineStr">
        <is>
          <t>P0123</t>
        </is>
      </c>
      <c r="B126" s="2" t="inlineStr">
        <is>
          <t>נתן פרדר</t>
        </is>
      </c>
      <c r="C126" s="2" t="inlineStr">
        <is>
          <t>רוה"מ</t>
        </is>
      </c>
      <c r="D126" s="2" t="inlineStr">
        <is>
          <t>28/07/2025</t>
        </is>
      </c>
      <c r="E126" s="2" t="inlineStr">
        <is>
          <t>28/07/2025</t>
        </is>
      </c>
      <c r="F126" s="2" t="inlineStr">
        <is>
          <t>07/2025</t>
        </is>
      </c>
      <c r="G126" s="2" t="n">
        <v>1</v>
      </c>
      <c r="H126" s="2" t="n">
        <v>1</v>
      </c>
      <c r="I126" s="2" t="n">
        <v>0</v>
      </c>
      <c r="J126" s="2" t="n">
        <v>0</v>
      </c>
      <c r="K126" s="2" t="n">
        <v>0</v>
      </c>
      <c r="L126" s="27" t="n">
        <v>914.8592524227041</v>
      </c>
      <c r="M126" s="27">
        <f>L126*H126</f>
        <v/>
      </c>
      <c r="N126" s="27" t="n"/>
      <c r="O126" s="27" t="n"/>
      <c r="P126" s="3" t="n"/>
    </row>
    <row r="127" ht="15" customHeight="1" s="53">
      <c r="A127" s="2" t="inlineStr">
        <is>
          <t>P0013</t>
        </is>
      </c>
      <c r="B127" s="2" t="inlineStr">
        <is>
          <t>אריאל אליה</t>
        </is>
      </c>
      <c r="C127" s="2" t="inlineStr">
        <is>
          <t>מל"מ</t>
        </is>
      </c>
      <c r="D127" s="2" t="inlineStr">
        <is>
          <t>17/08/2025</t>
        </is>
      </c>
      <c r="E127" s="2" t="inlineStr">
        <is>
          <t>21/08/2025</t>
        </is>
      </c>
      <c r="F127" s="2" t="inlineStr">
        <is>
          <t>08/2025</t>
        </is>
      </c>
      <c r="G127" s="2" t="n">
        <v>5</v>
      </c>
      <c r="H127" s="2" t="n">
        <v>4</v>
      </c>
      <c r="I127" s="2" t="n">
        <v>0</v>
      </c>
      <c r="J127" s="2" t="n">
        <v>1</v>
      </c>
      <c r="K127" s="2" t="n">
        <v>0</v>
      </c>
      <c r="L127" s="27" t="n">
        <v>868.8509460083063</v>
      </c>
      <c r="M127" s="27">
        <f>L127*H127</f>
        <v/>
      </c>
      <c r="N127" s="27" t="n">
        <v>695.0807568066451</v>
      </c>
      <c r="O127" s="27" t="n"/>
      <c r="P127" s="3" t="n"/>
    </row>
    <row r="128" ht="15" customHeight="1" s="53">
      <c r="A128" s="2" t="inlineStr">
        <is>
          <t>P0019</t>
        </is>
      </c>
      <c r="B128" s="2" t="inlineStr">
        <is>
          <t>דניאל בנדרימר</t>
        </is>
      </c>
      <c r="C128" s="2" t="inlineStr">
        <is>
          <t>מל"מ</t>
        </is>
      </c>
      <c r="D128" s="2" t="inlineStr">
        <is>
          <t>06/08/2025</t>
        </is>
      </c>
      <c r="E128" s="2" t="inlineStr">
        <is>
          <t>07/08/2025</t>
        </is>
      </c>
      <c r="F128" s="2" t="inlineStr">
        <is>
          <t>08/2025</t>
        </is>
      </c>
      <c r="G128" s="2" t="n">
        <v>2</v>
      </c>
      <c r="H128" s="2" t="n">
        <v>2</v>
      </c>
      <c r="I128" s="2" t="n">
        <v>0</v>
      </c>
      <c r="J128" s="2" t="n">
        <v>0</v>
      </c>
      <c r="K128" s="2" t="n">
        <v>0</v>
      </c>
      <c r="L128" s="27" t="n">
        <v>670.604522381172</v>
      </c>
      <c r="M128" s="27">
        <f>L128*H128</f>
        <v/>
      </c>
      <c r="N128" s="27" t="n">
        <v>268.2418089524688</v>
      </c>
      <c r="O128" s="27" t="n"/>
      <c r="P128" s="3" t="n"/>
    </row>
    <row r="129" ht="15" customHeight="1" s="53">
      <c r="A129" s="2" t="inlineStr">
        <is>
          <t>P0045</t>
        </is>
      </c>
      <c r="B129" s="2" t="inlineStr">
        <is>
          <t>יענקל מונטבולינסקי</t>
        </is>
      </c>
      <c r="C129" s="2" t="inlineStr">
        <is>
          <t>רפאל</t>
        </is>
      </c>
      <c r="D129" s="2" t="inlineStr">
        <is>
          <t>04/08/2025</t>
        </is>
      </c>
      <c r="E129" s="2" t="inlineStr">
        <is>
          <t>04/08/2025</t>
        </is>
      </c>
      <c r="F129" s="2" t="inlineStr">
        <is>
          <t>08/2025</t>
        </is>
      </c>
      <c r="G129" s="2" t="n">
        <v>1</v>
      </c>
      <c r="H129" s="2" t="n">
        <v>1</v>
      </c>
      <c r="I129" s="2" t="n">
        <v>0</v>
      </c>
      <c r="J129" s="2" t="n">
        <v>0</v>
      </c>
      <c r="K129" s="2" t="n">
        <v>0</v>
      </c>
      <c r="L129" s="27" t="n">
        <v>834.1947392708813</v>
      </c>
      <c r="M129" s="27">
        <f>L129*H129</f>
        <v/>
      </c>
      <c r="N129" s="27" t="n">
        <v>166.8389478541763</v>
      </c>
      <c r="O129" s="27" t="n"/>
      <c r="P129" s="3" t="n"/>
    </row>
    <row r="130" ht="15" customHeight="1" s="53">
      <c r="A130" s="2" t="inlineStr">
        <is>
          <t>P0046</t>
        </is>
      </c>
      <c r="B130" s="2" t="inlineStr">
        <is>
          <t>יענקל מונטבולינסקי</t>
        </is>
      </c>
      <c r="C130" s="2" t="inlineStr">
        <is>
          <t>רפאל</t>
        </is>
      </c>
      <c r="D130" s="2" t="inlineStr">
        <is>
          <t>07/08/2025</t>
        </is>
      </c>
      <c r="E130" s="2" t="inlineStr">
        <is>
          <t>07/08/2025</t>
        </is>
      </c>
      <c r="F130" s="2" t="inlineStr">
        <is>
          <t>08/2025</t>
        </is>
      </c>
      <c r="G130" s="2" t="n">
        <v>1</v>
      </c>
      <c r="H130" s="2" t="n">
        <v>1</v>
      </c>
      <c r="I130" s="2" t="n">
        <v>0</v>
      </c>
      <c r="J130" s="2" t="n">
        <v>0</v>
      </c>
      <c r="K130" s="2" t="n">
        <v>0</v>
      </c>
      <c r="L130" s="27" t="n">
        <v>834.1947392708813</v>
      </c>
      <c r="M130" s="27">
        <f>L130*H130</f>
        <v/>
      </c>
      <c r="N130" s="27" t="n">
        <v>166.8389478541763</v>
      </c>
      <c r="O130" s="27" t="n"/>
      <c r="P130" s="3" t="n"/>
    </row>
    <row r="131" ht="15" customHeight="1" s="53">
      <c r="A131" s="2" t="inlineStr">
        <is>
          <t>P0047</t>
        </is>
      </c>
      <c r="B131" s="2" t="inlineStr">
        <is>
          <t>יענקל מונטבולינסקי</t>
        </is>
      </c>
      <c r="C131" s="2" t="inlineStr">
        <is>
          <t>רפאל</t>
        </is>
      </c>
      <c r="D131" s="2" t="inlineStr">
        <is>
          <t>12/08/2025</t>
        </is>
      </c>
      <c r="E131" s="2" t="inlineStr">
        <is>
          <t>12/08/2025</t>
        </is>
      </c>
      <c r="F131" s="2" t="inlineStr">
        <is>
          <t>08/2025</t>
        </is>
      </c>
      <c r="G131" s="2" t="n">
        <v>1</v>
      </c>
      <c r="H131" s="2" t="n">
        <v>1</v>
      </c>
      <c r="I131" s="2" t="n">
        <v>0</v>
      </c>
      <c r="J131" s="2" t="n">
        <v>0</v>
      </c>
      <c r="K131" s="2" t="n">
        <v>0</v>
      </c>
      <c r="L131" s="27" t="n">
        <v>834.1947392708813</v>
      </c>
      <c r="M131" s="27">
        <f>L131*H131</f>
        <v/>
      </c>
      <c r="N131" s="27" t="n">
        <v>166.8389478541763</v>
      </c>
      <c r="O131" s="27" t="n"/>
      <c r="P131" s="3" t="n"/>
    </row>
    <row r="132" ht="15" customHeight="1" s="53">
      <c r="A132" s="2" t="inlineStr">
        <is>
          <t>P0054</t>
        </is>
      </c>
      <c r="B132" s="2" t="inlineStr">
        <is>
          <t>לאון שמייב</t>
        </is>
      </c>
      <c r="C132" s="2" t="inlineStr">
        <is>
          <t>רוה"מ</t>
        </is>
      </c>
      <c r="D132" s="2" t="inlineStr">
        <is>
          <t>17/08/2025</t>
        </is>
      </c>
      <c r="E132" s="2" t="inlineStr">
        <is>
          <t>20/08/2025</t>
        </is>
      </c>
      <c r="F132" s="2" t="inlineStr">
        <is>
          <t>08/2025</t>
        </is>
      </c>
      <c r="G132" s="2" t="n">
        <v>4</v>
      </c>
      <c r="H132" s="2" t="n">
        <v>3</v>
      </c>
      <c r="I132" s="2" t="n">
        <v>0</v>
      </c>
      <c r="J132" s="2" t="n">
        <v>1</v>
      </c>
      <c r="K132" s="2" t="n">
        <v>0</v>
      </c>
      <c r="L132" s="27" t="n">
        <v>730.2722658052606</v>
      </c>
      <c r="M132" s="27">
        <f>L132*H132</f>
        <v/>
      </c>
      <c r="N132" s="27" t="n">
        <v>438.1633594831564</v>
      </c>
      <c r="O132" s="27" t="n"/>
      <c r="P132" s="3" t="n"/>
    </row>
    <row r="133" ht="15" customHeight="1" s="53">
      <c r="A133" s="2" t="inlineStr">
        <is>
          <t>P0061</t>
        </is>
      </c>
      <c r="B133" s="2" t="inlineStr">
        <is>
          <t>לוי דור</t>
        </is>
      </c>
      <c r="C133" s="2" t="inlineStr">
        <is>
          <t>רפאל</t>
        </is>
      </c>
      <c r="D133" s="2" t="inlineStr">
        <is>
          <t>05/08/2025</t>
        </is>
      </c>
      <c r="E133" s="2" t="inlineStr">
        <is>
          <t>07/08/2025</t>
        </is>
      </c>
      <c r="F133" s="2" t="inlineStr">
        <is>
          <t>08/2025</t>
        </is>
      </c>
      <c r="G133" s="2" t="n">
        <v>3</v>
      </c>
      <c r="H133" s="2" t="n">
        <v>3</v>
      </c>
      <c r="I133" s="2" t="n">
        <v>0</v>
      </c>
      <c r="J133" s="2" t="n">
        <v>0</v>
      </c>
      <c r="K133" s="2" t="n">
        <v>0</v>
      </c>
      <c r="L133" s="27" t="n">
        <v>826.995846792801</v>
      </c>
      <c r="M133" s="27">
        <f>L133*H133</f>
        <v/>
      </c>
      <c r="N133" s="27" t="n">
        <v>496.1975080756806</v>
      </c>
      <c r="O133" s="27" t="n"/>
      <c r="P133" s="3" t="n"/>
    </row>
    <row r="134" ht="15" customHeight="1" s="53">
      <c r="A134" s="2" t="inlineStr">
        <is>
          <t>P0062</t>
        </is>
      </c>
      <c r="B134" s="2" t="inlineStr">
        <is>
          <t>לוי דור</t>
        </is>
      </c>
      <c r="C134" s="2" t="inlineStr">
        <is>
          <t>רפאל</t>
        </is>
      </c>
      <c r="D134" s="2" t="inlineStr">
        <is>
          <t>19/08/2025</t>
        </is>
      </c>
      <c r="E134" s="2" t="inlineStr">
        <is>
          <t>21/08/2025</t>
        </is>
      </c>
      <c r="F134" s="2" t="inlineStr">
        <is>
          <t>08/2025</t>
        </is>
      </c>
      <c r="G134" s="2" t="n">
        <v>3</v>
      </c>
      <c r="H134" s="2" t="n">
        <v>3</v>
      </c>
      <c r="I134" s="2" t="n">
        <v>0</v>
      </c>
      <c r="J134" s="2" t="n">
        <v>0</v>
      </c>
      <c r="K134" s="2" t="n">
        <v>0</v>
      </c>
      <c r="L134" s="27" t="n">
        <v>826.995846792801</v>
      </c>
      <c r="M134" s="27">
        <f>L134*H134</f>
        <v/>
      </c>
      <c r="N134" s="27" t="n">
        <v>496.1975080756806</v>
      </c>
      <c r="O134" s="27" t="n"/>
      <c r="P134" s="3" t="n"/>
    </row>
    <row r="135" ht="15" customHeight="1" s="53">
      <c r="A135" s="2" t="inlineStr">
        <is>
          <t>P0088</t>
        </is>
      </c>
      <c r="B135" s="2" t="inlineStr">
        <is>
          <t>משה בורך</t>
        </is>
      </c>
      <c r="C135" s="2" t="inlineStr">
        <is>
          <t>רפאל</t>
        </is>
      </c>
      <c r="D135" s="2" t="inlineStr">
        <is>
          <t>04/08/2025</t>
        </is>
      </c>
      <c r="E135" s="2" t="inlineStr">
        <is>
          <t>04/08/2025</t>
        </is>
      </c>
      <c r="F135" s="2" t="inlineStr">
        <is>
          <t>08/2025</t>
        </is>
      </c>
      <c r="G135" s="2" t="n">
        <v>1</v>
      </c>
      <c r="H135" s="2" t="n">
        <v>1</v>
      </c>
      <c r="I135" s="2" t="n">
        <v>0</v>
      </c>
      <c r="J135" s="2" t="n">
        <v>0</v>
      </c>
      <c r="K135" s="2" t="n">
        <v>0</v>
      </c>
      <c r="L135" s="27" t="n">
        <v>929.8569450853714</v>
      </c>
      <c r="M135" s="27">
        <f>L135*H135</f>
        <v/>
      </c>
      <c r="N135" s="27" t="n"/>
      <c r="O135" s="27" t="n"/>
      <c r="P135" s="3" t="n"/>
    </row>
    <row r="136" ht="15" customHeight="1" s="53">
      <c r="A136" s="2" t="inlineStr">
        <is>
          <t>P0089</t>
        </is>
      </c>
      <c r="B136" s="2" t="inlineStr">
        <is>
          <t>משה בורך</t>
        </is>
      </c>
      <c r="C136" s="2" t="inlineStr">
        <is>
          <t>רפאל</t>
        </is>
      </c>
      <c r="D136" s="2" t="inlineStr">
        <is>
          <t>13/08/2025</t>
        </is>
      </c>
      <c r="E136" s="2" t="inlineStr">
        <is>
          <t>13/08/2025</t>
        </is>
      </c>
      <c r="F136" s="2" t="inlineStr">
        <is>
          <t>08/2025</t>
        </is>
      </c>
      <c r="G136" s="2" t="n">
        <v>1</v>
      </c>
      <c r="H136" s="2" t="n">
        <v>1</v>
      </c>
      <c r="I136" s="2" t="n">
        <v>0</v>
      </c>
      <c r="J136" s="2" t="n">
        <v>0</v>
      </c>
      <c r="K136" s="2" t="n">
        <v>0</v>
      </c>
      <c r="L136" s="27" t="n">
        <v>929.8569450853714</v>
      </c>
      <c r="M136" s="27">
        <f>L136*H136</f>
        <v/>
      </c>
      <c r="N136" s="27" t="n"/>
      <c r="O136" s="27" t="n"/>
      <c r="P136" s="3" t="n"/>
    </row>
    <row r="137" ht="15" customHeight="1" s="53">
      <c r="A137" s="2" t="inlineStr">
        <is>
          <t>P0090</t>
        </is>
      </c>
      <c r="B137" s="2" t="inlineStr">
        <is>
          <t>משה בורך</t>
        </is>
      </c>
      <c r="C137" s="2" t="inlineStr">
        <is>
          <t>רפאל</t>
        </is>
      </c>
      <c r="D137" s="2" t="inlineStr">
        <is>
          <t>17/08/2025</t>
        </is>
      </c>
      <c r="E137" s="2" t="inlineStr">
        <is>
          <t>19/08/2025</t>
        </is>
      </c>
      <c r="F137" s="2" t="inlineStr">
        <is>
          <t>08/2025</t>
        </is>
      </c>
      <c r="G137" s="2" t="n">
        <v>3</v>
      </c>
      <c r="H137" s="2" t="n">
        <v>2</v>
      </c>
      <c r="I137" s="2" t="n">
        <v>0</v>
      </c>
      <c r="J137" s="2" t="n">
        <v>1</v>
      </c>
      <c r="K137" s="2" t="n">
        <v>0</v>
      </c>
      <c r="L137" s="27" t="n">
        <v>929.8569450853714</v>
      </c>
      <c r="M137" s="27">
        <f>L137*H137</f>
        <v/>
      </c>
      <c r="N137" s="27" t="n"/>
      <c r="O137" s="27" t="n"/>
      <c r="P137" s="3" t="n"/>
    </row>
    <row r="138" ht="15" customHeight="1" s="53">
      <c r="A138" s="2" t="inlineStr">
        <is>
          <t>P0124</t>
        </is>
      </c>
      <c r="B138" s="2" t="inlineStr">
        <is>
          <t>נתן פרדר</t>
        </is>
      </c>
      <c r="C138" s="2" t="inlineStr">
        <is>
          <t>רוה"מ</t>
        </is>
      </c>
      <c r="D138" s="2" t="inlineStr">
        <is>
          <t>05/08/2025</t>
        </is>
      </c>
      <c r="E138" s="2" t="inlineStr">
        <is>
          <t>05/08/2025</t>
        </is>
      </c>
      <c r="F138" s="2" t="inlineStr">
        <is>
          <t>08/2025</t>
        </is>
      </c>
      <c r="G138" s="2" t="n">
        <v>1</v>
      </c>
      <c r="H138" s="2" t="n">
        <v>1</v>
      </c>
      <c r="I138" s="2" t="n">
        <v>0</v>
      </c>
      <c r="J138" s="2" t="n">
        <v>0</v>
      </c>
      <c r="K138" s="2" t="n">
        <v>0</v>
      </c>
      <c r="L138" s="27" t="n">
        <v>914.8592524227041</v>
      </c>
      <c r="M138" s="27">
        <f>L138*H138</f>
        <v/>
      </c>
      <c r="N138" s="27" t="n"/>
      <c r="O138" s="27" t="n"/>
      <c r="P138" s="3" t="n"/>
    </row>
    <row r="139" ht="15" customHeight="1" s="53">
      <c r="A139" s="2" t="inlineStr">
        <is>
          <t>P0125</t>
        </is>
      </c>
      <c r="B139" s="2" t="inlineStr">
        <is>
          <t>נתן פרדר</t>
        </is>
      </c>
      <c r="C139" s="2" t="inlineStr">
        <is>
          <t>רוה"מ</t>
        </is>
      </c>
      <c r="D139" s="2" t="inlineStr">
        <is>
          <t>18/08/2025</t>
        </is>
      </c>
      <c r="E139" s="2" t="inlineStr">
        <is>
          <t>18/08/2025</t>
        </is>
      </c>
      <c r="F139" s="2" t="inlineStr">
        <is>
          <t>08/2025</t>
        </is>
      </c>
      <c r="G139" s="2" t="n">
        <v>1</v>
      </c>
      <c r="H139" s="2" t="n">
        <v>1</v>
      </c>
      <c r="I139" s="2" t="n">
        <v>0</v>
      </c>
      <c r="J139" s="2" t="n">
        <v>0</v>
      </c>
      <c r="K139" s="2" t="n">
        <v>0</v>
      </c>
      <c r="L139" s="27" t="n">
        <v>914.8592524227041</v>
      </c>
      <c r="M139" s="27">
        <f>L139*H139</f>
        <v/>
      </c>
      <c r="N139" s="27" t="n"/>
      <c r="O139" s="27" t="n"/>
      <c r="P139" s="3" t="n"/>
    </row>
    <row r="140" ht="15" customHeight="1" s="53">
      <c r="A140" s="2" t="inlineStr">
        <is>
          <t>P0133</t>
        </is>
      </c>
      <c r="B140" s="2" t="inlineStr">
        <is>
          <t>צחי חנגל</t>
        </is>
      </c>
      <c r="C140" s="2" t="inlineStr">
        <is>
          <t>רפאל</t>
        </is>
      </c>
      <c r="D140" s="2" t="inlineStr">
        <is>
          <t>06/08/2025</t>
        </is>
      </c>
      <c r="E140" s="2" t="inlineStr">
        <is>
          <t>07/08/2025</t>
        </is>
      </c>
      <c r="F140" s="2" t="inlineStr">
        <is>
          <t>08/2025</t>
        </is>
      </c>
      <c r="G140" s="2" t="n">
        <v>2</v>
      </c>
      <c r="H140" s="2" t="n">
        <v>2</v>
      </c>
      <c r="I140" s="2" t="n">
        <v>0</v>
      </c>
      <c r="J140" s="2" t="n">
        <v>0</v>
      </c>
      <c r="K140" s="2" t="n">
        <v>0</v>
      </c>
      <c r="L140" s="27" t="n">
        <v>812.2288878634056</v>
      </c>
      <c r="M140" s="27">
        <f>L140*H140</f>
        <v/>
      </c>
      <c r="N140" s="27" t="n">
        <v>324.8915551453622</v>
      </c>
      <c r="O140" s="27" t="n"/>
      <c r="P140" s="3" t="n"/>
    </row>
    <row r="141" ht="15" customHeight="1" s="53">
      <c r="A141" s="2" t="inlineStr">
        <is>
          <t>P0134</t>
        </is>
      </c>
      <c r="B141" s="2" t="inlineStr">
        <is>
          <t>צחי חנגל</t>
        </is>
      </c>
      <c r="C141" s="2" t="inlineStr">
        <is>
          <t>רפאל</t>
        </is>
      </c>
      <c r="D141" s="2" t="inlineStr">
        <is>
          <t>11/08/2025</t>
        </is>
      </c>
      <c r="E141" s="2" t="inlineStr">
        <is>
          <t>12/08/2025</t>
        </is>
      </c>
      <c r="F141" s="2" t="inlineStr">
        <is>
          <t>08/2025</t>
        </is>
      </c>
      <c r="G141" s="2" t="n">
        <v>2</v>
      </c>
      <c r="H141" s="2" t="n">
        <v>2</v>
      </c>
      <c r="I141" s="2" t="n">
        <v>0</v>
      </c>
      <c r="J141" s="2" t="n">
        <v>0</v>
      </c>
      <c r="K141" s="2" t="n">
        <v>0</v>
      </c>
      <c r="L141" s="27" t="n">
        <v>812.2288878634056</v>
      </c>
      <c r="M141" s="27">
        <f>L141*H141</f>
        <v/>
      </c>
      <c r="N141" s="27" t="n">
        <v>324.8915551453622</v>
      </c>
      <c r="O141" s="27" t="n"/>
      <c r="P141" s="3" t="n"/>
    </row>
    <row r="142" ht="15" customHeight="1" s="53">
      <c r="A142" s="2" t="inlineStr">
        <is>
          <t>P0002</t>
        </is>
      </c>
      <c r="B142" s="2" t="inlineStr">
        <is>
          <t>אורי אשתר</t>
        </is>
      </c>
      <c r="C142" s="2" t="inlineStr">
        <is>
          <t>מל"מ</t>
        </is>
      </c>
      <c r="D142" s="2" t="inlineStr">
        <is>
          <t>01/09/2025</t>
        </is>
      </c>
      <c r="E142" s="2" t="inlineStr">
        <is>
          <t>17/09/2025</t>
        </is>
      </c>
      <c r="F142" s="2" t="inlineStr">
        <is>
          <t>09/2025</t>
        </is>
      </c>
      <c r="G142" s="2" t="n">
        <v>17</v>
      </c>
      <c r="H142" s="2" t="n">
        <v>13</v>
      </c>
      <c r="I142" s="2" t="n">
        <v>2</v>
      </c>
      <c r="J142" s="2" t="n">
        <v>2</v>
      </c>
      <c r="K142" s="2" t="n">
        <v>0</v>
      </c>
      <c r="L142" s="27" t="n">
        <v>1108.721735117674</v>
      </c>
      <c r="M142" s="27">
        <f>L142*H142</f>
        <v/>
      </c>
      <c r="N142" s="27" t="n">
        <v>2882.676511305952</v>
      </c>
      <c r="O142" s="27" t="n"/>
      <c r="P142" s="3" t="n"/>
    </row>
    <row r="143" ht="15" customHeight="1" s="53">
      <c r="A143" s="2" t="inlineStr">
        <is>
          <t>P0007</t>
        </is>
      </c>
      <c r="B143" s="2" t="inlineStr">
        <is>
          <t>אייל מלח</t>
        </is>
      </c>
      <c r="C143" s="2" t="inlineStr">
        <is>
          <t>רפאל</t>
        </is>
      </c>
      <c r="D143" s="2" t="inlineStr">
        <is>
          <t>11/09/2025</t>
        </is>
      </c>
      <c r="E143" s="2" t="inlineStr">
        <is>
          <t>14/09/2025</t>
        </is>
      </c>
      <c r="F143" s="2" t="inlineStr">
        <is>
          <t>09/2025</t>
        </is>
      </c>
      <c r="G143" s="2" t="n">
        <v>4</v>
      </c>
      <c r="H143" s="2" t="n">
        <v>2</v>
      </c>
      <c r="I143" s="2" t="n">
        <v>1</v>
      </c>
      <c r="J143" s="2" t="n">
        <v>1</v>
      </c>
      <c r="K143" s="2" t="n">
        <v>0</v>
      </c>
      <c r="L143" s="27" t="n">
        <v>946.0083064143977</v>
      </c>
      <c r="M143" s="27">
        <f>L143*H143</f>
        <v/>
      </c>
      <c r="N143" s="27" t="n">
        <v>378.4033225657591</v>
      </c>
      <c r="O143" s="27" t="n"/>
      <c r="P143" s="3" t="n"/>
    </row>
    <row r="144" ht="15" customHeight="1" s="53">
      <c r="A144" s="2" t="inlineStr">
        <is>
          <t>P0020</t>
        </is>
      </c>
      <c r="B144" s="2" t="inlineStr">
        <is>
          <t>דניאל בנדרימר</t>
        </is>
      </c>
      <c r="C144" s="2" t="inlineStr">
        <is>
          <t>מל"מ</t>
        </is>
      </c>
      <c r="D144" s="2" t="inlineStr">
        <is>
          <t>09/09/2025</t>
        </is>
      </c>
      <c r="E144" s="2" t="inlineStr">
        <is>
          <t>11/09/2025</t>
        </is>
      </c>
      <c r="F144" s="2" t="inlineStr">
        <is>
          <t>09/2025</t>
        </is>
      </c>
      <c r="G144" s="2" t="n">
        <v>3</v>
      </c>
      <c r="H144" s="2" t="n">
        <v>3</v>
      </c>
      <c r="I144" s="2" t="n">
        <v>0</v>
      </c>
      <c r="J144" s="2" t="n">
        <v>0</v>
      </c>
      <c r="K144" s="2" t="n">
        <v>0</v>
      </c>
      <c r="L144" s="27" t="n">
        <v>670.604522381172</v>
      </c>
      <c r="M144" s="27">
        <f>L144*H144</f>
        <v/>
      </c>
      <c r="N144" s="27" t="n">
        <v>402.3627134287033</v>
      </c>
      <c r="O144" s="27" t="n"/>
      <c r="P144" s="3" t="n"/>
    </row>
    <row r="145" ht="15" customHeight="1" s="53">
      <c r="A145" s="2" t="inlineStr">
        <is>
          <t>P0021</t>
        </is>
      </c>
      <c r="B145" s="2" t="inlineStr">
        <is>
          <t>דניאל בנדרימר</t>
        </is>
      </c>
      <c r="C145" s="2" t="inlineStr">
        <is>
          <t>מל"מ</t>
        </is>
      </c>
      <c r="D145" s="2" t="inlineStr">
        <is>
          <t>30/09/2025</t>
        </is>
      </c>
      <c r="E145" s="2" t="inlineStr">
        <is>
          <t>30/09/2025</t>
        </is>
      </c>
      <c r="F145" s="2" t="inlineStr">
        <is>
          <t>09/2025</t>
        </is>
      </c>
      <c r="G145" s="2" t="n">
        <v>1</v>
      </c>
      <c r="H145" s="2" t="n">
        <v>1</v>
      </c>
      <c r="I145" s="2" t="n">
        <v>0</v>
      </c>
      <c r="J145" s="2" t="n">
        <v>0</v>
      </c>
      <c r="K145" s="2" t="n">
        <v>0</v>
      </c>
      <c r="L145" s="27" t="n">
        <v>670.604522381172</v>
      </c>
      <c r="M145" s="27">
        <f>L145*H145</f>
        <v/>
      </c>
      <c r="N145" s="27" t="n">
        <v>134.1209044762344</v>
      </c>
      <c r="O145" s="27" t="n"/>
      <c r="P145" s="3" t="n"/>
    </row>
    <row r="146" ht="15" customHeight="1" s="53">
      <c r="A146" s="2" t="inlineStr">
        <is>
          <t>P0040</t>
        </is>
      </c>
      <c r="B146" s="2" t="inlineStr">
        <is>
          <t>יורם שלמה</t>
        </is>
      </c>
      <c r="C146" s="2" t="inlineStr">
        <is>
          <t>רוה"מ</t>
        </is>
      </c>
      <c r="D146" s="2" t="inlineStr">
        <is>
          <t>28/07/2025</t>
        </is>
      </c>
      <c r="E146" s="2" t="inlineStr">
        <is>
          <t>31/07/2025</t>
        </is>
      </c>
      <c r="F146" s="2" t="inlineStr">
        <is>
          <t>07/2025</t>
        </is>
      </c>
      <c r="G146" s="2" t="n">
        <v>4</v>
      </c>
      <c r="H146" s="2" t="n">
        <v>4</v>
      </c>
      <c r="I146" s="2" t="n">
        <v>0</v>
      </c>
      <c r="J146" s="2" t="n">
        <v>0</v>
      </c>
      <c r="K146" s="2" t="n">
        <v>0</v>
      </c>
      <c r="L146" s="27" t="n">
        <v>1096.169820027688</v>
      </c>
      <c r="M146" s="27">
        <f>L146*H146</f>
        <v/>
      </c>
      <c r="N146" s="27" t="n"/>
      <c r="O146" s="27" t="n"/>
      <c r="P146" s="3" t="n"/>
    </row>
    <row r="147" ht="15" customHeight="1" s="53">
      <c r="A147" s="2" t="inlineStr">
        <is>
          <t>P0048</t>
        </is>
      </c>
      <c r="B147" s="2" t="inlineStr">
        <is>
          <t>יענקל מונטבולינסקי</t>
        </is>
      </c>
      <c r="C147" s="2" t="inlineStr">
        <is>
          <t>רפאל</t>
        </is>
      </c>
      <c r="D147" s="2" t="inlineStr">
        <is>
          <t>15/09/2025</t>
        </is>
      </c>
      <c r="E147" s="2" t="inlineStr">
        <is>
          <t>16/09/2025</t>
        </is>
      </c>
      <c r="F147" s="2" t="inlineStr">
        <is>
          <t>09/2025</t>
        </is>
      </c>
      <c r="G147" s="2" t="n">
        <v>2</v>
      </c>
      <c r="H147" s="2" t="n">
        <v>2</v>
      </c>
      <c r="I147" s="2" t="n">
        <v>0</v>
      </c>
      <c r="J147" s="2" t="n">
        <v>0</v>
      </c>
      <c r="K147" s="2" t="n">
        <v>0</v>
      </c>
      <c r="L147" s="27" t="n">
        <v>834.1947392708813</v>
      </c>
      <c r="M147" s="27">
        <f>L147*H147</f>
        <v/>
      </c>
      <c r="N147" s="27" t="n">
        <v>333.6778957083525</v>
      </c>
      <c r="O147" s="27" t="n"/>
      <c r="P147" s="3" t="n"/>
    </row>
    <row r="148" ht="15" customHeight="1" s="53">
      <c r="A148" s="2" t="inlineStr">
        <is>
          <t>P0049</t>
        </is>
      </c>
      <c r="B148" s="2" t="inlineStr">
        <is>
          <t>יענקל מונטבולינסקי</t>
        </is>
      </c>
      <c r="C148" s="2" t="inlineStr">
        <is>
          <t>רפאל</t>
        </is>
      </c>
      <c r="D148" s="2" t="inlineStr">
        <is>
          <t>21/09/2025</t>
        </is>
      </c>
      <c r="E148" s="2" t="inlineStr">
        <is>
          <t>21/09/2025</t>
        </is>
      </c>
      <c r="F148" s="2" t="inlineStr">
        <is>
          <t>09/2025</t>
        </is>
      </c>
      <c r="G148" s="2" t="n">
        <v>1</v>
      </c>
      <c r="H148" s="2" t="n">
        <v>0</v>
      </c>
      <c r="I148" s="2" t="n">
        <v>0</v>
      </c>
      <c r="J148" s="2" t="n">
        <v>1</v>
      </c>
      <c r="K148" s="2" t="n">
        <v>0</v>
      </c>
      <c r="L148" s="27" t="n">
        <v>834.1947392708813</v>
      </c>
      <c r="M148" s="27">
        <f>L148*H148</f>
        <v/>
      </c>
      <c r="N148" s="27" t="n">
        <v>0</v>
      </c>
      <c r="O148" s="27" t="n"/>
      <c r="P148" s="3" t="n"/>
    </row>
    <row r="149" ht="15" customHeight="1" s="53">
      <c r="A149" s="2" t="inlineStr">
        <is>
          <t>P0091</t>
        </is>
      </c>
      <c r="B149" s="2" t="inlineStr">
        <is>
          <t>משה בורך</t>
        </is>
      </c>
      <c r="C149" s="2" t="inlineStr">
        <is>
          <t>רפאל</t>
        </is>
      </c>
      <c r="D149" s="2" t="inlineStr">
        <is>
          <t>09/09/2025</t>
        </is>
      </c>
      <c r="E149" s="2" t="inlineStr">
        <is>
          <t>11/09/2025</t>
        </is>
      </c>
      <c r="F149" s="2" t="inlineStr">
        <is>
          <t>09/2025</t>
        </is>
      </c>
      <c r="G149" s="2" t="n">
        <v>3</v>
      </c>
      <c r="H149" s="2" t="n">
        <v>3</v>
      </c>
      <c r="I149" s="2" t="n">
        <v>0</v>
      </c>
      <c r="J149" s="2" t="n">
        <v>0</v>
      </c>
      <c r="K149" s="2" t="n">
        <v>0</v>
      </c>
      <c r="L149" s="27" t="n">
        <v>929.8569450853714</v>
      </c>
      <c r="M149" s="27">
        <f>L149*H149</f>
        <v/>
      </c>
      <c r="N149" s="27" t="n"/>
      <c r="O149" s="27" t="n"/>
      <c r="P149" s="3" t="n"/>
    </row>
    <row r="150" ht="15" customHeight="1" s="53">
      <c r="A150" s="2" t="inlineStr">
        <is>
          <t>P0092</t>
        </is>
      </c>
      <c r="B150" s="2" t="inlineStr">
        <is>
          <t>משה בורך</t>
        </is>
      </c>
      <c r="C150" s="2" t="inlineStr">
        <is>
          <t>רפאל</t>
        </is>
      </c>
      <c r="D150" s="2" t="inlineStr">
        <is>
          <t>14/09/2025</t>
        </is>
      </c>
      <c r="E150" s="2" t="inlineStr">
        <is>
          <t>14/09/2025</t>
        </is>
      </c>
      <c r="F150" s="2" t="inlineStr">
        <is>
          <t>09/2025</t>
        </is>
      </c>
      <c r="G150" s="2" t="n">
        <v>1</v>
      </c>
      <c r="H150" s="2" t="n">
        <v>0</v>
      </c>
      <c r="I150" s="2" t="n">
        <v>0</v>
      </c>
      <c r="J150" s="2" t="n">
        <v>1</v>
      </c>
      <c r="K150" s="2" t="n">
        <v>0</v>
      </c>
      <c r="L150" s="27" t="n">
        <v>929.8569450853714</v>
      </c>
      <c r="M150" s="27">
        <f>L150*H150</f>
        <v/>
      </c>
      <c r="N150" s="27" t="n"/>
      <c r="O150" s="27" t="n"/>
      <c r="P150" s="3" t="n"/>
    </row>
    <row r="151" ht="15" customHeight="1" s="53">
      <c r="A151" s="2" t="inlineStr">
        <is>
          <t>P0126</t>
        </is>
      </c>
      <c r="B151" s="2" t="inlineStr">
        <is>
          <t>נתן פרדר</t>
        </is>
      </c>
      <c r="C151" s="2" t="inlineStr">
        <is>
          <t>רוה"מ</t>
        </is>
      </c>
      <c r="D151" s="2" t="inlineStr">
        <is>
          <t>03/09/2025</t>
        </is>
      </c>
      <c r="E151" s="2" t="inlineStr">
        <is>
          <t>04/09/2025</t>
        </is>
      </c>
      <c r="F151" s="2" t="inlineStr">
        <is>
          <t>09/2025</t>
        </is>
      </c>
      <c r="G151" s="2" t="n">
        <v>2</v>
      </c>
      <c r="H151" s="2" t="n">
        <v>2</v>
      </c>
      <c r="I151" s="2" t="n">
        <v>0</v>
      </c>
      <c r="J151" s="2" t="n">
        <v>0</v>
      </c>
      <c r="K151" s="2" t="n">
        <v>0</v>
      </c>
      <c r="L151" s="27" t="n">
        <v>914.8592524227041</v>
      </c>
      <c r="M151" s="27">
        <f>L151*H151</f>
        <v/>
      </c>
      <c r="N151" s="27" t="n"/>
      <c r="O151" s="27" t="n"/>
      <c r="P151" s="3" t="n"/>
    </row>
    <row r="152" ht="15" customHeight="1" s="53">
      <c r="A152" s="2" t="inlineStr">
        <is>
          <t>P0127</t>
        </is>
      </c>
      <c r="B152" s="2" t="inlineStr">
        <is>
          <t>נתן פרדר</t>
        </is>
      </c>
      <c r="C152" s="2" t="inlineStr">
        <is>
          <t>רוה"מ</t>
        </is>
      </c>
      <c r="D152" s="2" t="inlineStr">
        <is>
          <t>14/09/2025</t>
        </is>
      </c>
      <c r="E152" s="2" t="inlineStr">
        <is>
          <t>14/09/2025</t>
        </is>
      </c>
      <c r="F152" s="2" t="inlineStr">
        <is>
          <t>09/2025</t>
        </is>
      </c>
      <c r="G152" s="2" t="n">
        <v>2</v>
      </c>
      <c r="H152" s="2" t="n">
        <v>0</v>
      </c>
      <c r="I152" s="2" t="n">
        <v>0</v>
      </c>
      <c r="J152" s="2" t="n">
        <v>2</v>
      </c>
      <c r="K152" s="2" t="n">
        <v>0</v>
      </c>
      <c r="L152" s="27" t="n">
        <v>914.8592524227041</v>
      </c>
      <c r="M152" s="27">
        <f>L152*H152</f>
        <v/>
      </c>
      <c r="N152" s="27" t="n"/>
      <c r="O152" s="27" t="n"/>
      <c r="P152" s="3" t="n"/>
    </row>
    <row r="153" ht="15" customHeight="1" s="53">
      <c r="A153" s="2" t="inlineStr">
        <is>
          <t>P0135</t>
        </is>
      </c>
      <c r="B153" s="2" t="inlineStr">
        <is>
          <t>צחי חנגל</t>
        </is>
      </c>
      <c r="C153" s="2" t="inlineStr">
        <is>
          <t>רפאל</t>
        </is>
      </c>
      <c r="D153" s="2" t="inlineStr">
        <is>
          <t>07/09/2025</t>
        </is>
      </c>
      <c r="E153" s="2" t="inlineStr">
        <is>
          <t>09/09/2025</t>
        </is>
      </c>
      <c r="F153" s="2" t="inlineStr">
        <is>
          <t>09/2025</t>
        </is>
      </c>
      <c r="G153" s="2" t="n">
        <v>3</v>
      </c>
      <c r="H153" s="2" t="n">
        <v>2</v>
      </c>
      <c r="I153" s="2" t="n">
        <v>0</v>
      </c>
      <c r="J153" s="2" t="n">
        <v>1</v>
      </c>
      <c r="K153" s="2" t="n">
        <v>0</v>
      </c>
      <c r="L153" s="27" t="n">
        <v>812.2288878634056</v>
      </c>
      <c r="M153" s="27">
        <f>L153*H153</f>
        <v/>
      </c>
      <c r="N153" s="27" t="n">
        <v>324.8915551453622</v>
      </c>
      <c r="O153" s="27" t="n"/>
      <c r="P153" s="3" t="n"/>
    </row>
    <row r="154" ht="15" customHeight="1" s="53">
      <c r="A154" s="2" t="inlineStr">
        <is>
          <t>P0086</t>
        </is>
      </c>
      <c r="B154" s="2" t="inlineStr">
        <is>
          <t>משה בורך</t>
        </is>
      </c>
      <c r="C154" s="2" t="inlineStr">
        <is>
          <t>רפאל</t>
        </is>
      </c>
      <c r="D154" s="9" t="inlineStr">
        <is>
          <t>25/05/2025</t>
        </is>
      </c>
      <c r="E154" s="9" t="inlineStr">
        <is>
          <t>27/05/2025</t>
        </is>
      </c>
      <c r="F154" s="2" t="inlineStr">
        <is>
          <t>05/2025</t>
        </is>
      </c>
      <c r="G154" s="35" t="n">
        <v>3</v>
      </c>
      <c r="H154" s="35" t="n">
        <v>2</v>
      </c>
      <c r="I154" s="35" t="n">
        <v>0</v>
      </c>
      <c r="J154" s="2" t="n">
        <v>1</v>
      </c>
      <c r="K154" s="2" t="n">
        <v>0</v>
      </c>
      <c r="L154" s="27" t="n">
        <v>929.8569450853714</v>
      </c>
      <c r="M154" s="27">
        <f>L154*H154</f>
        <v/>
      </c>
      <c r="N154" s="36" t="n">
        <v>483</v>
      </c>
      <c r="O154" s="36" t="n"/>
      <c r="P154" s="41" t="n">
        <v>1532</v>
      </c>
      <c r="Q154" s="28" t="n">
        <v>45877</v>
      </c>
      <c r="R154" s="37">
        <f>P154-M154</f>
        <v/>
      </c>
      <c r="T154" t="inlineStr">
        <is>
          <t>לא שולם- מועבר לולדה לבדיקה שח 05-07.2025- הפרשים שליליים</t>
        </is>
      </c>
    </row>
    <row r="155" ht="15" customHeight="1" s="53">
      <c r="A155" s="2" t="inlineStr">
        <is>
          <t>P0104</t>
        </is>
      </c>
      <c r="B155" s="2" t="inlineStr">
        <is>
          <t>נתן פרדר</t>
        </is>
      </c>
      <c r="C155" s="2" t="inlineStr">
        <is>
          <t>רוה"מ</t>
        </is>
      </c>
      <c r="D155" s="9" t="inlineStr">
        <is>
          <t>10/03/2025</t>
        </is>
      </c>
      <c r="E155" s="9" t="inlineStr">
        <is>
          <t>13/03/2025</t>
        </is>
      </c>
      <c r="F155" s="2" t="inlineStr">
        <is>
          <t>03/2025</t>
        </is>
      </c>
      <c r="G155" s="35" t="n">
        <v>4</v>
      </c>
      <c r="H155" s="35" t="n">
        <v>4</v>
      </c>
      <c r="I155" s="35" t="n">
        <v>0</v>
      </c>
      <c r="J155" s="35" t="n">
        <v>0</v>
      </c>
      <c r="K155" s="2" t="n">
        <v>0</v>
      </c>
      <c r="L155" s="27" t="n">
        <v>914.8592524227041</v>
      </c>
      <c r="M155" s="36">
        <f>L155*H155</f>
        <v/>
      </c>
      <c r="N155" s="36">
        <f>472*2</f>
        <v/>
      </c>
      <c r="O155" s="36" t="n"/>
      <c r="P155" s="41">
        <f>3305*2</f>
        <v/>
      </c>
      <c r="Q155" s="28" t="n">
        <v>45877</v>
      </c>
      <c r="R155" s="37">
        <f>P155-M155</f>
        <v/>
      </c>
      <c r="S155" s="29" t="n">
        <v>45931</v>
      </c>
      <c r="T155" t="inlineStr">
        <is>
          <t>עודכן במרכז</t>
        </is>
      </c>
    </row>
    <row r="156" ht="15" customHeight="1" s="53">
      <c r="A156" s="2" t="inlineStr">
        <is>
          <t>P0105</t>
        </is>
      </c>
      <c r="B156" s="2" t="inlineStr">
        <is>
          <t>נתן פרדר</t>
        </is>
      </c>
      <c r="C156" s="2" t="inlineStr">
        <is>
          <t>רוה"מ</t>
        </is>
      </c>
      <c r="D156" s="9" t="inlineStr">
        <is>
          <t>17/03/2025</t>
        </is>
      </c>
      <c r="E156" s="9" t="inlineStr">
        <is>
          <t>18/03/2025</t>
        </is>
      </c>
      <c r="F156" s="2" t="inlineStr">
        <is>
          <t>03/2025</t>
        </is>
      </c>
      <c r="G156" s="35" t="n">
        <v>2</v>
      </c>
      <c r="H156" s="35" t="n">
        <v>2</v>
      </c>
      <c r="I156" s="35" t="n">
        <v>0</v>
      </c>
      <c r="J156" s="35" t="n">
        <v>0</v>
      </c>
      <c r="K156" s="35" t="n">
        <v>0</v>
      </c>
      <c r="L156" s="27" t="n">
        <v>914.8592524227041</v>
      </c>
      <c r="M156" s="36">
        <f>L156*H156</f>
        <v/>
      </c>
      <c r="N156" s="36" t="n">
        <v>472</v>
      </c>
      <c r="O156" s="36" t="n"/>
      <c r="P156" s="41" t="n">
        <v>2361</v>
      </c>
      <c r="Q156" s="28" t="n">
        <v>45877</v>
      </c>
      <c r="R156" s="37">
        <f>P156-M156</f>
        <v/>
      </c>
      <c r="S156" s="29" t="n">
        <v>45931</v>
      </c>
      <c r="T156" t="inlineStr">
        <is>
          <t>עודכן במרכז</t>
        </is>
      </c>
    </row>
    <row r="157" ht="15" customHeight="1" s="53">
      <c r="A157" s="2" t="inlineStr">
        <is>
          <t>P0041</t>
        </is>
      </c>
      <c r="B157" s="2" t="inlineStr">
        <is>
          <t>יורם שלמה</t>
        </is>
      </c>
      <c r="C157" s="2" t="inlineStr">
        <is>
          <t>רוה"מ</t>
        </is>
      </c>
      <c r="D157" s="9" t="inlineStr">
        <is>
          <t>17/09/2025</t>
        </is>
      </c>
      <c r="E157" s="9" t="inlineStr">
        <is>
          <t>17/09/2025</t>
        </is>
      </c>
      <c r="F157" s="9" t="inlineStr">
        <is>
          <t>09/2025</t>
        </is>
      </c>
      <c r="G157" s="35" t="n">
        <v>2</v>
      </c>
      <c r="H157" s="35" t="n">
        <v>2</v>
      </c>
      <c r="I157" s="35" t="n">
        <v>0</v>
      </c>
      <c r="J157" s="35" t="n">
        <v>0</v>
      </c>
      <c r="K157" s="35" t="n">
        <v>0</v>
      </c>
      <c r="L157" s="36" t="n">
        <v>1096.169820027688</v>
      </c>
      <c r="M157" s="27">
        <f>L157*H157</f>
        <v/>
      </c>
      <c r="N157" s="36" t="n"/>
      <c r="O157" s="36" t="n"/>
      <c r="P157" s="3" t="n"/>
    </row>
    <row r="158" ht="15" customHeight="1" s="53">
      <c r="P158" s="3" t="n"/>
    </row>
    <row r="159" ht="15" customHeight="1" s="53">
      <c r="P159" s="3" t="n"/>
    </row>
    <row r="160" ht="15" customHeight="1" s="53">
      <c r="P160" s="3" t="n"/>
    </row>
    <row r="161" ht="15" customHeight="1" s="53">
      <c r="P161" s="3" t="n"/>
    </row>
    <row r="162" ht="15" customHeight="1" s="53">
      <c r="P162" s="3" t="n"/>
    </row>
    <row r="163" ht="15" customHeight="1" s="53">
      <c r="P163" s="3" t="n"/>
    </row>
    <row r="164" ht="15" customHeight="1" s="53">
      <c r="P164" s="3" t="n"/>
    </row>
    <row r="165" ht="15" customHeight="1" s="53">
      <c r="P165" s="3" t="n"/>
    </row>
    <row r="166" ht="15" customHeight="1" s="53">
      <c r="P166" s="3" t="n"/>
    </row>
    <row r="167" ht="15" customHeight="1" s="53">
      <c r="P167" s="3" t="n"/>
    </row>
    <row r="168" ht="15" customHeight="1" s="53">
      <c r="P168" s="3" t="n"/>
    </row>
    <row r="169" ht="15" customHeight="1" s="53">
      <c r="P169" s="3" t="n"/>
    </row>
    <row r="170" ht="15" customHeight="1" s="53">
      <c r="P170" s="3" t="n"/>
    </row>
  </sheetData>
  <autoFilter ref="A1:Q157">
    <sortState ref="A49:Q156">
      <sortCondition ref="B1:B157"/>
    </sortState>
  </autoFilter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rightToLeft="1" workbookViewId="0">
      <pane ySplit="4" topLeftCell="A5" activePane="bottomLeft" state="frozen"/>
      <selection pane="bottomLeft" activeCell="K25" sqref="K25"/>
    </sheetView>
  </sheetViews>
  <sheetFormatPr baseColWidth="8" defaultRowHeight="14.25"/>
  <cols>
    <col width="12" customWidth="1" style="53" min="1" max="1"/>
    <col width="22" customWidth="1" style="53" min="2" max="2"/>
    <col width="16" customWidth="1" style="53" min="3" max="5"/>
    <col width="20" customWidth="1" style="53" min="6" max="6"/>
    <col width="30" customWidth="1" style="53" min="7" max="7"/>
  </cols>
  <sheetData>
    <row r="1" ht="24.95" customHeight="1" s="53">
      <c r="A1" s="54" t="inlineStr">
        <is>
          <t>📈 היסטוריית שכר - מעקב אחר שינויי תעריפים</t>
        </is>
      </c>
    </row>
    <row r="2" ht="20.1" customHeight="1" s="53">
      <c r="A2" s="52" t="inlineStr">
        <is>
          <t>💡 כל שינוי בתעריף יומי מתועד כאן. המערכת תשתמש בתעריף הנכון לפי תאריך השירות.</t>
        </is>
      </c>
    </row>
    <row r="3" ht="5.1" customHeight="1" s="53"/>
    <row r="4" ht="24.95" customHeight="1" s="53">
      <c r="A4" s="8" t="inlineStr">
        <is>
          <t>ת.ז.</t>
        </is>
      </c>
      <c r="B4" s="8" t="inlineStr">
        <is>
          <t>שם מלא</t>
        </is>
      </c>
      <c r="C4" s="8" t="inlineStr">
        <is>
          <t>תעריף יומי ₪</t>
        </is>
      </c>
      <c r="D4" s="8" t="inlineStr">
        <is>
          <t>תקף מתאריך</t>
        </is>
      </c>
      <c r="E4" s="8" t="inlineStr">
        <is>
          <t>תקף עד תאריך</t>
        </is>
      </c>
      <c r="F4" s="8" t="inlineStr">
        <is>
          <t>סוג שינוי</t>
        </is>
      </c>
      <c r="G4" s="8" t="inlineStr">
        <is>
          <t>הערות</t>
        </is>
      </c>
    </row>
    <row r="5" ht="15" customHeight="1" s="53">
      <c r="A5" s="2" t="inlineStr">
        <is>
          <t>28027738</t>
        </is>
      </c>
      <c r="B5" s="2" t="inlineStr">
        <is>
          <t>אייל מלח</t>
        </is>
      </c>
      <c r="C5" s="14" t="n">
        <v>735</v>
      </c>
      <c r="D5" s="2" t="inlineStr">
        <is>
          <t>01/01/2024</t>
        </is>
      </c>
      <c r="E5" s="2" t="inlineStr">
        <is>
          <t>31/08/2024</t>
        </is>
      </c>
      <c r="F5" s="2" t="inlineStr">
        <is>
          <t>תעריף ראשוני</t>
        </is>
      </c>
      <c r="G5" s="2" t="inlineStr">
        <is>
          <t>לפני העלאה</t>
        </is>
      </c>
    </row>
    <row r="6" ht="15" customHeight="1" s="53">
      <c r="A6" s="20" t="inlineStr">
        <is>
          <t>28027738</t>
        </is>
      </c>
      <c r="B6" s="20" t="inlineStr">
        <is>
          <t>אייל מלח</t>
        </is>
      </c>
      <c r="C6" s="21" t="n">
        <v>850</v>
      </c>
      <c r="D6" s="20" t="inlineStr">
        <is>
          <t>01/09/2024</t>
        </is>
      </c>
      <c r="E6" s="20" t="n"/>
      <c r="F6" s="22" t="inlineStr">
        <is>
          <t>🔺 העלאת שכר</t>
        </is>
      </c>
      <c r="G6" s="20" t="inlineStr">
        <is>
          <t>שינוי מספטמבר 2024</t>
        </is>
      </c>
    </row>
    <row r="7" ht="15" customHeight="1" s="53">
      <c r="A7" s="2" t="inlineStr">
        <is>
          <t>11915519</t>
        </is>
      </c>
      <c r="B7" s="2" t="inlineStr">
        <is>
          <t>מנפרד מרקוביץ'</t>
        </is>
      </c>
      <c r="C7" s="14" t="n">
        <v>891</v>
      </c>
      <c r="D7" s="2" t="inlineStr">
        <is>
          <t>01/01/2024</t>
        </is>
      </c>
      <c r="E7" s="2" t="n"/>
      <c r="F7" s="2" t="inlineStr">
        <is>
          <t>תעריף נוכחי</t>
        </is>
      </c>
      <c r="G7" s="2" t="n"/>
    </row>
    <row r="8" ht="15" customHeight="1" s="53">
      <c r="A8" s="2" t="inlineStr">
        <is>
          <t>22201347</t>
        </is>
      </c>
      <c r="B8" s="2" t="inlineStr">
        <is>
          <t>שלמה יורם</t>
        </is>
      </c>
      <c r="C8" s="14" t="n">
        <v>1254</v>
      </c>
      <c r="D8" s="2" t="inlineStr">
        <is>
          <t>01/01/2024</t>
        </is>
      </c>
      <c r="E8" s="2" t="n"/>
      <c r="F8" s="2" t="inlineStr">
        <is>
          <t>תעריף נוכחי</t>
        </is>
      </c>
      <c r="G8" s="2" t="n"/>
    </row>
    <row r="9" ht="15" customHeight="1" s="53">
      <c r="A9" s="2" t="inlineStr">
        <is>
          <t>25147505</t>
        </is>
      </c>
      <c r="B9" s="2" t="inlineStr">
        <is>
          <t>משה בורך</t>
        </is>
      </c>
      <c r="C9" s="14" t="n">
        <v>805</v>
      </c>
      <c r="D9" s="2" t="inlineStr">
        <is>
          <t>01/01/2024</t>
        </is>
      </c>
      <c r="E9" s="2" t="n"/>
      <c r="F9" s="2" t="inlineStr">
        <is>
          <t>תעריף נוכחי</t>
        </is>
      </c>
      <c r="G9" s="2" t="n"/>
    </row>
    <row r="10" ht="15" customHeight="1" s="53">
      <c r="A10" s="2" t="inlineStr">
        <is>
          <t>25155235</t>
        </is>
      </c>
      <c r="B10" s="2" t="inlineStr">
        <is>
          <t>נתן פרדר</t>
        </is>
      </c>
      <c r="C10" s="14" t="n">
        <v>2361</v>
      </c>
      <c r="D10" s="2" t="inlineStr">
        <is>
          <t>01/01/2024</t>
        </is>
      </c>
      <c r="E10" s="2" t="n"/>
      <c r="F10" s="2" t="inlineStr">
        <is>
          <t>תעריף נוכחי</t>
        </is>
      </c>
      <c r="G10" s="2" t="n"/>
    </row>
    <row r="11" ht="15" customHeight="1" s="53">
      <c r="A11" s="2" t="inlineStr">
        <is>
          <t>203661004</t>
        </is>
      </c>
      <c r="B11" s="2" t="inlineStr">
        <is>
          <t>אריאל אליה</t>
        </is>
      </c>
      <c r="C11" s="14" t="n">
        <v>1157</v>
      </c>
      <c r="D11" s="2" t="inlineStr">
        <is>
          <t>01/01/2024</t>
        </is>
      </c>
      <c r="E11" s="2" t="n"/>
      <c r="F11" s="2" t="inlineStr">
        <is>
          <t>תעריף נוכחי</t>
        </is>
      </c>
      <c r="G11" s="2" t="n"/>
    </row>
    <row r="12" ht="15" customHeight="1" s="53">
      <c r="A12" s="2" t="inlineStr">
        <is>
          <t>308280510</t>
        </is>
      </c>
      <c r="B12" s="2" t="inlineStr">
        <is>
          <t>דור לוי</t>
        </is>
      </c>
      <c r="C12" s="14" t="n">
        <v>663</v>
      </c>
      <c r="D12" s="2" t="inlineStr">
        <is>
          <t>01/01/2024</t>
        </is>
      </c>
      <c r="E12" s="2" t="n"/>
      <c r="F12" s="2" t="inlineStr">
        <is>
          <t>תעריף נוכחי</t>
        </is>
      </c>
      <c r="G12" s="2" t="n"/>
    </row>
    <row r="13" ht="15" customHeight="1" s="53">
      <c r="A13" s="2" t="inlineStr">
        <is>
          <t>315919936</t>
        </is>
      </c>
      <c r="B13" s="2" t="inlineStr">
        <is>
          <t>דניאל בנדרימר</t>
        </is>
      </c>
      <c r="C13" s="14" t="n">
        <v>510</v>
      </c>
      <c r="D13" s="2" t="inlineStr">
        <is>
          <t>01/01/2024</t>
        </is>
      </c>
      <c r="E13" s="2" t="n"/>
      <c r="F13" s="2" t="inlineStr">
        <is>
          <t>תעריף נוכחי</t>
        </is>
      </c>
      <c r="G13" s="2" t="n"/>
    </row>
    <row r="15">
      <c r="A15" s="55" t="inlineStr">
        <is>
          <t>📝 הוראות שימוש: להוספת שינוי שכר - הוסף שורה חדשה עם התעריף החדש ועדכן את 'תקף עד תאריך' בשורה הקודמת</t>
        </is>
      </c>
    </row>
  </sheetData>
  <autoFilter ref="A4:G13"/>
  <mergeCells count="3">
    <mergeCell ref="A2:G2"/>
    <mergeCell ref="A1:G1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2025-11-06T15:03:01Z</dcterms:created>
  <dcterms:modified xsi:type="dcterms:W3CDTF">2025-11-25T08:35:59Z</dcterms:modified>
  <cp:lastModifiedBy>Yelena Enthin</cp:lastModifiedBy>
</cp:coreProperties>
</file>