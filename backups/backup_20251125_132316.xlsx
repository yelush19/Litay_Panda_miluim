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54A04A66-72AD-4325-9DED-D28BC8421D93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רשימות" sheetId="1" state="hidden" r:id="rId1"/>
    <sheet name="📖 הוראות שימוש" sheetId="2" r:id="rId2"/>
    <sheet name="1️⃣ רשימת עובדים" sheetId="3" r:id="rId3"/>
    <sheet name="💵 רשימת תשלומים" sheetId="6" r:id="rId4"/>
    <sheet name="4️⃣ דוח מסכם" sheetId="5" r:id="rId5"/>
    <sheet name="3️⃣ תשלומי ב&quot;ל" sheetId="4" r:id="rId6"/>
    <sheet name="2️⃣ תקופות מילואים" sheetId="7" r:id="rId7"/>
    <sheet name="📈 היסטוריית שכר" sheetId="8" r:id="rId8"/>
  </sheets>
  <definedNames>
    <definedName name="_xlnm._FilterDatabase" localSheetId="2" hidden="1">'1️⃣ רשימת עובדים'!$A$1:$J$1</definedName>
    <definedName name="_xlnm._FilterDatabase" localSheetId="6" hidden="1">'2️⃣ תקופות מילואים'!$A$1:$Q$151</definedName>
    <definedName name="_xlnm._FilterDatabase" localSheetId="5" hidden="1">'3️⃣ תשלומי ב"ל'!$A$1:$L$81</definedName>
    <definedName name="_xlnm._FilterDatabase" localSheetId="4" hidden="1">'4️⃣ דוח מסכם'!$A$1:$L$75</definedName>
    <definedName name="_xlnm._FilterDatabase" localSheetId="7" hidden="1">'📈 היסטוריית שכר'!$A$4:$G$13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1" i="7" l="1"/>
  <c r="M150" i="7"/>
  <c r="R150" i="7" s="1"/>
  <c r="P149" i="7"/>
  <c r="N149" i="7"/>
  <c r="M149" i="7"/>
  <c r="M148" i="7"/>
  <c r="R148" i="7" s="1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R117" i="7" s="1"/>
  <c r="M116" i="7"/>
  <c r="M115" i="7"/>
  <c r="M114" i="7"/>
  <c r="M113" i="7"/>
  <c r="M112" i="7"/>
  <c r="M111" i="7"/>
  <c r="R111" i="7" s="1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R96" i="7" s="1"/>
  <c r="M95" i="7"/>
  <c r="R95" i="7" s="1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R82" i="7" s="1"/>
  <c r="M81" i="7"/>
  <c r="R81" i="7" s="1"/>
  <c r="M80" i="7"/>
  <c r="R80" i="7" s="1"/>
  <c r="M79" i="7"/>
  <c r="R79" i="7" s="1"/>
  <c r="M78" i="7"/>
  <c r="R78" i="7" s="1"/>
  <c r="M77" i="7"/>
  <c r="R77" i="7" s="1"/>
  <c r="M76" i="7"/>
  <c r="R76" i="7" s="1"/>
  <c r="M75" i="7"/>
  <c r="R75" i="7" s="1"/>
  <c r="M74" i="7"/>
  <c r="M73" i="7"/>
  <c r="M72" i="7"/>
  <c r="M71" i="7"/>
  <c r="R71" i="7" s="1"/>
  <c r="M70" i="7"/>
  <c r="R70" i="7" s="1"/>
  <c r="M69" i="7"/>
  <c r="R69" i="7" s="1"/>
  <c r="M68" i="7"/>
  <c r="M67" i="7"/>
  <c r="M66" i="7"/>
  <c r="M65" i="7"/>
  <c r="M64" i="7"/>
  <c r="M63" i="7"/>
  <c r="M62" i="7"/>
  <c r="M61" i="7"/>
  <c r="R61" i="7" s="1"/>
  <c r="M60" i="7"/>
  <c r="R60" i="7" s="1"/>
  <c r="M59" i="7"/>
  <c r="R59" i="7" s="1"/>
  <c r="M58" i="7"/>
  <c r="M57" i="7"/>
  <c r="R57" i="7" s="1"/>
  <c r="M56" i="7"/>
  <c r="M55" i="7"/>
  <c r="M54" i="7"/>
  <c r="M53" i="7"/>
  <c r="M52" i="7"/>
  <c r="M51" i="7"/>
  <c r="M50" i="7"/>
  <c r="M49" i="7"/>
  <c r="R49" i="7" s="1"/>
  <c r="M48" i="7"/>
  <c r="R48" i="7" s="1"/>
  <c r="M47" i="7"/>
  <c r="M45" i="7"/>
  <c r="R45" i="7" s="1"/>
  <c r="M44" i="7"/>
  <c r="R44" i="7" s="1"/>
  <c r="M43" i="7"/>
  <c r="R43" i="7" s="1"/>
  <c r="M42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19" i="7"/>
  <c r="M17" i="7"/>
  <c r="M16" i="7"/>
  <c r="M15" i="7"/>
  <c r="M14" i="7"/>
  <c r="M12" i="7"/>
  <c r="R11" i="7"/>
  <c r="M10" i="7"/>
  <c r="R9" i="7"/>
  <c r="M8" i="7"/>
  <c r="M7" i="7"/>
  <c r="M6" i="7"/>
  <c r="M5" i="7"/>
  <c r="M4" i="7"/>
  <c r="M3" i="7"/>
  <c r="M2" i="7"/>
  <c r="F9" i="6"/>
  <c r="F8" i="6"/>
  <c r="F7" i="6"/>
  <c r="D6" i="6"/>
  <c r="F6" i="6" s="1"/>
  <c r="F5" i="6"/>
  <c r="R149" i="7" l="1"/>
</calcChain>
</file>

<file path=xl/sharedStrings.xml><?xml version="1.0" encoding="utf-8"?>
<sst xmlns="http://schemas.openxmlformats.org/spreadsheetml/2006/main" count="1925" uniqueCount="556">
  <si>
    <t>חודשי תשלום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</si>
  <si>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</si>
  <si>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</si>
  <si>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</si>
  <si>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</si>
  <si>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</si>
  <si>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</si>
  <si>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</si>
  <si>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</si>
  <si>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</si>
  <si>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</si>
  <si>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</si>
  <si>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</si>
  <si>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</si>
  <si>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</si>
  <si>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</si>
  <si>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</si>
  <si>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</si>
  <si>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</si>
  <si>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</si>
  <si>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</si>
  <si>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</si>
  <si>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</si>
  <si>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</si>
  <si>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</si>
  <si>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</si>
  <si>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</si>
  <si>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</si>
  <si>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</si>
  <si>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</si>
  <si>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</si>
  <si>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</si>
  <si>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</si>
  <si>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</si>
  <si>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</si>
  <si>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</si>
  <si>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</si>
  <si>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🎯 מערכת ניהול תשלומי מילואים - ליטאי ניהול שירותים</t>
  </si>
  <si>
    <t>═══════════════════════════════════════════════════════</t>
  </si>
  <si>
    <t>📋 מבנה המערכת:</t>
  </si>
  <si>
    <t>─────────────────</t>
  </si>
  <si>
    <t>✅ גליון 1: רשימת עובדים - פרטי העובדים ותעריפים</t>
  </si>
  <si>
    <t>✅ גליון 2: תקופות מילואים - כל תקופת מילואים בנפרד</t>
  </si>
  <si>
    <t>✅ גליון 3: תשלומי ביטוח לאומי - תשלומים שהתקבלו</t>
  </si>
  <si>
    <t>✅ גליון 4: דוח מסכם - סיכום אוטומטי לפי עובד וחודש</t>
  </si>
  <si>
    <t>─────────────────────────────────────────────────────</t>
  </si>
  <si>
    <t>🔄 תהליך עבודה:</t>
  </si>
  <si>
    <t>שלב 1️⃣ - מלא נתוני עובדים</t>
  </si>
  <si>
    <t xml:space="preserve">   • גליון "רשימת עובדים"</t>
  </si>
  <si>
    <t xml:space="preserve">   • הזן: ת.ז., משכורת חודשית, פרטי בנק</t>
  </si>
  <si>
    <t xml:space="preserve">   • התעריף היומי יחושב אוטומטית (משכורת ÷ 22)</t>
  </si>
  <si>
    <t>שלב 2️⃣ - בדוק תקופות מילואים</t>
  </si>
  <si>
    <t xml:space="preserve">   • גליון "תקופות מילואים"</t>
  </si>
  <si>
    <t xml:space="preserve">   • המערכת יצרה אוטומטית את כל התקופות מקובץ מקאנו</t>
  </si>
  <si>
    <t xml:space="preserve">   • כל תקופה נפרדת = שורה נפרדת</t>
  </si>
  <si>
    <t xml:space="preserve">   • בדוק את ימי החג (צריך למלא ידנית)</t>
  </si>
  <si>
    <t>שלב 3️⃣ - ייבוא תשלומי ביטוח לאומי</t>
  </si>
  <si>
    <t xml:space="preserve">   • גליון "תשלומי ביטוח לאומי"</t>
  </si>
  <si>
    <t xml:space="preserve">   • העתק נתונים מקובץ XLA של ביטוח לאומי</t>
  </si>
  <si>
    <t xml:space="preserve">   • שדות חשובים:</t>
  </si>
  <si>
    <t xml:space="preserve">     - תאריך התחלה/סיום לפי ב"ל</t>
  </si>
  <si>
    <t xml:space="preserve">     - תגמול שהתקבל</t>
  </si>
  <si>
    <t xml:space="preserve">     - תאריך תקבול</t>
  </si>
  <si>
    <t xml:space="preserve">     - מספר תביעה</t>
  </si>
  <si>
    <t>שלב 4️⃣ - מעקב בדוח המסכם</t>
  </si>
  <si>
    <t xml:space="preserve">   • גליון "דוח מסכם"</t>
  </si>
  <si>
    <t xml:space="preserve">   • מקובץ אוטומטית לפי עובד וחודש</t>
  </si>
  <si>
    <t xml:space="preserve">   • צבעים:</t>
  </si>
  <si>
    <t xml:space="preserve">     🟡 כתום = ממתין לתקבול</t>
  </si>
  <si>
    <t xml:space="preserve">     🟢 ירוק = שולם במלואו</t>
  </si>
  <si>
    <t xml:space="preserve">     🔴 אדום = יש הפרש</t>
  </si>
  <si>
    <t>💡 טיפים חשובים:</t>
  </si>
  <si>
    <t>✓ כל עובד עם מספר תקופות באותו חודש = מספר שורות</t>
  </si>
  <si>
    <t>✓ ביטוח לאומי משלם לפעמים בכמה פעמים - מלא שורה לכל תשלום</t>
  </si>
  <si>
    <t>✓ ימי סופ"ש וחגים משולמים בתעריף גבוה יותר</t>
  </si>
  <si>
    <t>✓ השתמש בסינונים (Filter) למציאת מידע מהר</t>
  </si>
  <si>
    <t>🔍 חיפוש ומיון:</t>
  </si>
  <si>
    <t>• לחץ על כפתור הסינון בשורת הכותרת</t>
  </si>
  <si>
    <t>• סנן לפי:</t>
  </si>
  <si>
    <t xml:space="preserve">  - שם עובד</t>
  </si>
  <si>
    <t xml:space="preserve">  - מחלקה</t>
  </si>
  <si>
    <t xml:space="preserve">  - חודש</t>
  </si>
  <si>
    <t xml:space="preserve">  - סטטוס</t>
  </si>
  <si>
    <t>❓ שאלות נפוצות:</t>
  </si>
  <si>
    <t>ש: למה יש לעובד X מספר שורות באותו חודש?</t>
  </si>
  <si>
    <t>ת: כי היו לו מספר תקופות נפרדות (עם רווחים ביניהן)</t>
  </si>
  <si>
    <t>ש: איך אני יודעת מה התקבל מביטוח לאומי?</t>
  </si>
  <si>
    <t>ת: העתיקי את הנתונים מקובץ ה-XLA לגליון 3</t>
  </si>
  <si>
    <t>ש: איך מחשבים הפרשים?</t>
  </si>
  <si>
    <t>ת: הפרש = צפוי מב"ל - התקבל מב"ל</t>
  </si>
  <si>
    <t xml:space="preserve">   (אם חיובי = חסר כסף, שלילי = קיבלו יותר מדי)</t>
  </si>
  <si>
    <t>📞 תמיכה:</t>
  </si>
  <si>
    <t xml:space="preserve">   Innovation in Balance</t>
  </si>
  <si>
    <t xml:space="preserve">   © 2025 Litay Services Management LTD</t>
  </si>
  <si>
    <t>🔗 זהות בין גליונות:</t>
  </si>
  <si>
    <t>• דוח מסכם מקבץ נתונים מתקופות מילואים לפי עובד וחודש</t>
  </si>
  <si>
    <t>• עמודת 'מזהי תקופות' מציגה את כל התקופות שמרכיבות את השורה</t>
  </si>
  <si>
    <t>• עמודות התאריך מציגות את טווח התאריכים המלא</t>
  </si>
  <si>
    <t>• 'צפוי מב"ל' = הפרש סופ"ש + פיצוי 20% למעסיק</t>
  </si>
  <si>
    <t>• 'התקבל מב"ל' = סה"כ תשלומים שמתאימים לטווח התאריכים</t>
  </si>
  <si>
    <t>ת.ז.</t>
  </si>
  <si>
    <t>שם פרטי</t>
  </si>
  <si>
    <t>שם משפחה</t>
  </si>
  <si>
    <t>שם מלא</t>
  </si>
  <si>
    <t>מחלקה</t>
  </si>
  <si>
    <t>משכורת חודשית</t>
  </si>
  <si>
    <t>תעריף יומי</t>
  </si>
  <si>
    <t>בנק</t>
  </si>
  <si>
    <t>מספר חשבון</t>
  </si>
  <si>
    <t>סטטוס</t>
  </si>
  <si>
    <t>אוראל</t>
  </si>
  <si>
    <t>שווקי</t>
  </si>
  <si>
    <t>אוראל שווקי</t>
  </si>
  <si>
    <t>רפאל</t>
  </si>
  <si>
    <t>פעיל</t>
  </si>
  <si>
    <t>אורי</t>
  </si>
  <si>
    <t>אשתר</t>
  </si>
  <si>
    <t>אורי אשתר</t>
  </si>
  <si>
    <t>מל"מ</t>
  </si>
  <si>
    <t>אייל</t>
  </si>
  <si>
    <t>מלח</t>
  </si>
  <si>
    <t>אייל מלח</t>
  </si>
  <si>
    <t>מ01.09.25</t>
  </si>
  <si>
    <t>אריאל</t>
  </si>
  <si>
    <t>אליה</t>
  </si>
  <si>
    <t>אריאל אליה</t>
  </si>
  <si>
    <t>דניאל</t>
  </si>
  <si>
    <t>בנדרימר</t>
  </si>
  <si>
    <t>דניאל בנדרימר</t>
  </si>
  <si>
    <t>חיים</t>
  </si>
  <si>
    <t>ראש</t>
  </si>
  <si>
    <t>חיים ראש</t>
  </si>
  <si>
    <t>יום</t>
  </si>
  <si>
    <t>טוב מוסארי</t>
  </si>
  <si>
    <t>יום טוב מוסארי</t>
  </si>
  <si>
    <t>רוה"מ</t>
  </si>
  <si>
    <t>מ01.06.25</t>
  </si>
  <si>
    <t>יורם</t>
  </si>
  <si>
    <t>שלמה</t>
  </si>
  <si>
    <t>יורם שלמה</t>
  </si>
  <si>
    <t>יענקל</t>
  </si>
  <si>
    <t>מונטבולינסקי</t>
  </si>
  <si>
    <t>יענקל מונטבולינסקי</t>
  </si>
  <si>
    <t>לאון</t>
  </si>
  <si>
    <t>שמייב</t>
  </si>
  <si>
    <t>לאון שמייב</t>
  </si>
  <si>
    <t>01.07.2025</t>
  </si>
  <si>
    <t>לוי</t>
  </si>
  <si>
    <t>דור</t>
  </si>
  <si>
    <t>לוי דור</t>
  </si>
  <si>
    <t>מנפרד</t>
  </si>
  <si>
    <t>מרקוביץ'</t>
  </si>
  <si>
    <t>מנפרד מרקוביץ'</t>
  </si>
  <si>
    <t>משה</t>
  </si>
  <si>
    <t>בורך</t>
  </si>
  <si>
    <t>משה בורך</t>
  </si>
  <si>
    <t>פינץ</t>
  </si>
  <si>
    <t>משה פינץ</t>
  </si>
  <si>
    <t>נתן</t>
  </si>
  <si>
    <t>פרדר</t>
  </si>
  <si>
    <t>נתן פרדר</t>
  </si>
  <si>
    <t>צחי</t>
  </si>
  <si>
    <t>חנגל</t>
  </si>
  <si>
    <t>צחי חנגל</t>
  </si>
  <si>
    <t>שועה</t>
  </si>
  <si>
    <t>רפאל שועה</t>
  </si>
  <si>
    <t>שם עובד</t>
  </si>
  <si>
    <t>תאריך התחלה</t>
  </si>
  <si>
    <t>תאריך סיום</t>
  </si>
  <si>
    <t>סוג תשלום</t>
  </si>
  <si>
    <t>תגמול ₪</t>
  </si>
  <si>
    <t>פיצוי 20% ₪</t>
  </si>
  <si>
    <t>תוספת 40% ₪</t>
  </si>
  <si>
    <t>סה"כ לעובד ₪</t>
  </si>
  <si>
    <t>מספר מנה</t>
  </si>
  <si>
    <t>תאריך תשלום</t>
  </si>
  <si>
    <t>קובץ מקור</t>
  </si>
  <si>
    <t>07/01/2025</t>
  </si>
  <si>
    <t>רגיל</t>
  </si>
  <si>
    <t>09/02/2025</t>
  </si>
  <si>
    <t>PDF_מנה_0203</t>
  </si>
  <si>
    <t>16/01/2025</t>
  </si>
  <si>
    <t>01/01/2025</t>
  </si>
  <si>
    <t>19/01/2025</t>
  </si>
  <si>
    <t>23/01/2025</t>
  </si>
  <si>
    <t>27/11/2024</t>
  </si>
  <si>
    <t>05/01/2025</t>
  </si>
  <si>
    <t>06/01/2025</t>
  </si>
  <si>
    <t>08/01/2025</t>
  </si>
  <si>
    <t>09/01/2025</t>
  </si>
  <si>
    <t>10/01/2025</t>
  </si>
  <si>
    <t>11/01/2025</t>
  </si>
  <si>
    <t>14/01/2025</t>
  </si>
  <si>
    <t>15/01/2025</t>
  </si>
  <si>
    <t>17/01/2025</t>
  </si>
  <si>
    <t>20/01/2025</t>
  </si>
  <si>
    <t>24/01/2025</t>
  </si>
  <si>
    <t>03/01/2025</t>
  </si>
  <si>
    <t>17/11/2024</t>
  </si>
  <si>
    <t>21/11/2024</t>
  </si>
  <si>
    <t>09/10/2024</t>
  </si>
  <si>
    <t>11/10/2024</t>
  </si>
  <si>
    <t>27/10/2024</t>
  </si>
  <si>
    <t>28/10/2024</t>
  </si>
  <si>
    <t>25/11/2024</t>
  </si>
  <si>
    <t>29/10/2024</t>
  </si>
  <si>
    <t>30/10/2024</t>
  </si>
  <si>
    <t>02/12/2024</t>
  </si>
  <si>
    <t>PDF_מנה_0204</t>
  </si>
  <si>
    <t>15/12/2024</t>
  </si>
  <si>
    <t>19/12/2024</t>
  </si>
  <si>
    <t>24/02/2025</t>
  </si>
  <si>
    <t>28/02/2025</t>
  </si>
  <si>
    <t>23/04/2025</t>
  </si>
  <si>
    <t>PDF_מנה_0408</t>
  </si>
  <si>
    <t>19/03/2025</t>
  </si>
  <si>
    <t>20/03/2025</t>
  </si>
  <si>
    <t>26/03/2025</t>
  </si>
  <si>
    <t>10/02/2025</t>
  </si>
  <si>
    <t>18/02/2025</t>
  </si>
  <si>
    <t>19/02/2025</t>
  </si>
  <si>
    <t>26/02/2025</t>
  </si>
  <si>
    <t>04/03/2025</t>
  </si>
  <si>
    <t>17/03/2025</t>
  </si>
  <si>
    <t>18/03/2025</t>
  </si>
  <si>
    <t>30/03/2025</t>
  </si>
  <si>
    <t>31/03/2025</t>
  </si>
  <si>
    <t>23/02/2025</t>
  </si>
  <si>
    <t>02/04/2025</t>
  </si>
  <si>
    <t>08/08/2025</t>
  </si>
  <si>
    <t>PDF_מנה_0802</t>
  </si>
  <si>
    <t>08/04/2025</t>
  </si>
  <si>
    <t>04/05/2025</t>
  </si>
  <si>
    <t>07/05/2025</t>
  </si>
  <si>
    <t>12/05/2025</t>
  </si>
  <si>
    <t>24/05/2025</t>
  </si>
  <si>
    <t>25/05/2025</t>
  </si>
  <si>
    <t>31/05/2025</t>
  </si>
  <si>
    <t>01/06/2025</t>
  </si>
  <si>
    <t>30/06/2025</t>
  </si>
  <si>
    <t>01/07/2025</t>
  </si>
  <si>
    <t>31/07/2025</t>
  </si>
  <si>
    <t>01/04/2025</t>
  </si>
  <si>
    <t>03/04/2025</t>
  </si>
  <si>
    <t>09/04/2025</t>
  </si>
  <si>
    <t>10/04/2025</t>
  </si>
  <si>
    <t>08/05/2025</t>
  </si>
  <si>
    <t>28/05/2025</t>
  </si>
  <si>
    <t>05/06/2025</t>
  </si>
  <si>
    <t>11/06/2025</t>
  </si>
  <si>
    <t>12/06/2025</t>
  </si>
  <si>
    <t>05/03/2025</t>
  </si>
  <si>
    <t>24/03/2025</t>
  </si>
  <si>
    <t>25/03/2025</t>
  </si>
  <si>
    <t>27/03/2025</t>
  </si>
  <si>
    <t>21/04/2025</t>
  </si>
  <si>
    <t>15/05/2025</t>
  </si>
  <si>
    <t>19/05/2025</t>
  </si>
  <si>
    <t>22/05/2025</t>
  </si>
  <si>
    <t>27/05/2025</t>
  </si>
  <si>
    <t>15/07/2025</t>
  </si>
  <si>
    <t>10/03/2025</t>
  </si>
  <si>
    <t>11/03/2025</t>
  </si>
  <si>
    <t>12/03/2025</t>
  </si>
  <si>
    <t>13/03/2025</t>
  </si>
  <si>
    <t>תוספת 40%</t>
  </si>
  <si>
    <t>26/06/2025</t>
  </si>
  <si>
    <t>92437586800_09_07_25.xlsx</t>
  </si>
  <si>
    <t>28/04/2025</t>
  </si>
  <si>
    <t>92437586800_28_04_2025.xlsx</t>
  </si>
  <si>
    <t>07/10/2023</t>
  </si>
  <si>
    <t>18/08/2024</t>
  </si>
  <si>
    <t>24/08/2024</t>
  </si>
  <si>
    <t>23/05/2025</t>
  </si>
  <si>
    <t>92437586800_NK-0510-250519-509_-1363229539_10591_0_01.xlsx</t>
  </si>
  <si>
    <t>07/10/2024</t>
  </si>
  <si>
    <t>08/10/2024</t>
  </si>
  <si>
    <t>10/10/2024</t>
  </si>
  <si>
    <t>13/10/2024</t>
  </si>
  <si>
    <t>31/10/2024</t>
  </si>
  <si>
    <t>03/11/2024</t>
  </si>
  <si>
    <t>07/11/2024</t>
  </si>
  <si>
    <t>10/11/2024</t>
  </si>
  <si>
    <t>13/11/2024</t>
  </si>
  <si>
    <t>24/11/2024</t>
  </si>
  <si>
    <t>08/12/2024</t>
  </si>
  <si>
    <t>22201347</t>
  </si>
  <si>
    <t>הפרש</t>
  </si>
  <si>
    <t>1112</t>
  </si>
  <si>
    <t>27/11/2025</t>
  </si>
  <si>
    <t>25147505</t>
  </si>
  <si>
    <t>28/07/2025</t>
  </si>
  <si>
    <t>25155235</t>
  </si>
  <si>
    <t>28/03/2025</t>
  </si>
  <si>
    <t>20/05/2025</t>
  </si>
  <si>
    <t>06/04/2025</t>
  </si>
  <si>
    <t>05/05/2025</t>
  </si>
  <si>
    <t>06/05/2025</t>
  </si>
  <si>
    <t>18/05/2025</t>
  </si>
  <si>
    <t>04/06/2025</t>
  </si>
  <si>
    <t>03/06/2025</t>
  </si>
  <si>
    <t>08/06/2025</t>
  </si>
  <si>
    <t>29/06/2025</t>
  </si>
  <si>
    <t>16/07/2025</t>
  </si>
  <si>
    <t>23/07/2025</t>
  </si>
  <si>
    <t>24/07/2025</t>
  </si>
  <si>
    <t>19/06/2025</t>
  </si>
  <si>
    <t>24/06/2025</t>
  </si>
  <si>
    <t>28027738</t>
  </si>
  <si>
    <t>21/05/2025</t>
  </si>
  <si>
    <t>29/07/2025</t>
  </si>
  <si>
    <t>09/06/2025</t>
  </si>
  <si>
    <t>10/06/2025</t>
  </si>
  <si>
    <t>28/06/2025</t>
  </si>
  <si>
    <t>203661004</t>
  </si>
  <si>
    <t>02/03/2025</t>
  </si>
  <si>
    <t>27/04/2025</t>
  </si>
  <si>
    <t>16/06/2025</t>
  </si>
  <si>
    <t>23/06/2025</t>
  </si>
  <si>
    <t>27/07/2025</t>
  </si>
  <si>
    <t>308280510</t>
  </si>
  <si>
    <t>דור לוי</t>
  </si>
  <si>
    <t>22/04/2025</t>
  </si>
  <si>
    <t>24/04/2025</t>
  </si>
  <si>
    <t>26/05/2025</t>
  </si>
  <si>
    <t>30/05/2025</t>
  </si>
  <si>
    <t>18/06/2025</t>
  </si>
  <si>
    <t>22/06/2025</t>
  </si>
  <si>
    <t>22/07/2025</t>
  </si>
  <si>
    <t>15/06/2025</t>
  </si>
  <si>
    <t>315919936</t>
  </si>
  <si>
    <t>29/05/2025</t>
  </si>
  <si>
    <t>07/07/2025</t>
  </si>
  <si>
    <t>21/07/2025</t>
  </si>
  <si>
    <t>30/07/2025</t>
  </si>
  <si>
    <t>29/04/2025</t>
  </si>
  <si>
    <t>11915519</t>
  </si>
  <si>
    <t>01/09/2025</t>
  </si>
  <si>
    <t>30/09/2025</t>
  </si>
  <si>
    <t>17/09/2025</t>
  </si>
  <si>
    <t>04/08/2025</t>
  </si>
  <si>
    <t>13/08/2025</t>
  </si>
  <si>
    <t>17/08/2025</t>
  </si>
  <si>
    <t>19/08/2025</t>
  </si>
  <si>
    <t>09/09/2025</t>
  </si>
  <si>
    <t>11/09/2025</t>
  </si>
  <si>
    <t>14/09/2025</t>
  </si>
  <si>
    <t>05/08/2025</t>
  </si>
  <si>
    <t>06/08/2025</t>
  </si>
  <si>
    <t>18/08/2025</t>
  </si>
  <si>
    <t>03/09/2025</t>
  </si>
  <si>
    <t>04/09/2025</t>
  </si>
  <si>
    <t>21/08/2025</t>
  </si>
  <si>
    <t>20/08/2025</t>
  </si>
  <si>
    <t>חודש</t>
  </si>
  <si>
    <t>תאריך התחלה מוקדם ביותר</t>
  </si>
  <si>
    <t>תאריך סיום מאוחר ביותר</t>
  </si>
  <si>
    <t>מספר תקופות</t>
  </si>
  <si>
    <t>סה"כ ימים</t>
  </si>
  <si>
    <t>ימי א-ה</t>
  </si>
  <si>
    <t>ימי סופ"ש</t>
  </si>
  <si>
    <t>צפוי מב"ל</t>
  </si>
  <si>
    <t>התקבל מב"ל</t>
  </si>
  <si>
    <t>מזהי תקופות</t>
  </si>
  <si>
    <t>לא רלוונטי</t>
  </si>
  <si>
    <t>ממתין</t>
  </si>
  <si>
    <t>מנה</t>
  </si>
  <si>
    <t>סה"כ כולל ₪</t>
  </si>
  <si>
    <t>ביקורת נתונים מול תקופות מילואים</t>
  </si>
  <si>
    <t>תקין</t>
  </si>
  <si>
    <t>מזהה תקופה</t>
  </si>
  <si>
    <t>ימי שישי</t>
  </si>
  <si>
    <t>ימי שבת</t>
  </si>
  <si>
    <t>ימי חג</t>
  </si>
  <si>
    <t>תשלום מעסיק (א-ה)</t>
  </si>
  <si>
    <t>פיצוי 20% למעסיק</t>
  </si>
  <si>
    <t>סה"כ תגמול מביטוח לאומי ₪</t>
  </si>
  <si>
    <t>מועד תשלום ביטוח לאומי</t>
  </si>
  <si>
    <t>סכום הפרשים לעובד ₪</t>
  </si>
  <si>
    <t>חודש ביצוע תשלום</t>
  </si>
  <si>
    <t xml:space="preserve">💰 הערות </t>
  </si>
  <si>
    <t>P0003</t>
  </si>
  <si>
    <t>P0008</t>
  </si>
  <si>
    <t>22/01/2025</t>
  </si>
  <si>
    <t>P0014</t>
  </si>
  <si>
    <t>26/01/2025</t>
  </si>
  <si>
    <t>30/01/2025</t>
  </si>
  <si>
    <t>P0026</t>
  </si>
  <si>
    <t>P0027</t>
  </si>
  <si>
    <t>P0055</t>
  </si>
  <si>
    <t>P0063</t>
  </si>
  <si>
    <t>P0064</t>
  </si>
  <si>
    <t>P0074</t>
  </si>
  <si>
    <t>P0075</t>
  </si>
  <si>
    <t>29/01/2025</t>
  </si>
  <si>
    <t>P0095</t>
  </si>
  <si>
    <t>P0096</t>
  </si>
  <si>
    <t>P0097</t>
  </si>
  <si>
    <t>P0098</t>
  </si>
  <si>
    <t>P0099</t>
  </si>
  <si>
    <t>P0023</t>
  </si>
  <si>
    <t>20/02/2025</t>
  </si>
  <si>
    <t>P0024</t>
  </si>
  <si>
    <t>P0028</t>
  </si>
  <si>
    <t>P0029</t>
  </si>
  <si>
    <t>P0030</t>
  </si>
  <si>
    <t>P0065</t>
  </si>
  <si>
    <t>P0076</t>
  </si>
  <si>
    <t>P0077</t>
  </si>
  <si>
    <t>P0100</t>
  </si>
  <si>
    <t>11/02/2025</t>
  </si>
  <si>
    <t>P0101</t>
  </si>
  <si>
    <t>13/02/2025</t>
  </si>
  <si>
    <t>P0102</t>
  </si>
  <si>
    <t>17/02/2025</t>
  </si>
  <si>
    <t>P0103</t>
  </si>
  <si>
    <t>25/02/2025</t>
  </si>
  <si>
    <t>P0001</t>
  </si>
  <si>
    <t>P0009</t>
  </si>
  <si>
    <t>P0031</t>
  </si>
  <si>
    <t>P0032</t>
  </si>
  <si>
    <t>P0033</t>
  </si>
  <si>
    <t>P0050</t>
  </si>
  <si>
    <t>P0066</t>
  </si>
  <si>
    <t>P0067</t>
  </si>
  <si>
    <t>P0034</t>
  </si>
  <si>
    <t>לא שולם- בני- בהמשך -09.11.25</t>
  </si>
  <si>
    <t>P0035</t>
  </si>
  <si>
    <t>P0093</t>
  </si>
  <si>
    <t>P0036</t>
  </si>
  <si>
    <t>P0037</t>
  </si>
  <si>
    <t>P0106</t>
  </si>
  <si>
    <t>P0107</t>
  </si>
  <si>
    <t>P0108</t>
  </si>
  <si>
    <t>P0128</t>
  </si>
  <si>
    <t>P0010</t>
  </si>
  <si>
    <t>P0011</t>
  </si>
  <si>
    <t>P0015</t>
  </si>
  <si>
    <t>P0038</t>
  </si>
  <si>
    <t>P0056</t>
  </si>
  <si>
    <t>P0039</t>
  </si>
  <si>
    <t>P0068</t>
  </si>
  <si>
    <t>P0069</t>
  </si>
  <si>
    <t>P0082</t>
  </si>
  <si>
    <t>P0109</t>
  </si>
  <si>
    <t>P0110</t>
  </si>
  <si>
    <t>P0111</t>
  </si>
  <si>
    <t>P0112</t>
  </si>
  <si>
    <t>P0004</t>
  </si>
  <si>
    <t>P0012</t>
  </si>
  <si>
    <t>P0070</t>
  </si>
  <si>
    <t>P0071</t>
  </si>
  <si>
    <t>P0072</t>
  </si>
  <si>
    <t>P0051</t>
  </si>
  <si>
    <t>P0057</t>
  </si>
  <si>
    <t>P0058</t>
  </si>
  <si>
    <t>P0073</t>
  </si>
  <si>
    <t>P0078</t>
  </si>
  <si>
    <t>לא שולם- מועבר לולדה לבדיקה שח 05-07.2025- הפרשים שליליים</t>
  </si>
  <si>
    <t>P0079</t>
  </si>
  <si>
    <t>P0080</t>
  </si>
  <si>
    <t>P0081</t>
  </si>
  <si>
    <t>P0113</t>
  </si>
  <si>
    <t>P0114</t>
  </si>
  <si>
    <t>P0115</t>
  </si>
  <si>
    <t>P0116</t>
  </si>
  <si>
    <t>P0117</t>
  </si>
  <si>
    <t>P0129</t>
  </si>
  <si>
    <t>P0130</t>
  </si>
  <si>
    <t>P0136</t>
  </si>
  <si>
    <t>P0005</t>
  </si>
  <si>
    <t>P0016</t>
  </si>
  <si>
    <t>P0022</t>
  </si>
  <si>
    <t>P0025</t>
  </si>
  <si>
    <t>P0083</t>
  </si>
  <si>
    <t>P0084</t>
  </si>
  <si>
    <t>P0052</t>
  </si>
  <si>
    <t>P0059</t>
  </si>
  <si>
    <t>P0094</t>
  </si>
  <si>
    <t>P0118</t>
  </si>
  <si>
    <t>P0119</t>
  </si>
  <si>
    <t>P0120</t>
  </si>
  <si>
    <t>P0131</t>
  </si>
  <si>
    <t>P0132</t>
  </si>
  <si>
    <t>P0137</t>
  </si>
  <si>
    <t>P0138</t>
  </si>
  <si>
    <t>P0139</t>
  </si>
  <si>
    <t>P0006</t>
  </si>
  <si>
    <t>P0017</t>
  </si>
  <si>
    <t>P0018</t>
  </si>
  <si>
    <t>P0085</t>
  </si>
  <si>
    <t>P0042</t>
  </si>
  <si>
    <t>P0043</t>
  </si>
  <si>
    <t>P0044</t>
  </si>
  <si>
    <t>P0053</t>
  </si>
  <si>
    <t>P0060</t>
  </si>
  <si>
    <t>P0087</t>
  </si>
  <si>
    <t>P0121</t>
  </si>
  <si>
    <t>P0122</t>
  </si>
  <si>
    <t>P0123</t>
  </si>
  <si>
    <t>P0013</t>
  </si>
  <si>
    <t>P0019</t>
  </si>
  <si>
    <t>07/08/2025</t>
  </si>
  <si>
    <t>P0045</t>
  </si>
  <si>
    <t>P0046</t>
  </si>
  <si>
    <t>P0047</t>
  </si>
  <si>
    <t>12/08/2025</t>
  </si>
  <si>
    <t>P0054</t>
  </si>
  <si>
    <t>P0061</t>
  </si>
  <si>
    <t>P0062</t>
  </si>
  <si>
    <t>P0088</t>
  </si>
  <si>
    <t>P0089</t>
  </si>
  <si>
    <t>P0090</t>
  </si>
  <si>
    <t>P0124</t>
  </si>
  <si>
    <t>P0125</t>
  </si>
  <si>
    <t>P0133</t>
  </si>
  <si>
    <t>P0134</t>
  </si>
  <si>
    <t>11/08/2025</t>
  </si>
  <si>
    <t>P0002</t>
  </si>
  <si>
    <t>P0007</t>
  </si>
  <si>
    <t>P0020</t>
  </si>
  <si>
    <t>P0021</t>
  </si>
  <si>
    <t>P0040</t>
  </si>
  <si>
    <t>P0048</t>
  </si>
  <si>
    <t>15/09/2025</t>
  </si>
  <si>
    <t>16/09/2025</t>
  </si>
  <si>
    <t>P0049</t>
  </si>
  <si>
    <t>21/09/2025</t>
  </si>
  <si>
    <t>P0091</t>
  </si>
  <si>
    <t>P0092</t>
  </si>
  <si>
    <t>P0126</t>
  </si>
  <si>
    <t>P0127</t>
  </si>
  <si>
    <t>P0135</t>
  </si>
  <si>
    <t>07/09/2025</t>
  </si>
  <si>
    <t>P0086</t>
  </si>
  <si>
    <t>P0104</t>
  </si>
  <si>
    <t>עודכן במרכז</t>
  </si>
  <si>
    <t>P0105</t>
  </si>
  <si>
    <t>P0041</t>
  </si>
  <si>
    <t>📈 היסטוריית שכר - מעקב אחר שינויי תעריפים</t>
  </si>
  <si>
    <t>💡 כל שינוי בתעריף יומי מתועד כאן. המערכת תשתמש בתעריף הנכון לפי תאריך השירות.</t>
  </si>
  <si>
    <t>תעריף יומי ₪</t>
  </si>
  <si>
    <t>תקף מתאריך</t>
  </si>
  <si>
    <t>תקף עד תאריך</t>
  </si>
  <si>
    <t>סוג שינוי</t>
  </si>
  <si>
    <t>הערות</t>
  </si>
  <si>
    <t>01/01/2024</t>
  </si>
  <si>
    <t>31/08/2024</t>
  </si>
  <si>
    <t>תעריף ראשוני</t>
  </si>
  <si>
    <t>לפני העלאה</t>
  </si>
  <si>
    <t>01/09/2024</t>
  </si>
  <si>
    <t>🔺 העלאת שכר</t>
  </si>
  <si>
    <t>שינוי מספטמבר 2024</t>
  </si>
  <si>
    <t>תעריף נוכחי</t>
  </si>
  <si>
    <t>שלמה יורם</t>
  </si>
  <si>
    <t>📝 הוראות שימוש: להוספת שינוי שכר - הוסף שורה חדשה עם התעריף החדש ועדכן את 'תקף עד תאריך' בשורה הקודמת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</si>
</sst>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2D5F3F"/>
      <name val="Arial"/>
      <family val="2"/>
    </font>
    <font>
      <b/>
      <sz val="12"/>
      <color rgb="FF528163"/>
      <name val="Arial"/>
      <family val="2"/>
    </font>
    <font>
      <b/>
      <sz val="11"/>
      <color rgb="FF2D5F3F"/>
      <name val="Arial"/>
      <family val="2"/>
    </font>
    <font>
      <b/>
      <sz val="11"/>
      <color rgb="FF27AE60"/>
      <name val="Arial"/>
      <family val="2"/>
    </font>
    <font>
      <b/>
      <sz val="12"/>
      <color rgb="FFFFFFFF"/>
      <name val="Arial"/>
      <family val="2"/>
    </font>
    <font>
      <b/>
      <sz val="11"/>
      <color rgb="FF27AE60"/>
      <name val="Arial"/>
      <family val="2"/>
    </font>
    <font>
      <i/>
      <sz val="10"/>
      <color rgb="FF636E72"/>
      <name val="Arial"/>
      <family val="2"/>
    </font>
    <font>
      <b/>
      <sz val="11"/>
      <color rgb="FFF39C12"/>
      <name val="Arial"/>
      <family val="2"/>
    </font>
    <font>
      <i/>
      <sz val="9"/>
      <color rgb="FF95A5A6"/>
      <name val="Arial"/>
      <family val="2"/>
    </font>
    <font>
      <b/>
      <sz val="11"/>
      <color rgb="FFFFFFFF"/>
      <name val="Assistant"/>
      <charset val="177"/>
    </font>
    <font>
      <b/>
      <sz val="11"/>
      <name val="Assistant"/>
      <charset val="177"/>
    </font>
    <font>
      <sz val="11"/>
      <color rgb="FFFF0000"/>
      <name val="Arial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b/>
      <sz val="11"/>
      <color rgb="FFFFFFFF"/>
      <name val="Assistant"/>
      <charset val="177"/>
    </font>
  </fonts>
  <fills count="7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3" fontId="8" fillId="5" borderId="1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right" vertical="center"/>
    </xf>
    <xf numFmtId="0" fontId="12" fillId="6" borderId="0" xfId="0" applyFont="1" applyFill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13" fillId="6" borderId="0" xfId="0" applyFont="1" applyFill="1"/>
    <xf numFmtId="2" fontId="0" fillId="0" borderId="1" xfId="0" applyNumberFormat="1" applyBorder="1" applyAlignment="1">
      <alignment horizontal="right" vertical="center"/>
    </xf>
    <xf numFmtId="14" fontId="0" fillId="0" borderId="0" xfId="0" applyNumberFormat="1"/>
    <xf numFmtId="17" fontId="0" fillId="0" borderId="0" xfId="0" applyNumberFormat="1"/>
    <xf numFmtId="49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0" xfId="0" applyNumberFormat="1"/>
    <xf numFmtId="0" fontId="14" fillId="0" borderId="1" xfId="0" applyFont="1" applyBorder="1" applyAlignment="1">
      <alignment horizontal="right" vertical="center"/>
    </xf>
    <xf numFmtId="2" fontId="14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4" fontId="14" fillId="0" borderId="0" xfId="0" applyNumberFormat="1" applyFont="1" applyAlignment="1">
      <alignment horizontal="left"/>
    </xf>
    <xf numFmtId="3" fontId="17" fillId="0" borderId="0" xfId="0" applyNumberFormat="1" applyFont="1" applyAlignment="1">
      <alignment horizontal="right" vertical="center"/>
    </xf>
    <xf numFmtId="0" fontId="18" fillId="6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right" vertical="top"/>
    </xf>
    <xf numFmtId="49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/>
  </sheetViews>
  <sheetFormatPr defaultRowHeight="14.25" x14ac:dyDescent="0.2"/>
  <sheetData>
    <row r="1" spans="1:1" ht="15" customHeight="1" x14ac:dyDescent="0.25">
      <c r="A1" s="2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9"/>
  <sheetViews>
    <sheetView rightToLeft="1" tabSelected="1" topLeftCell="A73" workbookViewId="0">
      <selection activeCell="A89" sqref="A89"/>
    </sheetView>
  </sheetViews>
  <sheetFormatPr defaultRowHeight="14.25" x14ac:dyDescent="0.2"/>
  <cols>
    <col min="1" max="1" width="100" customWidth="1"/>
  </cols>
  <sheetData>
    <row r="1" spans="1:1" ht="20.100000000000001" customHeight="1" x14ac:dyDescent="0.2">
      <c r="A1" s="4" t="s">
        <v>37</v>
      </c>
    </row>
    <row r="2" spans="1:1" ht="20.100000000000001" customHeight="1" x14ac:dyDescent="0.2">
      <c r="A2" s="4" t="s">
        <v>38</v>
      </c>
    </row>
    <row r="3" spans="1:1" ht="20.100000000000001" customHeight="1" x14ac:dyDescent="0.2">
      <c r="A3" s="5"/>
    </row>
    <row r="4" spans="1:1" ht="20.100000000000001" customHeight="1" x14ac:dyDescent="0.2">
      <c r="A4" s="6" t="s">
        <v>39</v>
      </c>
    </row>
    <row r="5" spans="1:1" ht="20.100000000000001" customHeight="1" x14ac:dyDescent="0.2">
      <c r="A5" s="5" t="s">
        <v>40</v>
      </c>
    </row>
    <row r="6" spans="1:1" ht="20.100000000000001" customHeight="1" x14ac:dyDescent="0.2">
      <c r="A6" s="5" t="s">
        <v>41</v>
      </c>
    </row>
    <row r="7" spans="1:1" ht="20.100000000000001" customHeight="1" x14ac:dyDescent="0.2">
      <c r="A7" s="5" t="s">
        <v>42</v>
      </c>
    </row>
    <row r="8" spans="1:1" ht="20.100000000000001" customHeight="1" x14ac:dyDescent="0.2">
      <c r="A8" s="5" t="s">
        <v>43</v>
      </c>
    </row>
    <row r="9" spans="1:1" ht="20.100000000000001" customHeight="1" x14ac:dyDescent="0.2">
      <c r="A9" s="5" t="s">
        <v>44</v>
      </c>
    </row>
    <row r="10" spans="1:1" ht="20.100000000000001" customHeight="1" x14ac:dyDescent="0.2">
      <c r="A10" s="5"/>
    </row>
    <row r="11" spans="1:1" ht="20.100000000000001" customHeight="1" x14ac:dyDescent="0.2">
      <c r="A11" s="5" t="s">
        <v>45</v>
      </c>
    </row>
    <row r="12" spans="1:1" ht="20.100000000000001" customHeight="1" x14ac:dyDescent="0.2">
      <c r="A12" s="5"/>
    </row>
    <row r="13" spans="1:1" ht="20.100000000000001" customHeight="1" x14ac:dyDescent="0.2">
      <c r="A13" s="6" t="s">
        <v>46</v>
      </c>
    </row>
    <row r="14" spans="1:1" ht="20.100000000000001" customHeight="1" x14ac:dyDescent="0.2">
      <c r="A14" s="5"/>
    </row>
    <row r="15" spans="1:1" ht="20.100000000000001" customHeight="1" x14ac:dyDescent="0.2">
      <c r="A15" s="7" t="s">
        <v>47</v>
      </c>
    </row>
    <row r="16" spans="1:1" ht="20.100000000000001" customHeight="1" x14ac:dyDescent="0.2">
      <c r="A16" s="5" t="s">
        <v>48</v>
      </c>
    </row>
    <row r="17" spans="1:1" ht="20.100000000000001" customHeight="1" x14ac:dyDescent="0.2">
      <c r="A17" s="5" t="s">
        <v>49</v>
      </c>
    </row>
    <row r="18" spans="1:1" ht="20.100000000000001" customHeight="1" x14ac:dyDescent="0.2">
      <c r="A18" s="5" t="s">
        <v>50</v>
      </c>
    </row>
    <row r="19" spans="1:1" ht="20.100000000000001" customHeight="1" x14ac:dyDescent="0.2">
      <c r="A19" s="5"/>
    </row>
    <row r="20" spans="1:1" ht="20.100000000000001" customHeight="1" x14ac:dyDescent="0.2">
      <c r="A20" s="7" t="s">
        <v>51</v>
      </c>
    </row>
    <row r="21" spans="1:1" ht="20.100000000000001" customHeight="1" x14ac:dyDescent="0.2">
      <c r="A21" s="5" t="s">
        <v>52</v>
      </c>
    </row>
    <row r="22" spans="1:1" ht="20.100000000000001" customHeight="1" x14ac:dyDescent="0.2">
      <c r="A22" s="5" t="s">
        <v>53</v>
      </c>
    </row>
    <row r="23" spans="1:1" ht="20.100000000000001" customHeight="1" x14ac:dyDescent="0.2">
      <c r="A23" s="5" t="s">
        <v>54</v>
      </c>
    </row>
    <row r="24" spans="1:1" ht="20.100000000000001" customHeight="1" x14ac:dyDescent="0.2">
      <c r="A24" s="5" t="s">
        <v>55</v>
      </c>
    </row>
    <row r="25" spans="1:1" ht="20.100000000000001" customHeight="1" x14ac:dyDescent="0.2">
      <c r="A25" s="5"/>
    </row>
    <row r="26" spans="1:1" ht="20.100000000000001" customHeight="1" x14ac:dyDescent="0.2">
      <c r="A26" s="7" t="s">
        <v>56</v>
      </c>
    </row>
    <row r="27" spans="1:1" ht="20.100000000000001" customHeight="1" x14ac:dyDescent="0.2">
      <c r="A27" s="5" t="s">
        <v>57</v>
      </c>
    </row>
    <row r="28" spans="1:1" ht="20.100000000000001" customHeight="1" x14ac:dyDescent="0.2">
      <c r="A28" s="5" t="s">
        <v>58</v>
      </c>
    </row>
    <row r="29" spans="1:1" ht="20.100000000000001" customHeight="1" x14ac:dyDescent="0.2">
      <c r="A29" s="5" t="s">
        <v>59</v>
      </c>
    </row>
    <row r="30" spans="1:1" ht="20.100000000000001" customHeight="1" x14ac:dyDescent="0.2">
      <c r="A30" s="5" t="s">
        <v>60</v>
      </c>
    </row>
    <row r="31" spans="1:1" ht="20.100000000000001" customHeight="1" x14ac:dyDescent="0.2">
      <c r="A31" s="5" t="s">
        <v>61</v>
      </c>
    </row>
    <row r="32" spans="1:1" ht="20.100000000000001" customHeight="1" x14ac:dyDescent="0.2">
      <c r="A32" s="5" t="s">
        <v>62</v>
      </c>
    </row>
    <row r="33" spans="1:1" ht="20.100000000000001" customHeight="1" x14ac:dyDescent="0.2">
      <c r="A33" s="5" t="s">
        <v>63</v>
      </c>
    </row>
    <row r="34" spans="1:1" ht="20.100000000000001" customHeight="1" x14ac:dyDescent="0.2">
      <c r="A34" s="5"/>
    </row>
    <row r="35" spans="1:1" ht="20.100000000000001" customHeight="1" x14ac:dyDescent="0.2">
      <c r="A35" s="7" t="s">
        <v>64</v>
      </c>
    </row>
    <row r="36" spans="1:1" ht="20.100000000000001" customHeight="1" x14ac:dyDescent="0.2">
      <c r="A36" s="5" t="s">
        <v>65</v>
      </c>
    </row>
    <row r="37" spans="1:1" ht="20.100000000000001" customHeight="1" x14ac:dyDescent="0.2">
      <c r="A37" s="5" t="s">
        <v>66</v>
      </c>
    </row>
    <row r="38" spans="1:1" ht="20.100000000000001" customHeight="1" x14ac:dyDescent="0.2">
      <c r="A38" s="5" t="s">
        <v>67</v>
      </c>
    </row>
    <row r="39" spans="1:1" ht="20.100000000000001" customHeight="1" x14ac:dyDescent="0.2">
      <c r="A39" s="5" t="s">
        <v>68</v>
      </c>
    </row>
    <row r="40" spans="1:1" ht="20.100000000000001" customHeight="1" x14ac:dyDescent="0.2">
      <c r="A40" s="5" t="s">
        <v>69</v>
      </c>
    </row>
    <row r="41" spans="1:1" ht="20.100000000000001" customHeight="1" x14ac:dyDescent="0.2">
      <c r="A41" s="5" t="s">
        <v>70</v>
      </c>
    </row>
    <row r="42" spans="1:1" ht="20.100000000000001" customHeight="1" x14ac:dyDescent="0.2">
      <c r="A42" s="5"/>
    </row>
    <row r="43" spans="1:1" ht="20.100000000000001" customHeight="1" x14ac:dyDescent="0.2">
      <c r="A43" s="5" t="s">
        <v>45</v>
      </c>
    </row>
    <row r="44" spans="1:1" ht="20.100000000000001" customHeight="1" x14ac:dyDescent="0.2">
      <c r="A44" s="5"/>
    </row>
    <row r="45" spans="1:1" ht="20.100000000000001" customHeight="1" x14ac:dyDescent="0.2">
      <c r="A45" s="6" t="s">
        <v>71</v>
      </c>
    </row>
    <row r="46" spans="1:1" ht="20.100000000000001" customHeight="1" x14ac:dyDescent="0.2">
      <c r="A46" s="5"/>
    </row>
    <row r="47" spans="1:1" ht="20.100000000000001" customHeight="1" x14ac:dyDescent="0.2">
      <c r="A47" s="5" t="s">
        <v>72</v>
      </c>
    </row>
    <row r="48" spans="1:1" ht="20.100000000000001" customHeight="1" x14ac:dyDescent="0.2">
      <c r="A48" s="5" t="s">
        <v>73</v>
      </c>
    </row>
    <row r="49" spans="1:1" ht="20.100000000000001" customHeight="1" x14ac:dyDescent="0.2">
      <c r="A49" s="5" t="s">
        <v>74</v>
      </c>
    </row>
    <row r="50" spans="1:1" ht="20.100000000000001" customHeight="1" x14ac:dyDescent="0.2">
      <c r="A50" s="5" t="s">
        <v>75</v>
      </c>
    </row>
    <row r="51" spans="1:1" ht="20.100000000000001" customHeight="1" x14ac:dyDescent="0.2">
      <c r="A51" s="5"/>
    </row>
    <row r="52" spans="1:1" ht="20.100000000000001" customHeight="1" x14ac:dyDescent="0.2">
      <c r="A52" s="5" t="s">
        <v>45</v>
      </c>
    </row>
    <row r="53" spans="1:1" ht="20.100000000000001" customHeight="1" x14ac:dyDescent="0.2">
      <c r="A53" s="5"/>
    </row>
    <row r="54" spans="1:1" ht="20.100000000000001" customHeight="1" x14ac:dyDescent="0.2">
      <c r="A54" s="6" t="s">
        <v>76</v>
      </c>
    </row>
    <row r="55" spans="1:1" ht="20.100000000000001" customHeight="1" x14ac:dyDescent="0.2">
      <c r="A55" s="5"/>
    </row>
    <row r="56" spans="1:1" ht="20.100000000000001" customHeight="1" x14ac:dyDescent="0.2">
      <c r="A56" s="5" t="s">
        <v>77</v>
      </c>
    </row>
    <row r="57" spans="1:1" ht="20.100000000000001" customHeight="1" x14ac:dyDescent="0.2">
      <c r="A57" s="5" t="s">
        <v>78</v>
      </c>
    </row>
    <row r="58" spans="1:1" ht="20.100000000000001" customHeight="1" x14ac:dyDescent="0.2">
      <c r="A58" s="5" t="s">
        <v>79</v>
      </c>
    </row>
    <row r="59" spans="1:1" ht="20.100000000000001" customHeight="1" x14ac:dyDescent="0.2">
      <c r="A59" s="5" t="s">
        <v>80</v>
      </c>
    </row>
    <row r="60" spans="1:1" ht="20.100000000000001" customHeight="1" x14ac:dyDescent="0.2">
      <c r="A60" s="5" t="s">
        <v>81</v>
      </c>
    </row>
    <row r="61" spans="1:1" ht="20.100000000000001" customHeight="1" x14ac:dyDescent="0.2">
      <c r="A61" s="5" t="s">
        <v>82</v>
      </c>
    </row>
    <row r="62" spans="1:1" ht="20.100000000000001" customHeight="1" x14ac:dyDescent="0.2">
      <c r="A62" s="5"/>
    </row>
    <row r="63" spans="1:1" ht="20.100000000000001" customHeight="1" x14ac:dyDescent="0.2">
      <c r="A63" s="5" t="s">
        <v>45</v>
      </c>
    </row>
    <row r="64" spans="1:1" ht="20.100000000000001" customHeight="1" x14ac:dyDescent="0.2">
      <c r="A64" s="5"/>
    </row>
    <row r="65" spans="1:1" ht="20.100000000000001" customHeight="1" x14ac:dyDescent="0.2">
      <c r="A65" s="6" t="s">
        <v>83</v>
      </c>
    </row>
    <row r="66" spans="1:1" ht="20.100000000000001" customHeight="1" x14ac:dyDescent="0.2">
      <c r="A66" s="5"/>
    </row>
    <row r="67" spans="1:1" ht="20.100000000000001" customHeight="1" x14ac:dyDescent="0.2">
      <c r="A67" s="5" t="s">
        <v>84</v>
      </c>
    </row>
    <row r="68" spans="1:1" ht="20.100000000000001" customHeight="1" x14ac:dyDescent="0.2">
      <c r="A68" s="5" t="s">
        <v>85</v>
      </c>
    </row>
    <row r="69" spans="1:1" ht="20.100000000000001" customHeight="1" x14ac:dyDescent="0.2">
      <c r="A69" s="5"/>
    </row>
    <row r="70" spans="1:1" ht="20.100000000000001" customHeight="1" x14ac:dyDescent="0.2">
      <c r="A70" s="5" t="s">
        <v>86</v>
      </c>
    </row>
    <row r="71" spans="1:1" ht="20.100000000000001" customHeight="1" x14ac:dyDescent="0.2">
      <c r="A71" s="5" t="s">
        <v>87</v>
      </c>
    </row>
    <row r="72" spans="1:1" ht="20.100000000000001" customHeight="1" x14ac:dyDescent="0.2">
      <c r="A72" s="5"/>
    </row>
    <row r="73" spans="1:1" ht="20.100000000000001" customHeight="1" x14ac:dyDescent="0.2">
      <c r="A73" s="5" t="s">
        <v>88</v>
      </c>
    </row>
    <row r="74" spans="1:1" ht="20.100000000000001" customHeight="1" x14ac:dyDescent="0.2">
      <c r="A74" s="5" t="s">
        <v>89</v>
      </c>
    </row>
    <row r="75" spans="1:1" ht="20.100000000000001" customHeight="1" x14ac:dyDescent="0.2">
      <c r="A75" s="5" t="s">
        <v>90</v>
      </c>
    </row>
    <row r="76" spans="1:1" ht="20.100000000000001" customHeight="1" x14ac:dyDescent="0.2">
      <c r="A76" s="5"/>
    </row>
    <row r="77" spans="1:1" ht="20.100000000000001" customHeight="1" x14ac:dyDescent="0.2">
      <c r="A77" s="5" t="s">
        <v>45</v>
      </c>
    </row>
    <row r="78" spans="1:1" ht="20.100000000000001" customHeight="1" x14ac:dyDescent="0.2">
      <c r="A78" s="5"/>
    </row>
    <row r="79" spans="1:1" ht="20.100000000000001" customHeight="1" x14ac:dyDescent="0.2">
      <c r="A79" s="5" t="s">
        <v>91</v>
      </c>
    </row>
    <row r="80" spans="1:1" ht="20.100000000000001" customHeight="1" x14ac:dyDescent="0.2">
      <c r="A80" s="5" t="s">
        <v>92</v>
      </c>
    </row>
    <row r="81" spans="1:1" ht="20.100000000000001" customHeight="1" x14ac:dyDescent="0.2">
      <c r="A81" s="5" t="s">
        <v>93</v>
      </c>
    </row>
    <row r="84" spans="1:1" ht="18" customHeight="1" x14ac:dyDescent="0.25">
      <c r="A84" s="20" t="s">
        <v>94</v>
      </c>
    </row>
    <row r="85" spans="1:1" x14ac:dyDescent="0.2">
      <c r="A85" t="s">
        <v>95</v>
      </c>
    </row>
    <row r="86" spans="1:1" x14ac:dyDescent="0.2">
      <c r="A86" t="s">
        <v>96</v>
      </c>
    </row>
    <row r="87" spans="1:1" x14ac:dyDescent="0.2">
      <c r="A87" t="s">
        <v>97</v>
      </c>
    </row>
    <row r="88" spans="1:1" x14ac:dyDescent="0.2">
      <c r="A88" t="s">
        <v>98</v>
      </c>
    </row>
    <row r="89" spans="1:1" x14ac:dyDescent="0.2">
      <c r="A89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rightToLeft="1" workbookViewId="0">
      <pane ySplit="1" topLeftCell="A2" activePane="bottomLeft" state="frozen"/>
      <selection pane="bottomLeft" activeCell="G15" sqref="G15"/>
    </sheetView>
  </sheetViews>
  <sheetFormatPr defaultRowHeight="14.25" x14ac:dyDescent="0.2"/>
  <cols>
    <col min="1" max="1" width="9.875" bestFit="1" customWidth="1"/>
    <col min="2" max="2" width="10" customWidth="1"/>
    <col min="3" max="3" width="15" customWidth="1"/>
    <col min="4" max="4" width="21" customWidth="1"/>
    <col min="5" max="5" width="8" customWidth="1"/>
    <col min="6" max="6" width="16" customWidth="1"/>
    <col min="7" max="7" width="13" customWidth="1"/>
    <col min="8" max="8" width="6" customWidth="1"/>
    <col min="9" max="9" width="13" customWidth="1"/>
    <col min="10" max="10" width="8" customWidth="1"/>
  </cols>
  <sheetData>
    <row r="1" spans="1:10" ht="24.95" customHeight="1" x14ac:dyDescent="0.2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">
      <c r="A2" s="2">
        <v>211877550</v>
      </c>
      <c r="B2" s="2" t="s">
        <v>110</v>
      </c>
      <c r="C2" s="2" t="s">
        <v>111</v>
      </c>
      <c r="D2" s="2" t="s">
        <v>112</v>
      </c>
      <c r="E2" s="2" t="s">
        <v>113</v>
      </c>
      <c r="F2" s="2">
        <v>18717</v>
      </c>
      <c r="G2" s="2">
        <v>863.72865712967234</v>
      </c>
      <c r="H2" s="2"/>
      <c r="I2" s="2"/>
      <c r="J2" s="2" t="s">
        <v>114</v>
      </c>
    </row>
    <row r="3" spans="1:10" x14ac:dyDescent="0.2">
      <c r="A3" s="2">
        <v>37643772</v>
      </c>
      <c r="B3" s="2" t="s">
        <v>115</v>
      </c>
      <c r="C3" s="2" t="s">
        <v>116</v>
      </c>
      <c r="D3" s="2" t="s">
        <v>117</v>
      </c>
      <c r="E3" s="2" t="s">
        <v>118</v>
      </c>
      <c r="F3" s="2">
        <v>24026</v>
      </c>
      <c r="G3" s="2">
        <v>1108.7217351176739</v>
      </c>
      <c r="H3" s="2"/>
      <c r="I3" s="2"/>
      <c r="J3" s="2" t="s">
        <v>114</v>
      </c>
    </row>
    <row r="4" spans="1:10" x14ac:dyDescent="0.2">
      <c r="A4" s="2">
        <v>28027738</v>
      </c>
      <c r="B4" s="2" t="s">
        <v>119</v>
      </c>
      <c r="C4" s="2" t="s">
        <v>120</v>
      </c>
      <c r="D4" s="2" t="s">
        <v>121</v>
      </c>
      <c r="E4" s="2" t="s">
        <v>113</v>
      </c>
      <c r="F4" s="2">
        <v>20500</v>
      </c>
      <c r="G4" s="2">
        <v>946.00830641439768</v>
      </c>
      <c r="H4" s="2"/>
      <c r="I4" s="2"/>
      <c r="J4" s="2" t="s">
        <v>122</v>
      </c>
    </row>
    <row r="5" spans="1:10" x14ac:dyDescent="0.2">
      <c r="A5" s="2">
        <v>203661004</v>
      </c>
      <c r="B5" s="2" t="s">
        <v>123</v>
      </c>
      <c r="C5" s="2" t="s">
        <v>124</v>
      </c>
      <c r="D5" s="2" t="s">
        <v>125</v>
      </c>
      <c r="E5" s="2" t="s">
        <v>118</v>
      </c>
      <c r="F5" s="2">
        <v>18828</v>
      </c>
      <c r="G5" s="2">
        <v>868.85094600830632</v>
      </c>
      <c r="H5" s="2"/>
      <c r="I5" s="2"/>
      <c r="J5" s="2" t="s">
        <v>114</v>
      </c>
    </row>
    <row r="6" spans="1:10" x14ac:dyDescent="0.2">
      <c r="A6" s="2">
        <v>315919936</v>
      </c>
      <c r="B6" s="2" t="s">
        <v>126</v>
      </c>
      <c r="C6" s="2" t="s">
        <v>127</v>
      </c>
      <c r="D6" s="2" t="s">
        <v>128</v>
      </c>
      <c r="E6" s="2" t="s">
        <v>118</v>
      </c>
      <c r="F6" s="2">
        <v>14532</v>
      </c>
      <c r="G6" s="2">
        <v>670.60452238117205</v>
      </c>
      <c r="H6" s="2"/>
      <c r="I6" s="2"/>
      <c r="J6" s="2" t="s">
        <v>114</v>
      </c>
    </row>
    <row r="7" spans="1:10" x14ac:dyDescent="0.2">
      <c r="A7" s="2">
        <v>69304962</v>
      </c>
      <c r="B7" s="2" t="s">
        <v>129</v>
      </c>
      <c r="C7" s="2" t="s">
        <v>130</v>
      </c>
      <c r="D7" s="2" t="s">
        <v>131</v>
      </c>
      <c r="E7" s="2" t="s">
        <v>118</v>
      </c>
      <c r="F7" s="2">
        <v>20586.599999999999</v>
      </c>
      <c r="G7" s="2">
        <v>950.00461467466528</v>
      </c>
      <c r="H7" s="2"/>
      <c r="I7" s="2"/>
      <c r="J7" s="2" t="s">
        <v>114</v>
      </c>
    </row>
    <row r="8" spans="1:10" x14ac:dyDescent="0.2">
      <c r="A8" s="2">
        <v>25474677</v>
      </c>
      <c r="B8" s="2" t="s">
        <v>132</v>
      </c>
      <c r="C8" s="2" t="s">
        <v>133</v>
      </c>
      <c r="D8" s="2" t="s">
        <v>134</v>
      </c>
      <c r="E8" s="2" t="s">
        <v>135</v>
      </c>
      <c r="F8" s="2">
        <v>27791</v>
      </c>
      <c r="G8" s="2">
        <v>1282.464236271343</v>
      </c>
      <c r="H8" s="2"/>
      <c r="I8" s="2"/>
      <c r="J8" s="2" t="s">
        <v>136</v>
      </c>
    </row>
    <row r="9" spans="1:10" x14ac:dyDescent="0.2">
      <c r="A9" s="2">
        <v>22201347</v>
      </c>
      <c r="B9" s="2" t="s">
        <v>137</v>
      </c>
      <c r="C9" s="2" t="s">
        <v>138</v>
      </c>
      <c r="D9" s="2" t="s">
        <v>139</v>
      </c>
      <c r="E9" s="2" t="s">
        <v>135</v>
      </c>
      <c r="F9" s="2">
        <v>23754</v>
      </c>
      <c r="G9" s="2">
        <v>1096.169820027688</v>
      </c>
      <c r="H9" s="2"/>
      <c r="I9" s="2"/>
      <c r="J9" s="2" t="s">
        <v>114</v>
      </c>
    </row>
    <row r="10" spans="1:10" x14ac:dyDescent="0.2">
      <c r="A10" s="2">
        <v>322131285</v>
      </c>
      <c r="B10" s="2" t="s">
        <v>140</v>
      </c>
      <c r="C10" s="2" t="s">
        <v>141</v>
      </c>
      <c r="D10" s="2" t="s">
        <v>142</v>
      </c>
      <c r="E10" s="2" t="s">
        <v>113</v>
      </c>
      <c r="F10" s="2">
        <v>18077</v>
      </c>
      <c r="G10" s="2">
        <v>834.19473927088131</v>
      </c>
      <c r="H10" s="2"/>
      <c r="I10" s="2"/>
      <c r="J10" s="2" t="s">
        <v>114</v>
      </c>
    </row>
    <row r="11" spans="1:10" x14ac:dyDescent="0.2">
      <c r="A11" s="2">
        <v>209501998</v>
      </c>
      <c r="B11" s="2" t="s">
        <v>143</v>
      </c>
      <c r="C11" s="2" t="s">
        <v>144</v>
      </c>
      <c r="D11" s="2" t="s">
        <v>145</v>
      </c>
      <c r="E11" s="2" t="s">
        <v>135</v>
      </c>
      <c r="F11" s="2">
        <v>15825</v>
      </c>
      <c r="G11" s="2">
        <v>730.27226580526064</v>
      </c>
      <c r="H11" s="2"/>
      <c r="I11" s="2"/>
      <c r="J11" s="2" t="s">
        <v>146</v>
      </c>
    </row>
    <row r="12" spans="1:10" x14ac:dyDescent="0.2">
      <c r="A12" s="2">
        <v>308280510</v>
      </c>
      <c r="B12" s="2" t="s">
        <v>147</v>
      </c>
      <c r="C12" s="2" t="s">
        <v>148</v>
      </c>
      <c r="D12" s="2" t="s">
        <v>149</v>
      </c>
      <c r="E12" s="2" t="s">
        <v>113</v>
      </c>
      <c r="F12" s="2">
        <v>17921</v>
      </c>
      <c r="G12" s="2">
        <v>826.99584679280099</v>
      </c>
      <c r="H12" s="2"/>
      <c r="I12" s="2"/>
      <c r="J12" s="2" t="s">
        <v>114</v>
      </c>
    </row>
    <row r="13" spans="1:10" x14ac:dyDescent="0.2">
      <c r="A13" s="2">
        <v>11915519</v>
      </c>
      <c r="B13" s="2" t="s">
        <v>150</v>
      </c>
      <c r="C13" s="2" t="s">
        <v>151</v>
      </c>
      <c r="D13" s="2" t="s">
        <v>152</v>
      </c>
      <c r="E13" s="2" t="s">
        <v>113</v>
      </c>
      <c r="F13" s="2">
        <v>18822</v>
      </c>
      <c r="G13" s="2">
        <v>868.57406552838017</v>
      </c>
      <c r="H13" s="2"/>
      <c r="I13" s="2"/>
      <c r="J13" s="2" t="s">
        <v>114</v>
      </c>
    </row>
    <row r="14" spans="1:10" x14ac:dyDescent="0.2">
      <c r="A14" s="2">
        <v>25147505</v>
      </c>
      <c r="B14" s="2" t="s">
        <v>153</v>
      </c>
      <c r="C14" s="2" t="s">
        <v>154</v>
      </c>
      <c r="D14" s="2" t="s">
        <v>155</v>
      </c>
      <c r="E14" s="2" t="s">
        <v>113</v>
      </c>
      <c r="F14" s="2">
        <v>20150</v>
      </c>
      <c r="G14" s="2">
        <v>929.85694508537142</v>
      </c>
      <c r="H14" s="2"/>
      <c r="I14" s="2"/>
      <c r="J14" s="2" t="s">
        <v>114</v>
      </c>
    </row>
    <row r="15" spans="1:10" x14ac:dyDescent="0.2">
      <c r="A15" s="2">
        <v>25342445</v>
      </c>
      <c r="B15" s="2" t="s">
        <v>153</v>
      </c>
      <c r="C15" s="2" t="s">
        <v>156</v>
      </c>
      <c r="D15" s="2" t="s">
        <v>157</v>
      </c>
      <c r="E15" s="2" t="s">
        <v>135</v>
      </c>
      <c r="F15" s="2">
        <v>19826</v>
      </c>
      <c r="G15" s="2">
        <v>914.90539916935847</v>
      </c>
      <c r="H15" s="2"/>
      <c r="I15" s="2"/>
      <c r="J15" s="2" t="s">
        <v>114</v>
      </c>
    </row>
    <row r="16" spans="1:10" x14ac:dyDescent="0.2">
      <c r="A16" s="2">
        <v>25155235</v>
      </c>
      <c r="B16" s="2" t="s">
        <v>158</v>
      </c>
      <c r="C16" s="2" t="s">
        <v>159</v>
      </c>
      <c r="D16" s="2" t="s">
        <v>160</v>
      </c>
      <c r="E16" s="2" t="s">
        <v>135</v>
      </c>
      <c r="F16" s="2">
        <v>19825</v>
      </c>
      <c r="G16" s="2">
        <v>914.85925242270412</v>
      </c>
      <c r="H16" s="2"/>
      <c r="I16" s="2"/>
      <c r="J16" s="2" t="s">
        <v>114</v>
      </c>
    </row>
    <row r="17" spans="1:10" x14ac:dyDescent="0.2">
      <c r="A17" s="2">
        <v>315536524</v>
      </c>
      <c r="B17" s="2" t="s">
        <v>161</v>
      </c>
      <c r="C17" s="2" t="s">
        <v>162</v>
      </c>
      <c r="D17" s="2" t="s">
        <v>163</v>
      </c>
      <c r="E17" s="2" t="s">
        <v>113</v>
      </c>
      <c r="F17" s="2">
        <v>17601</v>
      </c>
      <c r="G17" s="2">
        <v>812.22888786340559</v>
      </c>
      <c r="H17" s="2"/>
      <c r="I17" s="2"/>
      <c r="J17" s="2" t="s">
        <v>114</v>
      </c>
    </row>
    <row r="18" spans="1:10" x14ac:dyDescent="0.2">
      <c r="A18">
        <v>32345035</v>
      </c>
      <c r="B18" t="s">
        <v>113</v>
      </c>
      <c r="C18" t="s">
        <v>164</v>
      </c>
      <c r="D18" t="s">
        <v>165</v>
      </c>
      <c r="E18" t="s">
        <v>118</v>
      </c>
      <c r="F18">
        <v>17670</v>
      </c>
      <c r="G18">
        <v>815.41301338255641</v>
      </c>
      <c r="J18" t="s">
        <v>114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rightToLeft="1" topLeftCell="B1" workbookViewId="0">
      <selection activeCell="G10" sqref="G10"/>
    </sheetView>
  </sheetViews>
  <sheetFormatPr defaultRowHeight="14.25" x14ac:dyDescent="0.2"/>
  <cols>
    <col min="1" max="1" width="12" customWidth="1"/>
    <col min="2" max="2" width="18" customWidth="1"/>
    <col min="3" max="5" width="15" customWidth="1"/>
    <col min="6" max="6" width="18" customWidth="1"/>
    <col min="7" max="7" width="29.25" bestFit="1" customWidth="1"/>
  </cols>
  <sheetData>
    <row r="1" spans="1:7" ht="30" customHeight="1" x14ac:dyDescent="0.2">
      <c r="A1" s="10" t="s">
        <v>366</v>
      </c>
      <c r="B1" s="10" t="s">
        <v>175</v>
      </c>
      <c r="C1" s="10" t="s">
        <v>170</v>
      </c>
      <c r="D1" s="10" t="s">
        <v>171</v>
      </c>
      <c r="E1" s="10" t="s">
        <v>172</v>
      </c>
      <c r="F1" s="10" t="s">
        <v>367</v>
      </c>
      <c r="G1" s="37" t="s">
        <v>368</v>
      </c>
    </row>
    <row r="2" spans="1:7" ht="15" customHeight="1" x14ac:dyDescent="0.2">
      <c r="A2">
        <v>203</v>
      </c>
      <c r="B2" t="s">
        <v>179</v>
      </c>
      <c r="C2" s="14">
        <v>48622</v>
      </c>
      <c r="D2" s="14">
        <v>8587</v>
      </c>
      <c r="E2" s="14">
        <v>0</v>
      </c>
      <c r="F2" s="14">
        <v>57209</v>
      </c>
    </row>
    <row r="3" spans="1:7" ht="15" customHeight="1" x14ac:dyDescent="0.2">
      <c r="A3">
        <v>204</v>
      </c>
      <c r="B3" t="s">
        <v>179</v>
      </c>
      <c r="C3" s="14">
        <v>581</v>
      </c>
      <c r="D3" s="14">
        <v>0</v>
      </c>
      <c r="E3" s="14">
        <v>0</v>
      </c>
      <c r="F3" s="14">
        <v>581</v>
      </c>
    </row>
    <row r="4" spans="1:7" ht="15" customHeight="1" x14ac:dyDescent="0.2">
      <c r="A4">
        <v>408</v>
      </c>
      <c r="B4" t="s">
        <v>213</v>
      </c>
      <c r="C4" s="14">
        <v>25634</v>
      </c>
      <c r="D4" s="14">
        <v>4516</v>
      </c>
      <c r="E4" s="14">
        <v>0</v>
      </c>
      <c r="F4" s="14">
        <v>30150</v>
      </c>
    </row>
    <row r="5" spans="1:7" ht="17.25" customHeight="1" x14ac:dyDescent="0.2">
      <c r="A5">
        <v>410</v>
      </c>
      <c r="B5" t="s">
        <v>268</v>
      </c>
      <c r="C5" s="14">
        <v>0</v>
      </c>
      <c r="D5" s="14">
        <v>0</v>
      </c>
      <c r="E5" s="14">
        <v>6209</v>
      </c>
      <c r="F5" s="14">
        <f>SUM(C5:E5)</f>
        <v>6209</v>
      </c>
      <c r="G5" s="27" t="s">
        <v>369</v>
      </c>
    </row>
    <row r="6" spans="1:7" ht="17.25" customHeight="1" x14ac:dyDescent="0.2">
      <c r="B6" s="39">
        <v>45777</v>
      </c>
      <c r="C6" s="40">
        <v>103440</v>
      </c>
      <c r="D6" s="40">
        <f>15441+257</f>
        <v>15698</v>
      </c>
      <c r="E6" s="40"/>
      <c r="F6" s="40">
        <f>SUM(C6:E6)</f>
        <v>119138</v>
      </c>
      <c r="G6" s="27"/>
    </row>
    <row r="7" spans="1:7" ht="15" customHeight="1" x14ac:dyDescent="0.2">
      <c r="A7">
        <v>510</v>
      </c>
      <c r="B7" t="s">
        <v>273</v>
      </c>
      <c r="C7" s="14">
        <v>0</v>
      </c>
      <c r="D7" s="14">
        <v>0</v>
      </c>
      <c r="E7" s="14">
        <v>19639</v>
      </c>
      <c r="F7" s="14">
        <f>SUM(C7:E7)</f>
        <v>19639</v>
      </c>
    </row>
    <row r="8" spans="1:7" ht="15" customHeight="1" x14ac:dyDescent="0.2">
      <c r="A8">
        <v>610</v>
      </c>
      <c r="B8" t="s">
        <v>266</v>
      </c>
      <c r="C8" s="14">
        <v>0</v>
      </c>
      <c r="D8" s="14">
        <v>0</v>
      </c>
      <c r="E8" s="14">
        <v>4389</v>
      </c>
      <c r="F8" s="14">
        <f>SUM(C8:E8)</f>
        <v>4389</v>
      </c>
      <c r="G8" s="27" t="s">
        <v>369</v>
      </c>
    </row>
    <row r="9" spans="1:7" ht="15" customHeight="1" x14ac:dyDescent="0.2">
      <c r="A9">
        <v>802</v>
      </c>
      <c r="B9" t="s">
        <v>229</v>
      </c>
      <c r="C9" s="14">
        <v>112299</v>
      </c>
      <c r="D9" s="14">
        <v>21358</v>
      </c>
      <c r="E9" s="14">
        <v>0</v>
      </c>
      <c r="F9" s="14">
        <f>SUM(C9:E9)</f>
        <v>133657</v>
      </c>
      <c r="G9" s="27" t="s">
        <v>369</v>
      </c>
    </row>
    <row r="10" spans="1:7" x14ac:dyDescent="0.2">
      <c r="A10" t="s">
        <v>288</v>
      </c>
      <c r="B10" t="s">
        <v>289</v>
      </c>
      <c r="C10">
        <v>314761</v>
      </c>
      <c r="D10">
        <v>68825</v>
      </c>
      <c r="E10">
        <v>0</v>
      </c>
      <c r="F10">
        <v>383586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7"/>
  <sheetViews>
    <sheetView rightToLeft="1" workbookViewId="0">
      <pane ySplit="1" topLeftCell="A13" activePane="bottomLeft" state="frozen"/>
      <selection pane="bottomLeft" activeCell="I12" sqref="I12"/>
    </sheetView>
  </sheetViews>
  <sheetFormatPr defaultRowHeight="14.25" x14ac:dyDescent="0.2"/>
  <cols>
    <col min="1" max="1" width="21" customWidth="1"/>
    <col min="2" max="2" width="8" customWidth="1"/>
    <col min="3" max="3" width="10" customWidth="1"/>
    <col min="4" max="4" width="14" customWidth="1"/>
    <col min="5" max="5" width="12" customWidth="1"/>
    <col min="6" max="6" width="10" customWidth="1"/>
    <col min="7" max="8" width="12" customWidth="1"/>
    <col min="9" max="9" width="13" customWidth="1"/>
    <col min="10" max="10" width="12.5" bestFit="1" customWidth="1"/>
    <col min="11" max="11" width="15" customWidth="1"/>
    <col min="12" max="12" width="35" customWidth="1"/>
  </cols>
  <sheetData>
    <row r="1" spans="1:15" ht="24.95" customHeight="1" x14ac:dyDescent="0.2">
      <c r="A1" s="8" t="s">
        <v>166</v>
      </c>
      <c r="B1" s="8" t="s">
        <v>104</v>
      </c>
      <c r="C1" s="8" t="s">
        <v>354</v>
      </c>
      <c r="D1" s="18" t="s">
        <v>355</v>
      </c>
      <c r="E1" s="18" t="s">
        <v>356</v>
      </c>
      <c r="F1" s="8" t="s">
        <v>357</v>
      </c>
      <c r="G1" s="8" t="s">
        <v>358</v>
      </c>
      <c r="H1" s="8" t="s">
        <v>359</v>
      </c>
      <c r="I1" s="8" t="s">
        <v>360</v>
      </c>
      <c r="J1" s="8" t="s">
        <v>361</v>
      </c>
      <c r="K1" s="8" t="s">
        <v>362</v>
      </c>
      <c r="L1" s="8" t="s">
        <v>287</v>
      </c>
      <c r="M1" s="8" t="s">
        <v>109</v>
      </c>
      <c r="N1" s="8" t="s">
        <v>363</v>
      </c>
      <c r="O1" s="18" t="s">
        <v>363</v>
      </c>
    </row>
    <row r="2" spans="1:15" ht="15" customHeight="1" x14ac:dyDescent="0.2">
      <c r="A2" t="s">
        <v>112</v>
      </c>
      <c r="C2" t="s">
        <v>3</v>
      </c>
      <c r="F2">
        <v>1</v>
      </c>
      <c r="G2">
        <v>1</v>
      </c>
      <c r="H2">
        <v>1</v>
      </c>
      <c r="J2">
        <v>863.72865712967234</v>
      </c>
      <c r="K2">
        <v>873</v>
      </c>
      <c r="L2">
        <v>-9.2713428703276577</v>
      </c>
      <c r="M2" t="s">
        <v>364</v>
      </c>
    </row>
    <row r="3" spans="1:15" ht="15" customHeight="1" x14ac:dyDescent="0.2">
      <c r="A3" t="s">
        <v>117</v>
      </c>
      <c r="C3" t="s">
        <v>9</v>
      </c>
      <c r="F3">
        <v>1</v>
      </c>
      <c r="G3">
        <v>17</v>
      </c>
      <c r="H3">
        <v>13</v>
      </c>
      <c r="J3">
        <v>14413.382556529759</v>
      </c>
      <c r="K3">
        <v>15431</v>
      </c>
      <c r="L3">
        <v>-1017.617443470239</v>
      </c>
      <c r="M3" t="s">
        <v>364</v>
      </c>
    </row>
    <row r="4" spans="1:15" ht="15" customHeight="1" x14ac:dyDescent="0.2">
      <c r="A4" t="s">
        <v>121</v>
      </c>
      <c r="C4" t="s">
        <v>1</v>
      </c>
      <c r="F4">
        <v>1</v>
      </c>
      <c r="G4">
        <v>3</v>
      </c>
      <c r="H4">
        <v>3</v>
      </c>
      <c r="J4">
        <v>2838.0249192431929</v>
      </c>
      <c r="K4">
        <v>2206</v>
      </c>
      <c r="L4">
        <v>632.02491924319293</v>
      </c>
      <c r="M4" t="s">
        <v>365</v>
      </c>
    </row>
    <row r="5" spans="1:15" ht="15" customHeight="1" x14ac:dyDescent="0.2">
      <c r="A5" t="s">
        <v>121</v>
      </c>
      <c r="C5" t="s">
        <v>5</v>
      </c>
      <c r="F5">
        <v>1</v>
      </c>
      <c r="G5">
        <v>3</v>
      </c>
      <c r="H5">
        <v>3</v>
      </c>
      <c r="J5">
        <v>2838.0249192431929</v>
      </c>
      <c r="K5">
        <v>2408</v>
      </c>
      <c r="L5">
        <v>430.02491924319293</v>
      </c>
      <c r="M5" t="s">
        <v>365</v>
      </c>
    </row>
    <row r="6" spans="1:15" ht="15" customHeight="1" x14ac:dyDescent="0.2">
      <c r="A6" t="s">
        <v>121</v>
      </c>
      <c r="C6" t="s">
        <v>6</v>
      </c>
      <c r="F6">
        <v>1</v>
      </c>
      <c r="G6">
        <v>15</v>
      </c>
      <c r="H6">
        <v>11</v>
      </c>
      <c r="J6">
        <v>10406.091370558381</v>
      </c>
      <c r="K6">
        <v>12039</v>
      </c>
      <c r="L6">
        <v>-1632.908629441625</v>
      </c>
      <c r="M6" t="s">
        <v>364</v>
      </c>
    </row>
    <row r="7" spans="1:15" ht="15" customHeight="1" x14ac:dyDescent="0.2">
      <c r="A7" t="s">
        <v>121</v>
      </c>
      <c r="C7" t="s">
        <v>7</v>
      </c>
      <c r="F7">
        <v>1</v>
      </c>
      <c r="G7">
        <v>3</v>
      </c>
      <c r="H7">
        <v>3</v>
      </c>
      <c r="J7">
        <v>2838.0249192431929</v>
      </c>
      <c r="K7">
        <v>2409</v>
      </c>
      <c r="L7">
        <v>429.02491924319293</v>
      </c>
      <c r="M7" t="s">
        <v>365</v>
      </c>
    </row>
    <row r="8" spans="1:15" ht="15" customHeight="1" x14ac:dyDescent="0.2">
      <c r="A8" t="s">
        <v>121</v>
      </c>
      <c r="C8" t="s">
        <v>9</v>
      </c>
      <c r="F8">
        <v>1</v>
      </c>
      <c r="G8">
        <v>4</v>
      </c>
      <c r="H8">
        <v>2</v>
      </c>
      <c r="J8">
        <v>1892.0166128287949</v>
      </c>
      <c r="K8">
        <v>1284</v>
      </c>
      <c r="L8">
        <v>608.01661282879536</v>
      </c>
      <c r="M8" t="s">
        <v>365</v>
      </c>
    </row>
    <row r="9" spans="1:15" ht="15" customHeight="1" x14ac:dyDescent="0.2">
      <c r="A9" t="s">
        <v>125</v>
      </c>
      <c r="C9" t="s">
        <v>1</v>
      </c>
      <c r="F9">
        <v>1</v>
      </c>
      <c r="G9">
        <v>4</v>
      </c>
      <c r="H9">
        <v>3</v>
      </c>
      <c r="J9">
        <v>2606.5528380249189</v>
      </c>
      <c r="K9">
        <v>0</v>
      </c>
      <c r="L9">
        <v>2606.5528380249189</v>
      </c>
      <c r="M9" t="s">
        <v>365</v>
      </c>
    </row>
    <row r="10" spans="1:15" ht="15" customHeight="1" x14ac:dyDescent="0.2">
      <c r="A10" t="s">
        <v>125</v>
      </c>
      <c r="C10" t="s">
        <v>3</v>
      </c>
      <c r="F10">
        <v>1</v>
      </c>
      <c r="G10">
        <v>4</v>
      </c>
      <c r="H10">
        <v>3</v>
      </c>
      <c r="J10">
        <v>2606.5528380249189</v>
      </c>
      <c r="K10">
        <v>3739</v>
      </c>
      <c r="L10">
        <v>-1132.4471619750809</v>
      </c>
      <c r="M10" t="s">
        <v>364</v>
      </c>
    </row>
    <row r="11" spans="1:15" ht="15" customHeight="1" x14ac:dyDescent="0.2">
      <c r="A11" t="s">
        <v>125</v>
      </c>
      <c r="C11" t="s">
        <v>4</v>
      </c>
      <c r="F11">
        <v>2</v>
      </c>
      <c r="G11">
        <v>2</v>
      </c>
      <c r="H11">
        <v>1</v>
      </c>
      <c r="J11">
        <v>868.85094600830632</v>
      </c>
      <c r="K11">
        <v>1934</v>
      </c>
      <c r="L11">
        <v>-1065.149053991694</v>
      </c>
      <c r="M11" t="s">
        <v>364</v>
      </c>
    </row>
    <row r="12" spans="1:15" ht="15" customHeight="1" x14ac:dyDescent="0.2">
      <c r="A12" t="s">
        <v>125</v>
      </c>
      <c r="C12" t="s">
        <v>5</v>
      </c>
      <c r="F12">
        <v>1</v>
      </c>
      <c r="G12">
        <v>21</v>
      </c>
      <c r="H12">
        <v>15</v>
      </c>
      <c r="J12">
        <v>13032.764190124601</v>
      </c>
      <c r="K12">
        <v>14425</v>
      </c>
      <c r="L12">
        <v>-1392.235809875405</v>
      </c>
      <c r="M12" t="s">
        <v>364</v>
      </c>
    </row>
    <row r="13" spans="1:15" ht="15" customHeight="1" x14ac:dyDescent="0.2">
      <c r="A13" t="s">
        <v>125</v>
      </c>
      <c r="C13" t="s">
        <v>8</v>
      </c>
      <c r="F13">
        <v>1</v>
      </c>
      <c r="G13">
        <v>5</v>
      </c>
      <c r="H13">
        <v>4</v>
      </c>
      <c r="J13">
        <v>3475.4037840332248</v>
      </c>
      <c r="K13">
        <v>4673</v>
      </c>
      <c r="L13">
        <v>-1197.5962159667749</v>
      </c>
      <c r="M13" t="s">
        <v>364</v>
      </c>
    </row>
    <row r="14" spans="1:15" ht="15" customHeight="1" x14ac:dyDescent="0.2">
      <c r="A14" t="s">
        <v>128</v>
      </c>
      <c r="C14" t="s">
        <v>1</v>
      </c>
      <c r="F14">
        <v>1</v>
      </c>
      <c r="G14">
        <v>5</v>
      </c>
      <c r="H14">
        <v>4</v>
      </c>
      <c r="J14">
        <v>2682.4180895246882</v>
      </c>
      <c r="K14">
        <v>0</v>
      </c>
      <c r="L14">
        <v>2682.4180895246882</v>
      </c>
      <c r="M14" t="s">
        <v>365</v>
      </c>
    </row>
    <row r="15" spans="1:15" ht="15" customHeight="1" x14ac:dyDescent="0.2">
      <c r="A15" t="s">
        <v>128</v>
      </c>
      <c r="C15" t="s">
        <v>4</v>
      </c>
      <c r="F15">
        <v>1</v>
      </c>
      <c r="G15">
        <v>38</v>
      </c>
      <c r="H15">
        <v>28</v>
      </c>
      <c r="J15">
        <v>14532</v>
      </c>
      <c r="K15">
        <v>5078</v>
      </c>
      <c r="L15">
        <v>9454</v>
      </c>
      <c r="M15" t="s">
        <v>365</v>
      </c>
    </row>
    <row r="16" spans="1:15" ht="15" customHeight="1" x14ac:dyDescent="0.2">
      <c r="A16" t="s">
        <v>128</v>
      </c>
      <c r="C16" t="s">
        <v>6</v>
      </c>
      <c r="F16">
        <v>1</v>
      </c>
      <c r="G16">
        <v>28</v>
      </c>
      <c r="H16">
        <v>20</v>
      </c>
      <c r="J16">
        <v>13412.090447623439</v>
      </c>
      <c r="K16">
        <v>15114</v>
      </c>
      <c r="L16">
        <v>-1701.9095523765591</v>
      </c>
      <c r="M16" t="s">
        <v>364</v>
      </c>
    </row>
    <row r="17" spans="1:13" ht="15" customHeight="1" x14ac:dyDescent="0.2">
      <c r="A17" t="s">
        <v>128</v>
      </c>
      <c r="C17" t="s">
        <v>7</v>
      </c>
      <c r="F17">
        <v>2</v>
      </c>
      <c r="G17">
        <v>3</v>
      </c>
      <c r="H17">
        <v>2</v>
      </c>
      <c r="J17">
        <v>1341.2090447623441</v>
      </c>
      <c r="K17">
        <v>1620</v>
      </c>
      <c r="L17">
        <v>-278.79095523765591</v>
      </c>
      <c r="M17" t="s">
        <v>364</v>
      </c>
    </row>
    <row r="18" spans="1:13" ht="15" customHeight="1" x14ac:dyDescent="0.2">
      <c r="A18" t="s">
        <v>128</v>
      </c>
      <c r="C18" t="s">
        <v>8</v>
      </c>
      <c r="F18">
        <v>1</v>
      </c>
      <c r="G18">
        <v>2</v>
      </c>
      <c r="H18">
        <v>2</v>
      </c>
      <c r="J18">
        <v>1341.2090447623441</v>
      </c>
      <c r="K18">
        <v>0</v>
      </c>
      <c r="L18">
        <v>1341.2090447623441</v>
      </c>
      <c r="M18" t="s">
        <v>365</v>
      </c>
    </row>
    <row r="19" spans="1:13" ht="15" customHeight="1" x14ac:dyDescent="0.2">
      <c r="A19" t="s">
        <v>128</v>
      </c>
      <c r="C19" t="s">
        <v>9</v>
      </c>
      <c r="F19">
        <v>2</v>
      </c>
      <c r="G19">
        <v>4</v>
      </c>
      <c r="H19">
        <v>4</v>
      </c>
      <c r="J19">
        <v>2682.4180895246882</v>
      </c>
      <c r="K19">
        <v>0</v>
      </c>
      <c r="L19">
        <v>2682.4180895246882</v>
      </c>
      <c r="M19" t="s">
        <v>365</v>
      </c>
    </row>
    <row r="20" spans="1:13" ht="15" customHeight="1" x14ac:dyDescent="0.2">
      <c r="A20" t="s">
        <v>131</v>
      </c>
      <c r="C20" t="s">
        <v>6</v>
      </c>
      <c r="F20">
        <v>1</v>
      </c>
      <c r="G20">
        <v>1</v>
      </c>
      <c r="H20">
        <v>1</v>
      </c>
      <c r="J20">
        <v>950.00461467466528</v>
      </c>
      <c r="K20">
        <v>1497</v>
      </c>
      <c r="L20">
        <v>-546.99538532533472</v>
      </c>
      <c r="M20" t="s">
        <v>364</v>
      </c>
    </row>
    <row r="21" spans="1:13" ht="15" customHeight="1" x14ac:dyDescent="0.2">
      <c r="A21" t="s">
        <v>134</v>
      </c>
      <c r="C21" t="s">
        <v>2</v>
      </c>
      <c r="F21">
        <v>2</v>
      </c>
      <c r="G21">
        <v>2</v>
      </c>
      <c r="H21">
        <v>1</v>
      </c>
      <c r="J21">
        <v>1282.464236271343</v>
      </c>
      <c r="K21">
        <v>0</v>
      </c>
      <c r="L21">
        <v>1282.464236271343</v>
      </c>
      <c r="M21" t="s">
        <v>365</v>
      </c>
    </row>
    <row r="22" spans="1:13" ht="15" customHeight="1" x14ac:dyDescent="0.2">
      <c r="A22" t="s">
        <v>134</v>
      </c>
      <c r="C22" t="s">
        <v>6</v>
      </c>
      <c r="F22">
        <v>1</v>
      </c>
      <c r="G22">
        <v>18</v>
      </c>
      <c r="H22">
        <v>12</v>
      </c>
      <c r="J22">
        <v>15389.57083525612</v>
      </c>
      <c r="K22">
        <v>7082</v>
      </c>
      <c r="L22">
        <v>8307.570835256116</v>
      </c>
      <c r="M22" t="s">
        <v>365</v>
      </c>
    </row>
    <row r="23" spans="1:13" ht="15" customHeight="1" x14ac:dyDescent="0.2">
      <c r="A23" t="s">
        <v>139</v>
      </c>
      <c r="C23" t="s">
        <v>1</v>
      </c>
      <c r="F23">
        <v>4</v>
      </c>
      <c r="G23">
        <v>12</v>
      </c>
      <c r="H23">
        <v>10</v>
      </c>
      <c r="J23">
        <v>10961.69820027688</v>
      </c>
      <c r="K23">
        <v>6308</v>
      </c>
      <c r="L23">
        <v>4653.69820027688</v>
      </c>
      <c r="M23" t="s">
        <v>365</v>
      </c>
    </row>
    <row r="24" spans="1:13" ht="15" customHeight="1" x14ac:dyDescent="0.2">
      <c r="A24" t="s">
        <v>139</v>
      </c>
      <c r="C24" t="s">
        <v>2</v>
      </c>
      <c r="F24">
        <v>5</v>
      </c>
      <c r="G24">
        <v>6</v>
      </c>
      <c r="H24">
        <v>6</v>
      </c>
      <c r="J24">
        <v>6577.0189201661287</v>
      </c>
      <c r="K24">
        <v>5635</v>
      </c>
      <c r="L24">
        <v>942.01892016612874</v>
      </c>
      <c r="M24" t="s">
        <v>365</v>
      </c>
    </row>
    <row r="25" spans="1:13" ht="15" customHeight="1" x14ac:dyDescent="0.2">
      <c r="A25" t="s">
        <v>139</v>
      </c>
      <c r="C25" t="s">
        <v>3</v>
      </c>
      <c r="F25">
        <v>8</v>
      </c>
      <c r="G25">
        <v>21</v>
      </c>
      <c r="H25">
        <v>20</v>
      </c>
      <c r="J25">
        <v>21923.39640055376</v>
      </c>
      <c r="K25">
        <v>7398</v>
      </c>
      <c r="L25">
        <v>14525.39640055376</v>
      </c>
      <c r="M25" t="s">
        <v>365</v>
      </c>
    </row>
    <row r="26" spans="1:13" ht="15" customHeight="1" x14ac:dyDescent="0.2">
      <c r="A26" t="s">
        <v>139</v>
      </c>
      <c r="C26" t="s">
        <v>4</v>
      </c>
      <c r="F26">
        <v>2</v>
      </c>
      <c r="G26">
        <v>5</v>
      </c>
      <c r="H26">
        <v>5</v>
      </c>
      <c r="J26">
        <v>5480.84910013844</v>
      </c>
      <c r="K26">
        <v>6330</v>
      </c>
      <c r="L26">
        <v>-849.15089986155999</v>
      </c>
      <c r="M26" t="s">
        <v>364</v>
      </c>
    </row>
    <row r="27" spans="1:13" ht="15" customHeight="1" x14ac:dyDescent="0.2">
      <c r="A27" t="s">
        <v>139</v>
      </c>
      <c r="C27" t="s">
        <v>5</v>
      </c>
      <c r="F27">
        <v>4</v>
      </c>
      <c r="G27">
        <v>11</v>
      </c>
      <c r="H27">
        <v>11</v>
      </c>
      <c r="J27">
        <v>12057.86802030457</v>
      </c>
      <c r="K27">
        <v>7522</v>
      </c>
      <c r="L27">
        <v>4535.8680203045678</v>
      </c>
      <c r="M27" t="s">
        <v>365</v>
      </c>
    </row>
    <row r="28" spans="1:13" ht="15" customHeight="1" x14ac:dyDescent="0.2">
      <c r="A28" t="s">
        <v>139</v>
      </c>
      <c r="C28" t="s">
        <v>6</v>
      </c>
      <c r="F28">
        <v>2</v>
      </c>
      <c r="G28">
        <v>3</v>
      </c>
      <c r="H28">
        <v>3</v>
      </c>
      <c r="J28">
        <v>3288.5094600830639</v>
      </c>
      <c r="K28">
        <v>3881</v>
      </c>
      <c r="L28">
        <v>-592.49053991693563</v>
      </c>
      <c r="M28" t="s">
        <v>364</v>
      </c>
    </row>
    <row r="29" spans="1:13" ht="15" customHeight="1" x14ac:dyDescent="0.2">
      <c r="A29" t="s">
        <v>139</v>
      </c>
      <c r="C29" t="s">
        <v>7</v>
      </c>
      <c r="F29">
        <v>1</v>
      </c>
      <c r="G29">
        <v>4</v>
      </c>
      <c r="H29">
        <v>4</v>
      </c>
      <c r="J29">
        <v>4384.6792801107522</v>
      </c>
      <c r="K29">
        <v>0</v>
      </c>
      <c r="L29">
        <v>4384.6792801107522</v>
      </c>
      <c r="M29" t="s">
        <v>365</v>
      </c>
    </row>
    <row r="30" spans="1:13" ht="15" customHeight="1" x14ac:dyDescent="0.2">
      <c r="A30" t="s">
        <v>139</v>
      </c>
      <c r="C30" t="s">
        <v>9</v>
      </c>
      <c r="F30">
        <v>1</v>
      </c>
      <c r="G30">
        <v>2</v>
      </c>
      <c r="H30">
        <v>2</v>
      </c>
      <c r="J30">
        <v>2192.3396400553761</v>
      </c>
      <c r="K30">
        <v>1898</v>
      </c>
      <c r="L30">
        <v>294.33964005537609</v>
      </c>
      <c r="M30" t="s">
        <v>365</v>
      </c>
    </row>
    <row r="31" spans="1:13" ht="15" customHeight="1" x14ac:dyDescent="0.2">
      <c r="A31" t="s">
        <v>142</v>
      </c>
      <c r="C31" t="s">
        <v>7</v>
      </c>
      <c r="F31">
        <v>3</v>
      </c>
      <c r="G31">
        <v>6</v>
      </c>
      <c r="H31">
        <v>6</v>
      </c>
      <c r="J31">
        <v>5005.1684356252881</v>
      </c>
      <c r="K31">
        <v>2697</v>
      </c>
      <c r="L31">
        <v>2308.1684356252881</v>
      </c>
      <c r="M31" t="s">
        <v>365</v>
      </c>
    </row>
    <row r="32" spans="1:13" ht="15" customHeight="1" x14ac:dyDescent="0.2">
      <c r="A32" t="s">
        <v>142</v>
      </c>
      <c r="C32" t="s">
        <v>8</v>
      </c>
      <c r="F32">
        <v>3</v>
      </c>
      <c r="G32">
        <v>3</v>
      </c>
      <c r="H32">
        <v>3</v>
      </c>
      <c r="J32">
        <v>2502.5842178126441</v>
      </c>
      <c r="K32">
        <v>0</v>
      </c>
      <c r="L32">
        <v>2502.5842178126441</v>
      </c>
      <c r="M32" t="s">
        <v>365</v>
      </c>
    </row>
    <row r="33" spans="1:13" ht="15" customHeight="1" x14ac:dyDescent="0.2">
      <c r="A33" t="s">
        <v>142</v>
      </c>
      <c r="C33" t="s">
        <v>9</v>
      </c>
      <c r="F33">
        <v>2</v>
      </c>
      <c r="G33">
        <v>3</v>
      </c>
      <c r="H33">
        <v>2</v>
      </c>
      <c r="J33">
        <v>1668.3894785417631</v>
      </c>
      <c r="K33">
        <v>0</v>
      </c>
      <c r="L33">
        <v>1668.3894785417631</v>
      </c>
      <c r="M33" t="s">
        <v>365</v>
      </c>
    </row>
    <row r="34" spans="1:13" ht="15" customHeight="1" x14ac:dyDescent="0.2">
      <c r="A34" t="s">
        <v>145</v>
      </c>
      <c r="C34" t="s">
        <v>3</v>
      </c>
      <c r="F34">
        <v>1</v>
      </c>
      <c r="G34">
        <v>1</v>
      </c>
      <c r="H34">
        <v>1</v>
      </c>
      <c r="J34">
        <v>730.27226580526064</v>
      </c>
      <c r="K34">
        <v>853</v>
      </c>
      <c r="L34">
        <v>-122.7277341947394</v>
      </c>
      <c r="M34" t="s">
        <v>364</v>
      </c>
    </row>
    <row r="35" spans="1:13" ht="15" customHeight="1" x14ac:dyDescent="0.2">
      <c r="A35" t="s">
        <v>145</v>
      </c>
      <c r="C35" t="s">
        <v>5</v>
      </c>
      <c r="F35">
        <v>1</v>
      </c>
      <c r="G35">
        <v>3</v>
      </c>
      <c r="H35">
        <v>2</v>
      </c>
      <c r="J35">
        <v>1460.5445316105211</v>
      </c>
      <c r="K35">
        <v>2605</v>
      </c>
      <c r="L35">
        <v>-1144.4554683894789</v>
      </c>
      <c r="M35" t="s">
        <v>364</v>
      </c>
    </row>
    <row r="36" spans="1:13" ht="15" customHeight="1" x14ac:dyDescent="0.2">
      <c r="A36" t="s">
        <v>145</v>
      </c>
      <c r="C36" t="s">
        <v>6</v>
      </c>
      <c r="F36">
        <v>1</v>
      </c>
      <c r="G36">
        <v>8</v>
      </c>
      <c r="H36">
        <v>6</v>
      </c>
      <c r="J36">
        <v>4381.6335948315636</v>
      </c>
      <c r="K36">
        <v>4961</v>
      </c>
      <c r="L36">
        <v>-579.36640516843636</v>
      </c>
      <c r="M36" t="s">
        <v>364</v>
      </c>
    </row>
    <row r="37" spans="1:13" ht="15" customHeight="1" x14ac:dyDescent="0.2">
      <c r="A37" t="s">
        <v>145</v>
      </c>
      <c r="C37" t="s">
        <v>7</v>
      </c>
      <c r="F37">
        <v>1</v>
      </c>
      <c r="G37">
        <v>3</v>
      </c>
      <c r="H37">
        <v>2</v>
      </c>
      <c r="J37">
        <v>1460.5445316105211</v>
      </c>
      <c r="K37">
        <v>2546</v>
      </c>
      <c r="L37">
        <v>-1085.4554683894789</v>
      </c>
      <c r="M37" t="s">
        <v>364</v>
      </c>
    </row>
    <row r="38" spans="1:13" ht="15" customHeight="1" x14ac:dyDescent="0.2">
      <c r="A38" t="s">
        <v>145</v>
      </c>
      <c r="C38" t="s">
        <v>8</v>
      </c>
      <c r="F38">
        <v>1</v>
      </c>
      <c r="G38">
        <v>4</v>
      </c>
      <c r="H38">
        <v>3</v>
      </c>
      <c r="J38">
        <v>2190.8167974157818</v>
      </c>
      <c r="K38">
        <v>3350</v>
      </c>
      <c r="L38">
        <v>-1159.183202584218</v>
      </c>
      <c r="M38" t="s">
        <v>364</v>
      </c>
    </row>
    <row r="39" spans="1:13" ht="15" customHeight="1" x14ac:dyDescent="0.2">
      <c r="A39" t="s">
        <v>149</v>
      </c>
      <c r="C39" t="s">
        <v>1</v>
      </c>
      <c r="F39">
        <v>1</v>
      </c>
      <c r="G39">
        <v>9</v>
      </c>
      <c r="H39">
        <v>7</v>
      </c>
      <c r="J39">
        <v>5788.970927549607</v>
      </c>
      <c r="K39">
        <v>0</v>
      </c>
      <c r="L39">
        <v>5788.970927549607</v>
      </c>
      <c r="M39" t="s">
        <v>365</v>
      </c>
    </row>
    <row r="40" spans="1:13" ht="15" customHeight="1" x14ac:dyDescent="0.2">
      <c r="A40" t="s">
        <v>149</v>
      </c>
      <c r="C40" t="s">
        <v>4</v>
      </c>
      <c r="F40">
        <v>1</v>
      </c>
      <c r="G40">
        <v>3</v>
      </c>
      <c r="H40">
        <v>3</v>
      </c>
      <c r="J40">
        <v>2480.9875403784031</v>
      </c>
      <c r="K40">
        <v>0</v>
      </c>
      <c r="L40">
        <v>2480.9875403784031</v>
      </c>
      <c r="M40" t="s">
        <v>365</v>
      </c>
    </row>
    <row r="41" spans="1:13" ht="15" customHeight="1" x14ac:dyDescent="0.2">
      <c r="A41" t="s">
        <v>149</v>
      </c>
      <c r="C41" t="s">
        <v>5</v>
      </c>
      <c r="F41">
        <v>2</v>
      </c>
      <c r="G41">
        <v>8</v>
      </c>
      <c r="H41">
        <v>8</v>
      </c>
      <c r="J41">
        <v>6615.9667743424079</v>
      </c>
      <c r="K41">
        <v>0</v>
      </c>
      <c r="L41">
        <v>6615.9667743424079</v>
      </c>
      <c r="M41" t="s">
        <v>365</v>
      </c>
    </row>
    <row r="42" spans="1:13" ht="15" customHeight="1" x14ac:dyDescent="0.2">
      <c r="A42" t="s">
        <v>149</v>
      </c>
      <c r="C42" t="s">
        <v>6</v>
      </c>
      <c r="F42">
        <v>1</v>
      </c>
      <c r="G42">
        <v>5</v>
      </c>
      <c r="H42">
        <v>3</v>
      </c>
      <c r="J42">
        <v>2480.9875403784031</v>
      </c>
      <c r="K42">
        <v>0</v>
      </c>
      <c r="L42">
        <v>2480.9875403784031</v>
      </c>
      <c r="M42" t="s">
        <v>365</v>
      </c>
    </row>
    <row r="43" spans="1:13" ht="15" customHeight="1" x14ac:dyDescent="0.2">
      <c r="A43" t="s">
        <v>149</v>
      </c>
      <c r="C43" t="s">
        <v>7</v>
      </c>
      <c r="F43">
        <v>1</v>
      </c>
      <c r="G43">
        <v>1</v>
      </c>
      <c r="H43">
        <v>1</v>
      </c>
      <c r="J43">
        <v>826.99584679280099</v>
      </c>
      <c r="K43">
        <v>0</v>
      </c>
      <c r="L43">
        <v>826.99584679280099</v>
      </c>
      <c r="M43" t="s">
        <v>365</v>
      </c>
    </row>
    <row r="44" spans="1:13" ht="15" customHeight="1" x14ac:dyDescent="0.2">
      <c r="A44" t="s">
        <v>149</v>
      </c>
      <c r="C44" t="s">
        <v>8</v>
      </c>
      <c r="F44">
        <v>2</v>
      </c>
      <c r="G44">
        <v>6</v>
      </c>
      <c r="H44">
        <v>6</v>
      </c>
      <c r="J44">
        <v>4961.9750807568062</v>
      </c>
      <c r="K44">
        <v>0</v>
      </c>
      <c r="L44">
        <v>4961.9750807568062</v>
      </c>
      <c r="M44" t="s">
        <v>365</v>
      </c>
    </row>
    <row r="45" spans="1:13" ht="15" customHeight="1" x14ac:dyDescent="0.2">
      <c r="A45" t="s">
        <v>152</v>
      </c>
      <c r="C45" t="s">
        <v>1</v>
      </c>
      <c r="F45">
        <v>4</v>
      </c>
      <c r="G45">
        <v>4</v>
      </c>
      <c r="H45">
        <v>4</v>
      </c>
      <c r="J45">
        <v>3474.2962621135212</v>
      </c>
      <c r="K45">
        <v>1642</v>
      </c>
      <c r="L45">
        <v>1832.2962621135209</v>
      </c>
      <c r="M45" t="s">
        <v>365</v>
      </c>
    </row>
    <row r="46" spans="1:13" ht="15" customHeight="1" x14ac:dyDescent="0.2">
      <c r="A46" t="s">
        <v>152</v>
      </c>
      <c r="C46" t="s">
        <v>2</v>
      </c>
      <c r="F46">
        <v>1</v>
      </c>
      <c r="G46">
        <v>5</v>
      </c>
      <c r="H46">
        <v>5</v>
      </c>
      <c r="J46">
        <v>4342.870327641901</v>
      </c>
      <c r="K46">
        <v>7184</v>
      </c>
      <c r="L46">
        <v>-2841.129672358099</v>
      </c>
      <c r="M46" t="s">
        <v>364</v>
      </c>
    </row>
    <row r="47" spans="1:13" ht="15" customHeight="1" x14ac:dyDescent="0.2">
      <c r="A47" t="s">
        <v>152</v>
      </c>
      <c r="C47" t="s">
        <v>3</v>
      </c>
      <c r="F47">
        <v>4</v>
      </c>
      <c r="G47">
        <v>6</v>
      </c>
      <c r="H47">
        <v>6</v>
      </c>
      <c r="J47">
        <v>5211.4443931702808</v>
      </c>
      <c r="K47">
        <v>4310</v>
      </c>
      <c r="L47">
        <v>901.44439317028082</v>
      </c>
      <c r="M47" t="s">
        <v>365</v>
      </c>
    </row>
    <row r="48" spans="1:13" ht="15" customHeight="1" x14ac:dyDescent="0.2">
      <c r="A48" t="s">
        <v>152</v>
      </c>
      <c r="C48" t="s">
        <v>4</v>
      </c>
      <c r="F48">
        <v>2</v>
      </c>
      <c r="G48">
        <v>2</v>
      </c>
      <c r="H48">
        <v>2</v>
      </c>
      <c r="J48">
        <v>1737.1481310567599</v>
      </c>
      <c r="K48">
        <v>2502</v>
      </c>
      <c r="L48">
        <v>-764.85186894323965</v>
      </c>
      <c r="M48" t="s">
        <v>364</v>
      </c>
    </row>
    <row r="49" spans="1:13" ht="15" customHeight="1" x14ac:dyDescent="0.2">
      <c r="A49" t="s">
        <v>152</v>
      </c>
      <c r="C49" t="s">
        <v>5</v>
      </c>
      <c r="F49">
        <v>6</v>
      </c>
      <c r="G49">
        <v>141</v>
      </c>
      <c r="H49">
        <v>98</v>
      </c>
      <c r="J49">
        <v>18822</v>
      </c>
      <c r="K49">
        <v>9798</v>
      </c>
      <c r="L49">
        <v>9024</v>
      </c>
      <c r="M49" t="s">
        <v>365</v>
      </c>
    </row>
    <row r="50" spans="1:13" ht="15" customHeight="1" x14ac:dyDescent="0.2">
      <c r="A50" t="s">
        <v>152</v>
      </c>
      <c r="C50" t="s">
        <v>6</v>
      </c>
      <c r="F50">
        <v>1</v>
      </c>
      <c r="G50">
        <v>30</v>
      </c>
      <c r="H50">
        <v>22</v>
      </c>
      <c r="J50">
        <v>18822</v>
      </c>
      <c r="K50">
        <v>26717</v>
      </c>
      <c r="L50">
        <v>-7895</v>
      </c>
      <c r="M50" t="s">
        <v>364</v>
      </c>
    </row>
    <row r="51" spans="1:13" ht="15" customHeight="1" x14ac:dyDescent="0.2">
      <c r="A51" t="s">
        <v>152</v>
      </c>
      <c r="C51" t="s">
        <v>7</v>
      </c>
      <c r="F51">
        <v>1</v>
      </c>
      <c r="G51">
        <v>31</v>
      </c>
      <c r="H51">
        <v>23</v>
      </c>
      <c r="J51">
        <v>18822</v>
      </c>
      <c r="K51">
        <v>27607</v>
      </c>
      <c r="L51">
        <v>-8785</v>
      </c>
      <c r="M51" t="s">
        <v>364</v>
      </c>
    </row>
    <row r="52" spans="1:13" ht="15" customHeight="1" x14ac:dyDescent="0.2">
      <c r="A52" t="s">
        <v>155</v>
      </c>
      <c r="C52" t="s">
        <v>1</v>
      </c>
      <c r="F52">
        <v>3</v>
      </c>
      <c r="G52">
        <v>4</v>
      </c>
      <c r="H52">
        <v>4</v>
      </c>
      <c r="J52">
        <v>3719.4277803414861</v>
      </c>
      <c r="K52">
        <v>0</v>
      </c>
      <c r="L52">
        <v>3719.4277803414861</v>
      </c>
      <c r="M52" t="s">
        <v>365</v>
      </c>
    </row>
    <row r="53" spans="1:13" ht="15" customHeight="1" x14ac:dyDescent="0.2">
      <c r="A53" t="s">
        <v>155</v>
      </c>
      <c r="C53" t="s">
        <v>2</v>
      </c>
      <c r="F53">
        <v>2</v>
      </c>
      <c r="G53">
        <v>2</v>
      </c>
      <c r="H53">
        <v>1</v>
      </c>
      <c r="J53">
        <v>929.85694508537142</v>
      </c>
      <c r="K53">
        <v>1107</v>
      </c>
      <c r="L53">
        <v>-177.14305491462861</v>
      </c>
      <c r="M53" t="s">
        <v>364</v>
      </c>
    </row>
    <row r="54" spans="1:13" ht="15" customHeight="1" x14ac:dyDescent="0.2">
      <c r="A54" t="s">
        <v>155</v>
      </c>
      <c r="C54" t="s">
        <v>3</v>
      </c>
      <c r="F54">
        <v>3</v>
      </c>
      <c r="G54">
        <v>4</v>
      </c>
      <c r="H54">
        <v>4</v>
      </c>
      <c r="J54">
        <v>3719.4277803414861</v>
      </c>
      <c r="K54">
        <v>3247</v>
      </c>
      <c r="L54">
        <v>472.42778034148569</v>
      </c>
      <c r="M54" t="s">
        <v>365</v>
      </c>
    </row>
    <row r="55" spans="1:13" ht="15" customHeight="1" x14ac:dyDescent="0.2">
      <c r="A55" t="s">
        <v>155</v>
      </c>
      <c r="C55" t="s">
        <v>4</v>
      </c>
      <c r="F55">
        <v>2</v>
      </c>
      <c r="G55">
        <v>2</v>
      </c>
      <c r="H55">
        <v>2</v>
      </c>
      <c r="J55">
        <v>1859.7138901707431</v>
      </c>
      <c r="K55">
        <v>813</v>
      </c>
      <c r="L55">
        <v>1046.7138901707431</v>
      </c>
      <c r="M55" t="s">
        <v>365</v>
      </c>
    </row>
    <row r="56" spans="1:13" ht="15" customHeight="1" x14ac:dyDescent="0.2">
      <c r="A56" t="s">
        <v>155</v>
      </c>
      <c r="C56" t="s">
        <v>5</v>
      </c>
      <c r="F56">
        <v>4</v>
      </c>
      <c r="G56">
        <v>12</v>
      </c>
      <c r="H56">
        <v>11</v>
      </c>
      <c r="J56">
        <v>10228.42639593909</v>
      </c>
      <c r="K56">
        <v>9662</v>
      </c>
      <c r="L56">
        <v>566.42639593908643</v>
      </c>
      <c r="M56" t="s">
        <v>365</v>
      </c>
    </row>
    <row r="57" spans="1:13" ht="15" customHeight="1" x14ac:dyDescent="0.2">
      <c r="A57" t="s">
        <v>155</v>
      </c>
      <c r="C57" t="s">
        <v>7</v>
      </c>
      <c r="F57">
        <v>1</v>
      </c>
      <c r="G57">
        <v>1</v>
      </c>
      <c r="H57">
        <v>1</v>
      </c>
      <c r="J57">
        <v>929.85694508537142</v>
      </c>
      <c r="K57">
        <v>775</v>
      </c>
      <c r="L57">
        <v>154.85694508537139</v>
      </c>
      <c r="M57" t="s">
        <v>365</v>
      </c>
    </row>
    <row r="58" spans="1:13" ht="15" customHeight="1" x14ac:dyDescent="0.2">
      <c r="A58" t="s">
        <v>155</v>
      </c>
      <c r="C58" t="s">
        <v>8</v>
      </c>
      <c r="F58">
        <v>3</v>
      </c>
      <c r="G58">
        <v>5</v>
      </c>
      <c r="H58">
        <v>4</v>
      </c>
      <c r="J58">
        <v>3719.4277803414861</v>
      </c>
      <c r="K58">
        <v>2554</v>
      </c>
      <c r="L58">
        <v>1165.4277803414859</v>
      </c>
      <c r="M58" t="s">
        <v>365</v>
      </c>
    </row>
    <row r="59" spans="1:13" ht="15" customHeight="1" x14ac:dyDescent="0.2">
      <c r="A59" t="s">
        <v>155</v>
      </c>
      <c r="C59" t="s">
        <v>9</v>
      </c>
      <c r="F59">
        <v>2</v>
      </c>
      <c r="G59">
        <v>4</v>
      </c>
      <c r="H59">
        <v>3</v>
      </c>
      <c r="J59">
        <v>2789.5708352561142</v>
      </c>
      <c r="K59">
        <v>2043</v>
      </c>
      <c r="L59">
        <v>746.57083525611415</v>
      </c>
      <c r="M59" t="s">
        <v>365</v>
      </c>
    </row>
    <row r="60" spans="1:13" ht="15" customHeight="1" x14ac:dyDescent="0.2">
      <c r="A60" t="s">
        <v>157</v>
      </c>
      <c r="C60" t="s">
        <v>3</v>
      </c>
      <c r="F60">
        <v>1</v>
      </c>
      <c r="G60">
        <v>3</v>
      </c>
      <c r="H60">
        <v>3</v>
      </c>
      <c r="J60">
        <v>2744.7161975080749</v>
      </c>
      <c r="K60">
        <v>3731</v>
      </c>
      <c r="L60">
        <v>-986.28380249192469</v>
      </c>
      <c r="M60" t="s">
        <v>364</v>
      </c>
    </row>
    <row r="61" spans="1:13" ht="15" customHeight="1" x14ac:dyDescent="0.2">
      <c r="A61" t="s">
        <v>157</v>
      </c>
      <c r="C61" t="s">
        <v>6</v>
      </c>
      <c r="F61">
        <v>1</v>
      </c>
      <c r="G61">
        <v>6</v>
      </c>
      <c r="H61">
        <v>4</v>
      </c>
      <c r="J61">
        <v>3659.6215966774339</v>
      </c>
      <c r="K61">
        <v>5700</v>
      </c>
      <c r="L61">
        <v>-2040.3784033225661</v>
      </c>
      <c r="M61" t="s">
        <v>364</v>
      </c>
    </row>
    <row r="62" spans="1:13" ht="15" customHeight="1" x14ac:dyDescent="0.2">
      <c r="A62" t="s">
        <v>160</v>
      </c>
      <c r="C62" t="s">
        <v>1</v>
      </c>
      <c r="F62">
        <v>7</v>
      </c>
      <c r="G62">
        <v>21</v>
      </c>
      <c r="H62">
        <v>17</v>
      </c>
      <c r="J62">
        <v>15552.60729118597</v>
      </c>
      <c r="K62">
        <v>13388</v>
      </c>
      <c r="L62">
        <v>2164.6072911859701</v>
      </c>
      <c r="M62" t="s">
        <v>365</v>
      </c>
    </row>
    <row r="63" spans="1:13" ht="15" customHeight="1" x14ac:dyDescent="0.2">
      <c r="A63" t="s">
        <v>160</v>
      </c>
      <c r="C63" t="s">
        <v>2</v>
      </c>
      <c r="F63">
        <v>4</v>
      </c>
      <c r="G63">
        <v>7</v>
      </c>
      <c r="H63">
        <v>7</v>
      </c>
      <c r="J63">
        <v>6404.0147669589287</v>
      </c>
      <c r="K63">
        <v>0</v>
      </c>
      <c r="L63">
        <v>6404.0147669589287</v>
      </c>
      <c r="M63" t="s">
        <v>365</v>
      </c>
    </row>
    <row r="64" spans="1:13" ht="15" customHeight="1" x14ac:dyDescent="0.2">
      <c r="A64" t="s">
        <v>160</v>
      </c>
      <c r="C64" t="s">
        <v>3</v>
      </c>
      <c r="F64">
        <v>6</v>
      </c>
      <c r="G64">
        <v>16</v>
      </c>
      <c r="H64">
        <v>15</v>
      </c>
      <c r="J64">
        <v>13722.88878634056</v>
      </c>
      <c r="K64">
        <v>11805</v>
      </c>
      <c r="L64">
        <v>1917.8887863405621</v>
      </c>
      <c r="M64" t="s">
        <v>365</v>
      </c>
    </row>
    <row r="65" spans="1:13" ht="15" customHeight="1" x14ac:dyDescent="0.2">
      <c r="A65" t="s">
        <v>160</v>
      </c>
      <c r="C65" t="s">
        <v>4</v>
      </c>
      <c r="F65">
        <v>4</v>
      </c>
      <c r="G65">
        <v>6</v>
      </c>
      <c r="H65">
        <v>5</v>
      </c>
      <c r="J65">
        <v>4574.2962621135202</v>
      </c>
      <c r="K65">
        <v>4260</v>
      </c>
      <c r="L65">
        <v>314.29626211352019</v>
      </c>
      <c r="M65" t="s">
        <v>365</v>
      </c>
    </row>
    <row r="66" spans="1:13" ht="15" customHeight="1" x14ac:dyDescent="0.2">
      <c r="A66" t="s">
        <v>160</v>
      </c>
      <c r="C66" t="s">
        <v>5</v>
      </c>
      <c r="F66">
        <v>5</v>
      </c>
      <c r="G66">
        <v>6</v>
      </c>
      <c r="H66">
        <v>4</v>
      </c>
      <c r="J66">
        <v>3659.437009690816</v>
      </c>
      <c r="K66">
        <v>5111</v>
      </c>
      <c r="L66">
        <v>-1451.562990309184</v>
      </c>
      <c r="M66" t="s">
        <v>364</v>
      </c>
    </row>
    <row r="67" spans="1:13" ht="15" customHeight="1" x14ac:dyDescent="0.2">
      <c r="A67" t="s">
        <v>160</v>
      </c>
      <c r="C67" t="s">
        <v>6</v>
      </c>
      <c r="F67">
        <v>3</v>
      </c>
      <c r="G67">
        <v>22</v>
      </c>
      <c r="H67">
        <v>15</v>
      </c>
      <c r="J67">
        <v>13722.88878634056</v>
      </c>
      <c r="K67">
        <v>20231</v>
      </c>
      <c r="L67">
        <v>-6508.1112136594384</v>
      </c>
      <c r="M67" t="s">
        <v>364</v>
      </c>
    </row>
    <row r="68" spans="1:13" ht="15" customHeight="1" x14ac:dyDescent="0.2">
      <c r="A68" t="s">
        <v>160</v>
      </c>
      <c r="C68" t="s">
        <v>7</v>
      </c>
      <c r="F68">
        <v>3</v>
      </c>
      <c r="G68">
        <v>5</v>
      </c>
      <c r="H68">
        <v>5</v>
      </c>
      <c r="J68">
        <v>4574.2962621135202</v>
      </c>
      <c r="K68">
        <v>5323</v>
      </c>
      <c r="L68">
        <v>-748.70373788647976</v>
      </c>
      <c r="M68" t="s">
        <v>364</v>
      </c>
    </row>
    <row r="69" spans="1:13" ht="15" customHeight="1" x14ac:dyDescent="0.2">
      <c r="A69" t="s">
        <v>160</v>
      </c>
      <c r="C69" t="s">
        <v>8</v>
      </c>
      <c r="F69">
        <v>2</v>
      </c>
      <c r="G69">
        <v>2</v>
      </c>
      <c r="H69">
        <v>2</v>
      </c>
      <c r="J69">
        <v>1829.718504845408</v>
      </c>
      <c r="K69">
        <v>3194</v>
      </c>
      <c r="L69">
        <v>-1364.281495154592</v>
      </c>
      <c r="M69" t="s">
        <v>364</v>
      </c>
    </row>
    <row r="70" spans="1:13" ht="15" customHeight="1" x14ac:dyDescent="0.2">
      <c r="A70" t="s">
        <v>160</v>
      </c>
      <c r="C70" t="s">
        <v>9</v>
      </c>
      <c r="F70">
        <v>2</v>
      </c>
      <c r="G70">
        <v>4</v>
      </c>
      <c r="H70">
        <v>2</v>
      </c>
      <c r="J70">
        <v>1829.718504845408</v>
      </c>
      <c r="K70">
        <v>3194</v>
      </c>
      <c r="L70">
        <v>-1364.281495154592</v>
      </c>
      <c r="M70" t="s">
        <v>364</v>
      </c>
    </row>
    <row r="71" spans="1:13" ht="15" customHeight="1" x14ac:dyDescent="0.2">
      <c r="A71" t="s">
        <v>163</v>
      </c>
      <c r="C71" t="s">
        <v>3</v>
      </c>
      <c r="F71">
        <v>1</v>
      </c>
      <c r="G71">
        <v>4</v>
      </c>
      <c r="H71">
        <v>4</v>
      </c>
      <c r="J71">
        <v>3248.9155514536219</v>
      </c>
      <c r="K71">
        <v>0</v>
      </c>
      <c r="L71">
        <v>3248.9155514536219</v>
      </c>
      <c r="M71" t="s">
        <v>365</v>
      </c>
    </row>
    <row r="72" spans="1:13" ht="15" customHeight="1" x14ac:dyDescent="0.2">
      <c r="A72" t="s">
        <v>163</v>
      </c>
      <c r="C72" t="s">
        <v>5</v>
      </c>
      <c r="F72">
        <v>2</v>
      </c>
      <c r="G72">
        <v>7</v>
      </c>
      <c r="H72">
        <v>6</v>
      </c>
      <c r="J72">
        <v>4873.373327180434</v>
      </c>
      <c r="K72">
        <v>0</v>
      </c>
      <c r="L72">
        <v>4873.373327180434</v>
      </c>
      <c r="M72" t="s">
        <v>365</v>
      </c>
    </row>
    <row r="73" spans="1:13" ht="15" customHeight="1" x14ac:dyDescent="0.2">
      <c r="A73" t="s">
        <v>163</v>
      </c>
      <c r="C73" t="s">
        <v>6</v>
      </c>
      <c r="F73">
        <v>2</v>
      </c>
      <c r="G73">
        <v>4</v>
      </c>
      <c r="H73">
        <v>3</v>
      </c>
      <c r="J73">
        <v>2436.686663590217</v>
      </c>
      <c r="K73">
        <v>0</v>
      </c>
      <c r="L73">
        <v>2436.686663590217</v>
      </c>
      <c r="M73" t="s">
        <v>365</v>
      </c>
    </row>
    <row r="74" spans="1:13" ht="15" customHeight="1" x14ac:dyDescent="0.2">
      <c r="A74" t="s">
        <v>163</v>
      </c>
      <c r="C74" t="s">
        <v>8</v>
      </c>
      <c r="F74">
        <v>2</v>
      </c>
      <c r="G74">
        <v>4</v>
      </c>
      <c r="H74">
        <v>4</v>
      </c>
      <c r="J74">
        <v>3248.9155514536219</v>
      </c>
      <c r="K74">
        <v>0</v>
      </c>
      <c r="L74">
        <v>3248.9155514536219</v>
      </c>
      <c r="M74" t="s">
        <v>365</v>
      </c>
    </row>
    <row r="75" spans="1:13" ht="15" customHeight="1" x14ac:dyDescent="0.2">
      <c r="A75" t="s">
        <v>163</v>
      </c>
      <c r="C75" t="s">
        <v>9</v>
      </c>
      <c r="F75">
        <v>1</v>
      </c>
      <c r="G75">
        <v>3</v>
      </c>
      <c r="H75">
        <v>2</v>
      </c>
      <c r="J75">
        <v>1624.457775726811</v>
      </c>
      <c r="K75">
        <v>0</v>
      </c>
      <c r="L75">
        <v>1624.457775726811</v>
      </c>
      <c r="M75" t="s">
        <v>365</v>
      </c>
    </row>
    <row r="76" spans="1:13" x14ac:dyDescent="0.2">
      <c r="A76" t="s">
        <v>165</v>
      </c>
      <c r="C76" t="s">
        <v>5</v>
      </c>
      <c r="F76">
        <v>1</v>
      </c>
      <c r="G76">
        <v>2</v>
      </c>
      <c r="H76">
        <v>2</v>
      </c>
      <c r="J76">
        <v>1630.8260267651131</v>
      </c>
      <c r="K76">
        <v>1409</v>
      </c>
      <c r="L76">
        <v>221.8260267651128</v>
      </c>
      <c r="M76" t="s">
        <v>365</v>
      </c>
    </row>
    <row r="77" spans="1:13" x14ac:dyDescent="0.2">
      <c r="A77" t="s">
        <v>165</v>
      </c>
      <c r="C77" t="s">
        <v>6</v>
      </c>
      <c r="F77">
        <v>3</v>
      </c>
      <c r="G77">
        <v>21</v>
      </c>
      <c r="H77">
        <v>16</v>
      </c>
      <c r="J77">
        <v>13046.608214120901</v>
      </c>
      <c r="K77">
        <v>15020</v>
      </c>
      <c r="L77">
        <v>-1973.3917858790969</v>
      </c>
      <c r="M77" t="s">
        <v>364</v>
      </c>
    </row>
  </sheetData>
  <autoFilter ref="A1:L75" xr:uid="{00000000-0009-0000-0000-000004000000}">
    <sortState xmlns:xlrd2="http://schemas.microsoft.com/office/spreadsheetml/2017/richdata2"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3"/>
  <sheetViews>
    <sheetView rightToLeft="1" workbookViewId="0">
      <pane ySplit="1" topLeftCell="A146" activePane="bottomLeft" state="frozen"/>
      <selection pane="bottomLeft" activeCell="A82" sqref="A82:L193"/>
    </sheetView>
  </sheetViews>
  <sheetFormatPr defaultRowHeight="14.25" x14ac:dyDescent="0.2"/>
  <cols>
    <col min="1" max="1" width="15" style="42" customWidth="1"/>
    <col min="2" max="9" width="15" customWidth="1"/>
    <col min="10" max="11" width="15" style="46" customWidth="1"/>
    <col min="12" max="12" width="57.875" style="46" bestFit="1" customWidth="1"/>
  </cols>
  <sheetData>
    <row r="1" spans="1:12" ht="24.95" customHeight="1" x14ac:dyDescent="0.2">
      <c r="A1" s="43" t="s">
        <v>100</v>
      </c>
      <c r="B1" s="8" t="s">
        <v>166</v>
      </c>
      <c r="C1" s="8" t="s">
        <v>167</v>
      </c>
      <c r="D1" s="8" t="s">
        <v>168</v>
      </c>
      <c r="E1" s="8" t="s">
        <v>169</v>
      </c>
      <c r="F1" s="8" t="s">
        <v>170</v>
      </c>
      <c r="G1" s="8" t="s">
        <v>171</v>
      </c>
      <c r="H1" s="8" t="s">
        <v>172</v>
      </c>
      <c r="I1" s="8" t="s">
        <v>173</v>
      </c>
      <c r="J1" s="44" t="s">
        <v>174</v>
      </c>
      <c r="K1" s="44" t="s">
        <v>175</v>
      </c>
      <c r="L1" s="44" t="s">
        <v>176</v>
      </c>
    </row>
    <row r="2" spans="1:12" ht="15" customHeight="1" x14ac:dyDescent="0.2">
      <c r="A2" s="9">
        <v>11915519</v>
      </c>
      <c r="B2" s="9" t="s">
        <v>152</v>
      </c>
      <c r="C2" s="9" t="s">
        <v>177</v>
      </c>
      <c r="D2" s="9" t="s">
        <v>177</v>
      </c>
      <c r="E2" s="9" t="s">
        <v>178</v>
      </c>
      <c r="F2" s="13">
        <v>821</v>
      </c>
      <c r="G2" s="13">
        <v>164</v>
      </c>
      <c r="H2" s="13">
        <v>0</v>
      </c>
      <c r="I2" s="13">
        <v>985</v>
      </c>
      <c r="J2" s="45">
        <v>203</v>
      </c>
      <c r="K2" s="45" t="s">
        <v>179</v>
      </c>
      <c r="L2" s="45" t="s">
        <v>180</v>
      </c>
    </row>
    <row r="3" spans="1:12" ht="15" customHeight="1" x14ac:dyDescent="0.2">
      <c r="A3" s="9">
        <v>11915519</v>
      </c>
      <c r="B3" s="9" t="s">
        <v>152</v>
      </c>
      <c r="C3" s="9" t="s">
        <v>181</v>
      </c>
      <c r="D3" s="9" t="s">
        <v>181</v>
      </c>
      <c r="E3" s="9" t="s">
        <v>178</v>
      </c>
      <c r="F3" s="13">
        <v>821</v>
      </c>
      <c r="G3" s="13">
        <v>164</v>
      </c>
      <c r="H3" s="13">
        <v>0</v>
      </c>
      <c r="I3" s="13">
        <v>985</v>
      </c>
      <c r="J3" s="45">
        <v>203</v>
      </c>
      <c r="K3" s="45" t="s">
        <v>179</v>
      </c>
      <c r="L3" s="45" t="s">
        <v>180</v>
      </c>
    </row>
    <row r="4" spans="1:12" ht="15" customHeight="1" x14ac:dyDescent="0.2">
      <c r="A4" s="9">
        <v>22201347</v>
      </c>
      <c r="B4" s="9" t="s">
        <v>139</v>
      </c>
      <c r="C4" s="9" t="s">
        <v>182</v>
      </c>
      <c r="D4" s="9" t="s">
        <v>182</v>
      </c>
      <c r="E4" s="9" t="s">
        <v>178</v>
      </c>
      <c r="F4" s="13">
        <v>1051</v>
      </c>
      <c r="G4" s="13">
        <v>210</v>
      </c>
      <c r="H4" s="13">
        <v>0</v>
      </c>
      <c r="I4" s="13">
        <v>1261</v>
      </c>
      <c r="J4" s="45">
        <v>203</v>
      </c>
      <c r="K4" s="45" t="s">
        <v>179</v>
      </c>
      <c r="L4" s="45" t="s">
        <v>180</v>
      </c>
    </row>
    <row r="5" spans="1:12" ht="15" customHeight="1" x14ac:dyDescent="0.2">
      <c r="A5" s="9">
        <v>22201347</v>
      </c>
      <c r="B5" s="9" t="s">
        <v>139</v>
      </c>
      <c r="C5" s="9" t="s">
        <v>183</v>
      </c>
      <c r="D5" s="9" t="s">
        <v>184</v>
      </c>
      <c r="E5" s="9" t="s">
        <v>178</v>
      </c>
      <c r="F5" s="13">
        <v>5257</v>
      </c>
      <c r="G5" s="13">
        <v>1051</v>
      </c>
      <c r="H5" s="13">
        <v>0</v>
      </c>
      <c r="I5" s="13">
        <v>6308</v>
      </c>
      <c r="J5" s="45">
        <v>203</v>
      </c>
      <c r="K5" s="45" t="s">
        <v>179</v>
      </c>
      <c r="L5" s="45" t="s">
        <v>180</v>
      </c>
    </row>
    <row r="6" spans="1:12" ht="15" customHeight="1" x14ac:dyDescent="0.2">
      <c r="A6" s="9">
        <v>25147505</v>
      </c>
      <c r="B6" s="9" t="s">
        <v>155</v>
      </c>
      <c r="C6" s="9" t="s">
        <v>185</v>
      </c>
      <c r="D6" s="9" t="s">
        <v>185</v>
      </c>
      <c r="E6" s="9" t="s">
        <v>178</v>
      </c>
      <c r="F6" s="13">
        <v>751</v>
      </c>
      <c r="G6" s="13">
        <v>0</v>
      </c>
      <c r="H6" s="13">
        <v>0</v>
      </c>
      <c r="I6" s="13">
        <v>751</v>
      </c>
      <c r="J6" s="45">
        <v>203</v>
      </c>
      <c r="K6" s="45" t="s">
        <v>179</v>
      </c>
      <c r="L6" s="45" t="s">
        <v>180</v>
      </c>
    </row>
    <row r="7" spans="1:12" ht="15" customHeight="1" x14ac:dyDescent="0.2">
      <c r="A7" s="9">
        <v>25155235</v>
      </c>
      <c r="B7" s="9" t="s">
        <v>160</v>
      </c>
      <c r="C7" s="9" t="s">
        <v>186</v>
      </c>
      <c r="D7" s="9" t="s">
        <v>186</v>
      </c>
      <c r="E7" s="9" t="s">
        <v>178</v>
      </c>
      <c r="F7" s="13">
        <v>1116</v>
      </c>
      <c r="G7" s="13">
        <v>223</v>
      </c>
      <c r="H7" s="13">
        <v>0</v>
      </c>
      <c r="I7" s="13">
        <v>1339</v>
      </c>
      <c r="J7" s="45">
        <v>203</v>
      </c>
      <c r="K7" s="45" t="s">
        <v>179</v>
      </c>
      <c r="L7" s="45" t="s">
        <v>180</v>
      </c>
    </row>
    <row r="8" spans="1:12" ht="15" customHeight="1" x14ac:dyDescent="0.2">
      <c r="A8" s="9">
        <v>25155235</v>
      </c>
      <c r="B8" s="9" t="s">
        <v>160</v>
      </c>
      <c r="C8" s="9" t="s">
        <v>187</v>
      </c>
      <c r="D8" s="9" t="s">
        <v>177</v>
      </c>
      <c r="E8" s="9" t="s">
        <v>178</v>
      </c>
      <c r="F8" s="13">
        <v>2231</v>
      </c>
      <c r="G8" s="13">
        <v>446</v>
      </c>
      <c r="H8" s="13">
        <v>0</v>
      </c>
      <c r="I8" s="13">
        <v>2677</v>
      </c>
      <c r="J8" s="45">
        <v>203</v>
      </c>
      <c r="K8" s="45" t="s">
        <v>179</v>
      </c>
      <c r="L8" s="45" t="s">
        <v>180</v>
      </c>
    </row>
    <row r="9" spans="1:12" ht="15" customHeight="1" x14ac:dyDescent="0.2">
      <c r="A9" s="9">
        <v>25155235</v>
      </c>
      <c r="B9" s="9" t="s">
        <v>160</v>
      </c>
      <c r="C9" s="9" t="s">
        <v>188</v>
      </c>
      <c r="D9" s="9" t="s">
        <v>189</v>
      </c>
      <c r="E9" s="9" t="s">
        <v>178</v>
      </c>
      <c r="F9" s="13">
        <v>2231</v>
      </c>
      <c r="G9" s="13">
        <v>446</v>
      </c>
      <c r="H9" s="13">
        <v>0</v>
      </c>
      <c r="I9" s="13">
        <v>2677</v>
      </c>
      <c r="J9" s="45">
        <v>203</v>
      </c>
      <c r="K9" s="45" t="s">
        <v>179</v>
      </c>
      <c r="L9" s="45" t="s">
        <v>180</v>
      </c>
    </row>
    <row r="10" spans="1:12" ht="15" customHeight="1" x14ac:dyDescent="0.2">
      <c r="A10" s="9">
        <v>25155235</v>
      </c>
      <c r="B10" s="9" t="s">
        <v>160</v>
      </c>
      <c r="C10" s="9" t="s">
        <v>190</v>
      </c>
      <c r="D10" s="9" t="s">
        <v>191</v>
      </c>
      <c r="E10" s="9" t="s">
        <v>178</v>
      </c>
      <c r="F10" s="13">
        <v>2231</v>
      </c>
      <c r="G10" s="13">
        <v>446</v>
      </c>
      <c r="H10" s="13">
        <v>0</v>
      </c>
      <c r="I10" s="13">
        <v>2677</v>
      </c>
      <c r="J10" s="45">
        <v>203</v>
      </c>
      <c r="K10" s="45" t="s">
        <v>179</v>
      </c>
      <c r="L10" s="45" t="s">
        <v>180</v>
      </c>
    </row>
    <row r="11" spans="1:12" ht="15" customHeight="1" x14ac:dyDescent="0.2">
      <c r="A11" s="9">
        <v>25155235</v>
      </c>
      <c r="B11" s="9" t="s">
        <v>160</v>
      </c>
      <c r="C11" s="9" t="s">
        <v>192</v>
      </c>
      <c r="D11" s="9" t="s">
        <v>193</v>
      </c>
      <c r="E11" s="9" t="s">
        <v>178</v>
      </c>
      <c r="F11" s="13">
        <v>2231</v>
      </c>
      <c r="G11" s="13">
        <v>446</v>
      </c>
      <c r="H11" s="13">
        <v>0</v>
      </c>
      <c r="I11" s="13">
        <v>2677</v>
      </c>
      <c r="J11" s="45">
        <v>203</v>
      </c>
      <c r="K11" s="45" t="s">
        <v>179</v>
      </c>
      <c r="L11" s="45" t="s">
        <v>180</v>
      </c>
    </row>
    <row r="12" spans="1:12" ht="15" customHeight="1" x14ac:dyDescent="0.2">
      <c r="A12" s="9">
        <v>25155235</v>
      </c>
      <c r="B12" s="9" t="s">
        <v>160</v>
      </c>
      <c r="C12" s="9" t="s">
        <v>181</v>
      </c>
      <c r="D12" s="9" t="s">
        <v>194</v>
      </c>
      <c r="E12" s="9" t="s">
        <v>178</v>
      </c>
      <c r="F12" s="13">
        <v>1116</v>
      </c>
      <c r="G12" s="13">
        <v>446</v>
      </c>
      <c r="H12" s="13">
        <v>0</v>
      </c>
      <c r="I12" s="13">
        <v>1562</v>
      </c>
      <c r="J12" s="45">
        <v>203</v>
      </c>
      <c r="K12" s="45" t="s">
        <v>179</v>
      </c>
      <c r="L12" s="45" t="s">
        <v>180</v>
      </c>
    </row>
    <row r="13" spans="1:12" ht="15" customHeight="1" x14ac:dyDescent="0.2">
      <c r="A13" s="9">
        <v>25155235</v>
      </c>
      <c r="B13" s="9" t="s">
        <v>160</v>
      </c>
      <c r="C13" s="9" t="s">
        <v>195</v>
      </c>
      <c r="D13" s="9" t="s">
        <v>195</v>
      </c>
      <c r="E13" s="9" t="s">
        <v>178</v>
      </c>
      <c r="F13" s="13">
        <v>1116</v>
      </c>
      <c r="G13" s="13">
        <v>223</v>
      </c>
      <c r="H13" s="13">
        <v>0</v>
      </c>
      <c r="I13" s="13">
        <v>1339</v>
      </c>
      <c r="J13" s="45">
        <v>203</v>
      </c>
      <c r="K13" s="45" t="s">
        <v>179</v>
      </c>
      <c r="L13" s="45" t="s">
        <v>180</v>
      </c>
    </row>
    <row r="14" spans="1:12" ht="15" customHeight="1" x14ac:dyDescent="0.2">
      <c r="A14" s="9">
        <v>25155235</v>
      </c>
      <c r="B14" s="9" t="s">
        <v>160</v>
      </c>
      <c r="C14" s="9" t="s">
        <v>196</v>
      </c>
      <c r="D14" s="9" t="s">
        <v>196</v>
      </c>
      <c r="E14" s="9" t="s">
        <v>178</v>
      </c>
      <c r="F14" s="13">
        <v>1116</v>
      </c>
      <c r="G14" s="13">
        <v>223</v>
      </c>
      <c r="H14" s="13">
        <v>0</v>
      </c>
      <c r="I14" s="13">
        <v>1339</v>
      </c>
      <c r="J14" s="45">
        <v>203</v>
      </c>
      <c r="K14" s="45" t="s">
        <v>179</v>
      </c>
      <c r="L14" s="45" t="s">
        <v>180</v>
      </c>
    </row>
    <row r="15" spans="1:12" ht="15" customHeight="1" x14ac:dyDescent="0.2">
      <c r="A15" s="9">
        <v>28027738</v>
      </c>
      <c r="B15" s="9" t="s">
        <v>121</v>
      </c>
      <c r="C15" s="9" t="s">
        <v>182</v>
      </c>
      <c r="D15" s="9" t="s">
        <v>197</v>
      </c>
      <c r="E15" s="9" t="s">
        <v>178</v>
      </c>
      <c r="F15" s="13">
        <v>2206</v>
      </c>
      <c r="G15" s="13">
        <v>556</v>
      </c>
      <c r="H15" s="13">
        <v>0</v>
      </c>
      <c r="I15" s="13">
        <v>2762</v>
      </c>
      <c r="J15" s="45">
        <v>203</v>
      </c>
      <c r="K15" s="45" t="s">
        <v>179</v>
      </c>
      <c r="L15" s="45" t="s">
        <v>180</v>
      </c>
    </row>
    <row r="16" spans="1:12" ht="15" customHeight="1" x14ac:dyDescent="0.2">
      <c r="A16" s="9">
        <v>69304962</v>
      </c>
      <c r="B16" s="9" t="s">
        <v>131</v>
      </c>
      <c r="C16" s="9" t="s">
        <v>198</v>
      </c>
      <c r="D16" s="9" t="s">
        <v>199</v>
      </c>
      <c r="E16" s="9" t="s">
        <v>178</v>
      </c>
      <c r="F16" s="13">
        <v>6811</v>
      </c>
      <c r="G16" s="13">
        <v>973</v>
      </c>
      <c r="H16" s="13">
        <v>0</v>
      </c>
      <c r="I16" s="13">
        <v>7784</v>
      </c>
      <c r="J16" s="45">
        <v>203</v>
      </c>
      <c r="K16" s="45" t="s">
        <v>179</v>
      </c>
      <c r="L16" s="45" t="s">
        <v>180</v>
      </c>
    </row>
    <row r="17" spans="1:12" ht="15" customHeight="1" x14ac:dyDescent="0.2">
      <c r="A17" s="9">
        <v>203661004</v>
      </c>
      <c r="B17" s="9" t="s">
        <v>125</v>
      </c>
      <c r="C17" s="9" t="s">
        <v>198</v>
      </c>
      <c r="D17" s="9" t="s">
        <v>199</v>
      </c>
      <c r="E17" s="9" t="s">
        <v>178</v>
      </c>
      <c r="F17" s="13">
        <v>4638</v>
      </c>
      <c r="G17" s="13">
        <v>663</v>
      </c>
      <c r="H17" s="13">
        <v>0</v>
      </c>
      <c r="I17" s="13">
        <v>5301</v>
      </c>
      <c r="J17" s="45">
        <v>203</v>
      </c>
      <c r="K17" s="45" t="s">
        <v>179</v>
      </c>
      <c r="L17" s="45" t="s">
        <v>180</v>
      </c>
    </row>
    <row r="18" spans="1:12" ht="15" customHeight="1" x14ac:dyDescent="0.2">
      <c r="A18" s="9">
        <v>209501998</v>
      </c>
      <c r="B18" s="9" t="s">
        <v>145</v>
      </c>
      <c r="C18" s="9" t="s">
        <v>185</v>
      </c>
      <c r="D18" s="9" t="s">
        <v>185</v>
      </c>
      <c r="E18" s="9" t="s">
        <v>178</v>
      </c>
      <c r="F18" s="13">
        <v>550</v>
      </c>
      <c r="G18" s="13">
        <v>0</v>
      </c>
      <c r="H18" s="13">
        <v>0</v>
      </c>
      <c r="I18" s="13">
        <v>550</v>
      </c>
      <c r="J18" s="45">
        <v>203</v>
      </c>
      <c r="K18" s="45" t="s">
        <v>179</v>
      </c>
      <c r="L18" s="45" t="s">
        <v>180</v>
      </c>
    </row>
    <row r="19" spans="1:12" ht="15" customHeight="1" x14ac:dyDescent="0.2">
      <c r="A19" s="9">
        <v>211877550</v>
      </c>
      <c r="B19" s="9" t="s">
        <v>112</v>
      </c>
      <c r="C19" s="9" t="s">
        <v>198</v>
      </c>
      <c r="D19" s="9" t="s">
        <v>199</v>
      </c>
      <c r="E19" s="9" t="s">
        <v>178</v>
      </c>
      <c r="F19" s="13">
        <v>1010</v>
      </c>
      <c r="G19" s="13">
        <v>606</v>
      </c>
      <c r="H19" s="13">
        <v>0</v>
      </c>
      <c r="I19" s="13">
        <v>1616</v>
      </c>
      <c r="J19" s="45">
        <v>203</v>
      </c>
      <c r="K19" s="45" t="s">
        <v>179</v>
      </c>
      <c r="L19" s="45" t="s">
        <v>180</v>
      </c>
    </row>
    <row r="20" spans="1:12" ht="15" customHeight="1" x14ac:dyDescent="0.2">
      <c r="A20" s="9">
        <v>308280510</v>
      </c>
      <c r="B20" s="9" t="s">
        <v>149</v>
      </c>
      <c r="C20" s="9" t="s">
        <v>200</v>
      </c>
      <c r="D20" s="9" t="s">
        <v>201</v>
      </c>
      <c r="E20" s="9" t="s">
        <v>178</v>
      </c>
      <c r="F20" s="13">
        <v>2334</v>
      </c>
      <c r="G20" s="13">
        <v>427</v>
      </c>
      <c r="H20" s="13">
        <v>0</v>
      </c>
      <c r="I20" s="13">
        <v>2761</v>
      </c>
      <c r="J20" s="45">
        <v>203</v>
      </c>
      <c r="K20" s="45" t="s">
        <v>179</v>
      </c>
      <c r="L20" s="45" t="s">
        <v>180</v>
      </c>
    </row>
    <row r="21" spans="1:12" ht="15" customHeight="1" x14ac:dyDescent="0.2">
      <c r="A21" s="9">
        <v>315536524</v>
      </c>
      <c r="B21" s="9" t="s">
        <v>163</v>
      </c>
      <c r="C21" s="9" t="s">
        <v>202</v>
      </c>
      <c r="D21" s="9" t="s">
        <v>203</v>
      </c>
      <c r="E21" s="9" t="s">
        <v>178</v>
      </c>
      <c r="F21" s="13">
        <v>1448</v>
      </c>
      <c r="G21" s="13">
        <v>0</v>
      </c>
      <c r="H21" s="13">
        <v>0</v>
      </c>
      <c r="I21" s="13">
        <v>1448</v>
      </c>
      <c r="J21" s="45">
        <v>203</v>
      </c>
      <c r="K21" s="45" t="s">
        <v>179</v>
      </c>
      <c r="L21" s="45" t="s">
        <v>180</v>
      </c>
    </row>
    <row r="22" spans="1:12" ht="15" customHeight="1" x14ac:dyDescent="0.2">
      <c r="A22" s="9">
        <v>315536524</v>
      </c>
      <c r="B22" s="9" t="s">
        <v>163</v>
      </c>
      <c r="C22" s="9" t="s">
        <v>204</v>
      </c>
      <c r="D22" s="9" t="s">
        <v>185</v>
      </c>
      <c r="E22" s="9" t="s">
        <v>178</v>
      </c>
      <c r="F22" s="13">
        <v>2063</v>
      </c>
      <c r="G22" s="13">
        <v>0</v>
      </c>
      <c r="H22" s="13">
        <v>0</v>
      </c>
      <c r="I22" s="13">
        <v>2063</v>
      </c>
      <c r="J22" s="45">
        <v>203</v>
      </c>
      <c r="K22" s="45" t="s">
        <v>179</v>
      </c>
      <c r="L22" s="45" t="s">
        <v>180</v>
      </c>
    </row>
    <row r="23" spans="1:12" ht="15" customHeight="1" x14ac:dyDescent="0.2">
      <c r="A23" s="9">
        <v>315919936</v>
      </c>
      <c r="B23" s="9" t="s">
        <v>128</v>
      </c>
      <c r="C23" s="9" t="s">
        <v>200</v>
      </c>
      <c r="D23" s="9" t="s">
        <v>200</v>
      </c>
      <c r="E23" s="9" t="s">
        <v>178</v>
      </c>
      <c r="F23" s="13">
        <v>551</v>
      </c>
      <c r="G23" s="13">
        <v>110</v>
      </c>
      <c r="H23" s="13">
        <v>0</v>
      </c>
      <c r="I23" s="13">
        <v>661</v>
      </c>
      <c r="J23" s="45">
        <v>203</v>
      </c>
      <c r="K23" s="45" t="s">
        <v>179</v>
      </c>
      <c r="L23" s="45" t="s">
        <v>180</v>
      </c>
    </row>
    <row r="24" spans="1:12" ht="15" customHeight="1" x14ac:dyDescent="0.2">
      <c r="A24" s="9">
        <v>315919936</v>
      </c>
      <c r="B24" s="9" t="s">
        <v>128</v>
      </c>
      <c r="C24" s="9" t="s">
        <v>205</v>
      </c>
      <c r="D24" s="9" t="s">
        <v>205</v>
      </c>
      <c r="E24" s="9" t="s">
        <v>178</v>
      </c>
      <c r="F24" s="13">
        <v>1102</v>
      </c>
      <c r="G24" s="13">
        <v>110</v>
      </c>
      <c r="H24" s="13">
        <v>0</v>
      </c>
      <c r="I24" s="13">
        <v>1212</v>
      </c>
      <c r="J24" s="45">
        <v>203</v>
      </c>
      <c r="K24" s="45" t="s">
        <v>179</v>
      </c>
      <c r="L24" s="45" t="s">
        <v>180</v>
      </c>
    </row>
    <row r="25" spans="1:12" ht="15" customHeight="1" x14ac:dyDescent="0.2">
      <c r="A25" s="9">
        <v>315919936</v>
      </c>
      <c r="B25" s="9" t="s">
        <v>128</v>
      </c>
      <c r="C25" s="9" t="s">
        <v>206</v>
      </c>
      <c r="D25" s="9" t="s">
        <v>206</v>
      </c>
      <c r="E25" s="9" t="s">
        <v>178</v>
      </c>
      <c r="F25" s="13">
        <v>1102</v>
      </c>
      <c r="G25" s="13">
        <v>110</v>
      </c>
      <c r="H25" s="13">
        <v>0</v>
      </c>
      <c r="I25" s="13">
        <v>1212</v>
      </c>
      <c r="J25" s="45">
        <v>203</v>
      </c>
      <c r="K25" s="45" t="s">
        <v>179</v>
      </c>
      <c r="L25" s="45" t="s">
        <v>180</v>
      </c>
    </row>
    <row r="26" spans="1:12" ht="15" customHeight="1" x14ac:dyDescent="0.2">
      <c r="A26" s="9">
        <v>315919936</v>
      </c>
      <c r="B26" s="9" t="s">
        <v>128</v>
      </c>
      <c r="C26" s="9" t="s">
        <v>198</v>
      </c>
      <c r="D26" s="9" t="s">
        <v>199</v>
      </c>
      <c r="E26" s="9" t="s">
        <v>178</v>
      </c>
      <c r="F26" s="13">
        <v>2718</v>
      </c>
      <c r="G26" s="13">
        <v>544</v>
      </c>
      <c r="H26" s="13">
        <v>0</v>
      </c>
      <c r="I26" s="13">
        <v>3262</v>
      </c>
      <c r="J26" s="45">
        <v>203</v>
      </c>
      <c r="K26" s="45" t="s">
        <v>179</v>
      </c>
      <c r="L26" s="45" t="s">
        <v>180</v>
      </c>
    </row>
    <row r="27" spans="1:12" ht="15" customHeight="1" x14ac:dyDescent="0.2">
      <c r="A27" s="9">
        <v>315919936</v>
      </c>
      <c r="B27" s="9" t="s">
        <v>128</v>
      </c>
      <c r="C27" s="9" t="s">
        <v>207</v>
      </c>
      <c r="D27" s="9" t="s">
        <v>207</v>
      </c>
      <c r="E27" s="9" t="s">
        <v>178</v>
      </c>
      <c r="F27" s="13">
        <v>97</v>
      </c>
      <c r="G27" s="13">
        <v>0</v>
      </c>
      <c r="H27" s="13">
        <v>0</v>
      </c>
      <c r="I27" s="13">
        <v>97</v>
      </c>
      <c r="J27" s="45">
        <v>204</v>
      </c>
      <c r="K27" s="45" t="s">
        <v>179</v>
      </c>
      <c r="L27" s="45" t="s">
        <v>208</v>
      </c>
    </row>
    <row r="28" spans="1:12" ht="15" customHeight="1" x14ac:dyDescent="0.2">
      <c r="A28" s="9">
        <v>315919936</v>
      </c>
      <c r="B28" s="9" t="s">
        <v>128</v>
      </c>
      <c r="C28" s="9" t="s">
        <v>209</v>
      </c>
      <c r="D28" s="9" t="s">
        <v>210</v>
      </c>
      <c r="E28" s="9" t="s">
        <v>178</v>
      </c>
      <c r="F28" s="13">
        <v>484</v>
      </c>
      <c r="G28" s="13">
        <v>0</v>
      </c>
      <c r="H28" s="13">
        <v>0</v>
      </c>
      <c r="I28" s="13">
        <v>484</v>
      </c>
      <c r="J28" s="45">
        <v>204</v>
      </c>
      <c r="K28" s="45" t="s">
        <v>179</v>
      </c>
      <c r="L28" s="45" t="s">
        <v>208</v>
      </c>
    </row>
    <row r="29" spans="1:12" ht="15" customHeight="1" x14ac:dyDescent="0.2">
      <c r="A29" s="9">
        <v>11915519</v>
      </c>
      <c r="B29" s="9" t="s">
        <v>152</v>
      </c>
      <c r="C29" s="9" t="s">
        <v>211</v>
      </c>
      <c r="D29" s="9" t="s">
        <v>212</v>
      </c>
      <c r="E29" s="9" t="s">
        <v>178</v>
      </c>
      <c r="F29" s="13">
        <v>7184</v>
      </c>
      <c r="G29" s="13">
        <v>1217</v>
      </c>
      <c r="H29" s="13">
        <v>0</v>
      </c>
      <c r="I29" s="13">
        <v>8401</v>
      </c>
      <c r="J29" s="45">
        <v>408</v>
      </c>
      <c r="K29" s="45" t="s">
        <v>213</v>
      </c>
      <c r="L29" s="45" t="s">
        <v>214</v>
      </c>
    </row>
    <row r="30" spans="1:12" ht="15" customHeight="1" x14ac:dyDescent="0.2">
      <c r="A30" s="9">
        <v>11915519</v>
      </c>
      <c r="B30" s="9" t="s">
        <v>152</v>
      </c>
      <c r="C30" s="9" t="s">
        <v>215</v>
      </c>
      <c r="D30" s="9" t="s">
        <v>216</v>
      </c>
      <c r="E30" s="9" t="s">
        <v>178</v>
      </c>
      <c r="F30" s="13">
        <v>2873</v>
      </c>
      <c r="G30" s="13">
        <v>481</v>
      </c>
      <c r="H30" s="13">
        <v>0</v>
      </c>
      <c r="I30" s="13">
        <v>3354</v>
      </c>
      <c r="J30" s="45">
        <v>408</v>
      </c>
      <c r="K30" s="45" t="s">
        <v>213</v>
      </c>
      <c r="L30" s="45" t="s">
        <v>214</v>
      </c>
    </row>
    <row r="31" spans="1:12" ht="15" customHeight="1" x14ac:dyDescent="0.2">
      <c r="A31" s="9">
        <v>11915519</v>
      </c>
      <c r="B31" s="9" t="s">
        <v>152</v>
      </c>
      <c r="C31" s="9" t="s">
        <v>217</v>
      </c>
      <c r="D31" s="9" t="s">
        <v>217</v>
      </c>
      <c r="E31" s="9" t="s">
        <v>178</v>
      </c>
      <c r="F31" s="13">
        <v>1437</v>
      </c>
      <c r="G31" s="13">
        <v>240</v>
      </c>
      <c r="H31" s="13">
        <v>0</v>
      </c>
      <c r="I31" s="13">
        <v>1677</v>
      </c>
      <c r="J31" s="45">
        <v>408</v>
      </c>
      <c r="K31" s="45" t="s">
        <v>213</v>
      </c>
      <c r="L31" s="45" t="s">
        <v>214</v>
      </c>
    </row>
    <row r="32" spans="1:12" ht="15" customHeight="1" x14ac:dyDescent="0.2">
      <c r="A32" s="9">
        <v>22201347</v>
      </c>
      <c r="B32" s="9" t="s">
        <v>139</v>
      </c>
      <c r="C32" s="9" t="s">
        <v>218</v>
      </c>
      <c r="D32" s="9" t="s">
        <v>218</v>
      </c>
      <c r="E32" s="9" t="s">
        <v>178</v>
      </c>
      <c r="F32" s="13">
        <v>1174</v>
      </c>
      <c r="G32" s="13">
        <v>235</v>
      </c>
      <c r="H32" s="13">
        <v>0</v>
      </c>
      <c r="I32" s="13">
        <v>1409</v>
      </c>
      <c r="J32" s="45">
        <v>408</v>
      </c>
      <c r="K32" s="45" t="s">
        <v>213</v>
      </c>
      <c r="L32" s="45" t="s">
        <v>214</v>
      </c>
    </row>
    <row r="33" spans="1:12" ht="15" customHeight="1" x14ac:dyDescent="0.2">
      <c r="A33" s="9">
        <v>22201347</v>
      </c>
      <c r="B33" s="9" t="s">
        <v>139</v>
      </c>
      <c r="C33" s="9" t="s">
        <v>219</v>
      </c>
      <c r="D33" s="9" t="s">
        <v>220</v>
      </c>
      <c r="E33" s="9" t="s">
        <v>178</v>
      </c>
      <c r="F33" s="13">
        <v>3287</v>
      </c>
      <c r="G33" s="13">
        <v>470</v>
      </c>
      <c r="H33" s="13">
        <v>0</v>
      </c>
      <c r="I33" s="13">
        <v>3757</v>
      </c>
      <c r="J33" s="45">
        <v>408</v>
      </c>
      <c r="K33" s="45" t="s">
        <v>213</v>
      </c>
      <c r="L33" s="45" t="s">
        <v>214</v>
      </c>
    </row>
    <row r="34" spans="1:12" ht="15" customHeight="1" x14ac:dyDescent="0.2">
      <c r="A34" s="9">
        <v>22201347</v>
      </c>
      <c r="B34" s="9" t="s">
        <v>139</v>
      </c>
      <c r="C34" s="9" t="s">
        <v>221</v>
      </c>
      <c r="D34" s="9" t="s">
        <v>221</v>
      </c>
      <c r="E34" s="9" t="s">
        <v>178</v>
      </c>
      <c r="F34" s="13">
        <v>1174</v>
      </c>
      <c r="G34" s="13">
        <v>235</v>
      </c>
      <c r="H34" s="13">
        <v>0</v>
      </c>
      <c r="I34" s="13">
        <v>1409</v>
      </c>
      <c r="J34" s="45">
        <v>408</v>
      </c>
      <c r="K34" s="45" t="s">
        <v>213</v>
      </c>
      <c r="L34" s="45" t="s">
        <v>214</v>
      </c>
    </row>
    <row r="35" spans="1:12" ht="15" customHeight="1" x14ac:dyDescent="0.2">
      <c r="A35" s="9">
        <v>22201347</v>
      </c>
      <c r="B35" s="9" t="s">
        <v>139</v>
      </c>
      <c r="C35" s="9" t="s">
        <v>222</v>
      </c>
      <c r="D35" s="9" t="s">
        <v>222</v>
      </c>
      <c r="E35" s="9" t="s">
        <v>178</v>
      </c>
      <c r="F35" s="13">
        <v>1233</v>
      </c>
      <c r="G35" s="13">
        <v>247</v>
      </c>
      <c r="H35" s="13">
        <v>0</v>
      </c>
      <c r="I35" s="13">
        <v>1480</v>
      </c>
      <c r="J35" s="45">
        <v>408</v>
      </c>
      <c r="K35" s="45" t="s">
        <v>213</v>
      </c>
      <c r="L35" s="45" t="s">
        <v>214</v>
      </c>
    </row>
    <row r="36" spans="1:12" ht="15" customHeight="1" x14ac:dyDescent="0.2">
      <c r="A36" s="9">
        <v>22201347</v>
      </c>
      <c r="B36" s="9" t="s">
        <v>139</v>
      </c>
      <c r="C36" s="9" t="s">
        <v>223</v>
      </c>
      <c r="D36" s="9" t="s">
        <v>223</v>
      </c>
      <c r="E36" s="9" t="s">
        <v>178</v>
      </c>
      <c r="F36" s="13">
        <v>1233</v>
      </c>
      <c r="G36" s="13">
        <v>247</v>
      </c>
      <c r="H36" s="13">
        <v>0</v>
      </c>
      <c r="I36" s="13">
        <v>1480</v>
      </c>
      <c r="J36" s="45">
        <v>408</v>
      </c>
      <c r="K36" s="45" t="s">
        <v>213</v>
      </c>
      <c r="L36" s="45" t="s">
        <v>214</v>
      </c>
    </row>
    <row r="37" spans="1:12" ht="15" customHeight="1" x14ac:dyDescent="0.2">
      <c r="A37" s="9">
        <v>22201347</v>
      </c>
      <c r="B37" s="9" t="s">
        <v>139</v>
      </c>
      <c r="C37" s="9" t="s">
        <v>224</v>
      </c>
      <c r="D37" s="9" t="s">
        <v>215</v>
      </c>
      <c r="E37" s="9" t="s">
        <v>178</v>
      </c>
      <c r="F37" s="13">
        <v>2466</v>
      </c>
      <c r="G37" s="13">
        <v>493</v>
      </c>
      <c r="H37" s="13">
        <v>0</v>
      </c>
      <c r="I37" s="13">
        <v>2959</v>
      </c>
      <c r="J37" s="45">
        <v>408</v>
      </c>
      <c r="K37" s="45" t="s">
        <v>213</v>
      </c>
      <c r="L37" s="45" t="s">
        <v>214</v>
      </c>
    </row>
    <row r="38" spans="1:12" ht="15" customHeight="1" x14ac:dyDescent="0.2">
      <c r="A38" s="9">
        <v>22201347</v>
      </c>
      <c r="B38" s="9" t="s">
        <v>139</v>
      </c>
      <c r="C38" s="9" t="s">
        <v>225</v>
      </c>
      <c r="D38" s="9" t="s">
        <v>226</v>
      </c>
      <c r="E38" s="9" t="s">
        <v>178</v>
      </c>
      <c r="F38" s="13">
        <v>2466</v>
      </c>
      <c r="G38" s="13">
        <v>493</v>
      </c>
      <c r="H38" s="13">
        <v>0</v>
      </c>
      <c r="I38" s="13">
        <v>2959</v>
      </c>
      <c r="J38" s="45">
        <v>408</v>
      </c>
      <c r="K38" s="45" t="s">
        <v>213</v>
      </c>
      <c r="L38" s="45" t="s">
        <v>214</v>
      </c>
    </row>
    <row r="39" spans="1:12" ht="15" customHeight="1" x14ac:dyDescent="0.2">
      <c r="A39" s="9">
        <v>25147505</v>
      </c>
      <c r="B39" s="9" t="s">
        <v>155</v>
      </c>
      <c r="C39" s="9" t="s">
        <v>227</v>
      </c>
      <c r="D39" s="9" t="s">
        <v>227</v>
      </c>
      <c r="E39" s="9" t="s">
        <v>178</v>
      </c>
      <c r="F39" s="13">
        <v>1107</v>
      </c>
      <c r="G39" s="13">
        <v>158</v>
      </c>
      <c r="H39" s="13">
        <v>0</v>
      </c>
      <c r="I39" s="13">
        <v>1265</v>
      </c>
      <c r="J39" s="45">
        <v>408</v>
      </c>
      <c r="K39" s="45" t="s">
        <v>213</v>
      </c>
      <c r="L39" s="45" t="s">
        <v>214</v>
      </c>
    </row>
    <row r="40" spans="1:12" ht="15" customHeight="1" x14ac:dyDescent="0.2">
      <c r="A40" s="9">
        <v>11915519</v>
      </c>
      <c r="B40" s="9" t="s">
        <v>152</v>
      </c>
      <c r="C40" s="9" t="s">
        <v>228</v>
      </c>
      <c r="D40" s="9" t="s">
        <v>228</v>
      </c>
      <c r="E40" s="9" t="s">
        <v>178</v>
      </c>
      <c r="F40" s="13">
        <v>1251</v>
      </c>
      <c r="G40" s="13">
        <v>250</v>
      </c>
      <c r="H40" s="13">
        <v>0</v>
      </c>
      <c r="I40" s="13">
        <v>1501</v>
      </c>
      <c r="J40" s="45">
        <v>802</v>
      </c>
      <c r="K40" s="45" t="s">
        <v>229</v>
      </c>
      <c r="L40" s="45" t="s">
        <v>230</v>
      </c>
    </row>
    <row r="41" spans="1:12" ht="15" customHeight="1" x14ac:dyDescent="0.2">
      <c r="A41" s="9">
        <v>11915519</v>
      </c>
      <c r="B41" s="9" t="s">
        <v>152</v>
      </c>
      <c r="C41" s="9" t="s">
        <v>231</v>
      </c>
      <c r="D41" s="9" t="s">
        <v>231</v>
      </c>
      <c r="E41" s="9" t="s">
        <v>178</v>
      </c>
      <c r="F41" s="13">
        <v>1251</v>
      </c>
      <c r="G41" s="13">
        <v>250</v>
      </c>
      <c r="H41" s="13">
        <v>0</v>
      </c>
      <c r="I41" s="13">
        <v>1501</v>
      </c>
      <c r="J41" s="45">
        <v>802</v>
      </c>
      <c r="K41" s="45" t="s">
        <v>229</v>
      </c>
      <c r="L41" s="45" t="s">
        <v>230</v>
      </c>
    </row>
    <row r="42" spans="1:12" ht="15" customHeight="1" x14ac:dyDescent="0.2">
      <c r="A42" s="9">
        <v>11915519</v>
      </c>
      <c r="B42" s="9" t="s">
        <v>152</v>
      </c>
      <c r="C42" s="9" t="s">
        <v>232</v>
      </c>
      <c r="D42" s="9" t="s">
        <v>232</v>
      </c>
      <c r="E42" s="9" t="s">
        <v>178</v>
      </c>
      <c r="F42" s="13">
        <v>891</v>
      </c>
      <c r="G42" s="13">
        <v>178</v>
      </c>
      <c r="H42" s="13">
        <v>0</v>
      </c>
      <c r="I42" s="13">
        <v>1069</v>
      </c>
      <c r="J42" s="45">
        <v>802</v>
      </c>
      <c r="K42" s="45" t="s">
        <v>229</v>
      </c>
      <c r="L42" s="45" t="s">
        <v>230</v>
      </c>
    </row>
    <row r="43" spans="1:12" ht="15" customHeight="1" x14ac:dyDescent="0.2">
      <c r="A43" s="9">
        <v>11915519</v>
      </c>
      <c r="B43" s="9" t="s">
        <v>152</v>
      </c>
      <c r="C43" s="9" t="s">
        <v>233</v>
      </c>
      <c r="D43" s="9" t="s">
        <v>233</v>
      </c>
      <c r="E43" s="9" t="s">
        <v>178</v>
      </c>
      <c r="F43" s="13">
        <v>891</v>
      </c>
      <c r="G43" s="13">
        <v>178</v>
      </c>
      <c r="H43" s="13">
        <v>0</v>
      </c>
      <c r="I43" s="13">
        <v>1069</v>
      </c>
      <c r="J43" s="45">
        <v>802</v>
      </c>
      <c r="K43" s="45" t="s">
        <v>229</v>
      </c>
      <c r="L43" s="45" t="s">
        <v>230</v>
      </c>
    </row>
    <row r="44" spans="1:12" ht="15" customHeight="1" x14ac:dyDescent="0.2">
      <c r="A44" s="9">
        <v>11915519</v>
      </c>
      <c r="B44" s="9" t="s">
        <v>152</v>
      </c>
      <c r="C44" s="9" t="s">
        <v>234</v>
      </c>
      <c r="D44" s="9" t="s">
        <v>234</v>
      </c>
      <c r="E44" s="9" t="s">
        <v>178</v>
      </c>
      <c r="F44" s="13">
        <v>891</v>
      </c>
      <c r="G44" s="13">
        <v>178</v>
      </c>
      <c r="H44" s="13">
        <v>0</v>
      </c>
      <c r="I44" s="13">
        <v>1069</v>
      </c>
      <c r="J44" s="45">
        <v>802</v>
      </c>
      <c r="K44" s="45" t="s">
        <v>229</v>
      </c>
      <c r="L44" s="45" t="s">
        <v>230</v>
      </c>
    </row>
    <row r="45" spans="1:12" ht="15" customHeight="1" x14ac:dyDescent="0.2">
      <c r="A45" s="9">
        <v>11915519</v>
      </c>
      <c r="B45" s="9" t="s">
        <v>152</v>
      </c>
      <c r="C45" s="9" t="s">
        <v>235</v>
      </c>
      <c r="D45" s="9" t="s">
        <v>235</v>
      </c>
      <c r="E45" s="9" t="s">
        <v>178</v>
      </c>
      <c r="F45" s="13">
        <v>891</v>
      </c>
      <c r="G45" s="13">
        <v>178</v>
      </c>
      <c r="H45" s="13">
        <v>0</v>
      </c>
      <c r="I45" s="13">
        <v>1069</v>
      </c>
      <c r="J45" s="45">
        <v>802</v>
      </c>
      <c r="K45" s="45" t="s">
        <v>229</v>
      </c>
      <c r="L45" s="45" t="s">
        <v>230</v>
      </c>
    </row>
    <row r="46" spans="1:12" ht="15" customHeight="1" x14ac:dyDescent="0.2">
      <c r="A46" s="9">
        <v>11915519</v>
      </c>
      <c r="B46" s="9" t="s">
        <v>152</v>
      </c>
      <c r="C46" s="9" t="s">
        <v>236</v>
      </c>
      <c r="D46" s="9" t="s">
        <v>237</v>
      </c>
      <c r="E46" s="9" t="s">
        <v>178</v>
      </c>
      <c r="F46" s="13">
        <v>6234</v>
      </c>
      <c r="G46" s="13">
        <v>1247</v>
      </c>
      <c r="H46" s="13">
        <v>0</v>
      </c>
      <c r="I46" s="13">
        <v>7481</v>
      </c>
      <c r="J46" s="45">
        <v>802</v>
      </c>
      <c r="K46" s="45" t="s">
        <v>229</v>
      </c>
      <c r="L46" s="45" t="s">
        <v>230</v>
      </c>
    </row>
    <row r="47" spans="1:12" ht="15" customHeight="1" x14ac:dyDescent="0.2">
      <c r="A47" s="9">
        <v>11915519</v>
      </c>
      <c r="B47" s="9" t="s">
        <v>152</v>
      </c>
      <c r="C47" s="9" t="s">
        <v>238</v>
      </c>
      <c r="D47" s="9" t="s">
        <v>239</v>
      </c>
      <c r="E47" s="9" t="s">
        <v>178</v>
      </c>
      <c r="F47" s="13">
        <v>26717</v>
      </c>
      <c r="G47" s="13">
        <v>5333</v>
      </c>
      <c r="H47" s="13">
        <v>0</v>
      </c>
      <c r="I47" s="13">
        <v>32050</v>
      </c>
      <c r="J47" s="45">
        <v>802</v>
      </c>
      <c r="K47" s="45" t="s">
        <v>229</v>
      </c>
      <c r="L47" s="45" t="s">
        <v>230</v>
      </c>
    </row>
    <row r="48" spans="1:12" ht="15" customHeight="1" x14ac:dyDescent="0.2">
      <c r="A48" s="9">
        <v>11915519</v>
      </c>
      <c r="B48" s="9" t="s">
        <v>152</v>
      </c>
      <c r="C48" s="9" t="s">
        <v>240</v>
      </c>
      <c r="D48" s="9" t="s">
        <v>241</v>
      </c>
      <c r="E48" s="9" t="s">
        <v>178</v>
      </c>
      <c r="F48" s="13">
        <v>27607</v>
      </c>
      <c r="G48" s="13">
        <v>5448</v>
      </c>
      <c r="H48" s="13">
        <v>0</v>
      </c>
      <c r="I48" s="13">
        <v>33055</v>
      </c>
      <c r="J48" s="45">
        <v>802</v>
      </c>
      <c r="K48" s="45" t="s">
        <v>229</v>
      </c>
      <c r="L48" s="45" t="s">
        <v>230</v>
      </c>
    </row>
    <row r="49" spans="1:12" ht="15" customHeight="1" x14ac:dyDescent="0.2">
      <c r="A49" s="9">
        <v>22201347</v>
      </c>
      <c r="B49" s="9" t="s">
        <v>139</v>
      </c>
      <c r="C49" s="9" t="s">
        <v>242</v>
      </c>
      <c r="D49" s="9" t="s">
        <v>243</v>
      </c>
      <c r="E49" s="9" t="s">
        <v>178</v>
      </c>
      <c r="F49" s="13">
        <v>3798</v>
      </c>
      <c r="G49" s="13">
        <v>760</v>
      </c>
      <c r="H49" s="13">
        <v>0</v>
      </c>
      <c r="I49" s="13">
        <v>4558</v>
      </c>
      <c r="J49" s="45">
        <v>802</v>
      </c>
      <c r="K49" s="45" t="s">
        <v>229</v>
      </c>
      <c r="L49" s="45" t="s">
        <v>230</v>
      </c>
    </row>
    <row r="50" spans="1:12" ht="15" customHeight="1" x14ac:dyDescent="0.2">
      <c r="A50" s="9">
        <v>22201347</v>
      </c>
      <c r="B50" s="9" t="s">
        <v>139</v>
      </c>
      <c r="C50" s="9" t="s">
        <v>244</v>
      </c>
      <c r="D50" s="9" t="s">
        <v>245</v>
      </c>
      <c r="E50" s="9" t="s">
        <v>178</v>
      </c>
      <c r="F50" s="13">
        <v>2532</v>
      </c>
      <c r="G50" s="13">
        <v>506</v>
      </c>
      <c r="H50" s="13">
        <v>0</v>
      </c>
      <c r="I50" s="13">
        <v>3038</v>
      </c>
      <c r="J50" s="45">
        <v>802</v>
      </c>
      <c r="K50" s="45" t="s">
        <v>229</v>
      </c>
      <c r="L50" s="45" t="s">
        <v>230</v>
      </c>
    </row>
    <row r="51" spans="1:12" ht="15" customHeight="1" x14ac:dyDescent="0.2">
      <c r="A51" s="9">
        <v>22201347</v>
      </c>
      <c r="B51" s="9" t="s">
        <v>139</v>
      </c>
      <c r="C51" s="9" t="s">
        <v>232</v>
      </c>
      <c r="D51" s="9" t="s">
        <v>246</v>
      </c>
      <c r="E51" s="9" t="s">
        <v>178</v>
      </c>
      <c r="F51" s="13">
        <v>5014</v>
      </c>
      <c r="G51" s="13">
        <v>1254</v>
      </c>
      <c r="H51" s="13">
        <v>0</v>
      </c>
      <c r="I51" s="13">
        <v>6268</v>
      </c>
      <c r="J51" s="45">
        <v>802</v>
      </c>
      <c r="K51" s="45" t="s">
        <v>229</v>
      </c>
      <c r="L51" s="45" t="s">
        <v>230</v>
      </c>
    </row>
    <row r="52" spans="1:12" ht="15" customHeight="1" x14ac:dyDescent="0.2">
      <c r="A52" s="9">
        <v>22201347</v>
      </c>
      <c r="B52" s="9" t="s">
        <v>139</v>
      </c>
      <c r="C52" s="9" t="s">
        <v>234</v>
      </c>
      <c r="D52" s="9" t="s">
        <v>234</v>
      </c>
      <c r="E52" s="9" t="s">
        <v>178</v>
      </c>
      <c r="F52" s="13">
        <v>1254</v>
      </c>
      <c r="G52" s="13">
        <v>251</v>
      </c>
      <c r="H52" s="13">
        <v>0</v>
      </c>
      <c r="I52" s="13">
        <v>1505</v>
      </c>
      <c r="J52" s="45">
        <v>802</v>
      </c>
      <c r="K52" s="45" t="s">
        <v>229</v>
      </c>
      <c r="L52" s="45" t="s">
        <v>230</v>
      </c>
    </row>
    <row r="53" spans="1:12" ht="15" customHeight="1" x14ac:dyDescent="0.2">
      <c r="A53" s="9">
        <v>22201347</v>
      </c>
      <c r="B53" s="9" t="s">
        <v>139</v>
      </c>
      <c r="C53" s="9" t="s">
        <v>247</v>
      </c>
      <c r="D53" s="9" t="s">
        <v>247</v>
      </c>
      <c r="E53" s="9" t="s">
        <v>178</v>
      </c>
      <c r="F53" s="13">
        <v>1254</v>
      </c>
      <c r="G53" s="13">
        <v>251</v>
      </c>
      <c r="H53" s="13">
        <v>0</v>
      </c>
      <c r="I53" s="13">
        <v>1505</v>
      </c>
      <c r="J53" s="45">
        <v>802</v>
      </c>
      <c r="K53" s="45" t="s">
        <v>229</v>
      </c>
      <c r="L53" s="45" t="s">
        <v>230</v>
      </c>
    </row>
    <row r="54" spans="1:12" ht="15" customHeight="1" x14ac:dyDescent="0.2">
      <c r="A54" s="9">
        <v>22201347</v>
      </c>
      <c r="B54" s="9" t="s">
        <v>139</v>
      </c>
      <c r="C54" s="9" t="s">
        <v>248</v>
      </c>
      <c r="D54" s="9" t="s">
        <v>248</v>
      </c>
      <c r="E54" s="9" t="s">
        <v>178</v>
      </c>
      <c r="F54" s="13">
        <v>1294</v>
      </c>
      <c r="G54" s="13">
        <v>259</v>
      </c>
      <c r="H54" s="13">
        <v>0</v>
      </c>
      <c r="I54" s="13">
        <v>1553</v>
      </c>
      <c r="J54" s="45">
        <v>802</v>
      </c>
      <c r="K54" s="45" t="s">
        <v>229</v>
      </c>
      <c r="L54" s="45" t="s">
        <v>230</v>
      </c>
    </row>
    <row r="55" spans="1:12" ht="15" customHeight="1" x14ac:dyDescent="0.2">
      <c r="A55" s="9">
        <v>22201347</v>
      </c>
      <c r="B55" s="9" t="s">
        <v>139</v>
      </c>
      <c r="C55" s="9" t="s">
        <v>249</v>
      </c>
      <c r="D55" s="9" t="s">
        <v>250</v>
      </c>
      <c r="E55" s="9" t="s">
        <v>178</v>
      </c>
      <c r="F55" s="13">
        <v>2587</v>
      </c>
      <c r="G55" s="13">
        <v>517</v>
      </c>
      <c r="H55" s="13">
        <v>0</v>
      </c>
      <c r="I55" s="13">
        <v>3104</v>
      </c>
      <c r="J55" s="45">
        <v>802</v>
      </c>
      <c r="K55" s="45" t="s">
        <v>229</v>
      </c>
      <c r="L55" s="45" t="s">
        <v>230</v>
      </c>
    </row>
    <row r="56" spans="1:12" ht="15" customHeight="1" x14ac:dyDescent="0.2">
      <c r="A56" s="9">
        <v>25147505</v>
      </c>
      <c r="B56" s="9" t="s">
        <v>155</v>
      </c>
      <c r="C56" s="9" t="s">
        <v>251</v>
      </c>
      <c r="D56" s="9" t="s">
        <v>251</v>
      </c>
      <c r="E56" s="9" t="s">
        <v>178</v>
      </c>
      <c r="F56" s="13">
        <v>812</v>
      </c>
      <c r="G56" s="13">
        <v>162</v>
      </c>
      <c r="H56" s="13">
        <v>0</v>
      </c>
      <c r="I56" s="13">
        <v>974</v>
      </c>
      <c r="J56" s="45">
        <v>802</v>
      </c>
      <c r="K56" s="45" t="s">
        <v>229</v>
      </c>
      <c r="L56" s="45" t="s">
        <v>230</v>
      </c>
    </row>
    <row r="57" spans="1:12" ht="15" customHeight="1" x14ac:dyDescent="0.2">
      <c r="A57" s="9">
        <v>25147505</v>
      </c>
      <c r="B57" s="9" t="s">
        <v>155</v>
      </c>
      <c r="C57" s="9" t="s">
        <v>252</v>
      </c>
      <c r="D57" s="9" t="s">
        <v>253</v>
      </c>
      <c r="E57" s="9" t="s">
        <v>178</v>
      </c>
      <c r="F57" s="13">
        <v>1623</v>
      </c>
      <c r="G57" s="13">
        <v>325</v>
      </c>
      <c r="H57" s="13">
        <v>0</v>
      </c>
      <c r="I57" s="13">
        <v>1948</v>
      </c>
      <c r="J57" s="45">
        <v>802</v>
      </c>
      <c r="K57" s="45" t="s">
        <v>229</v>
      </c>
      <c r="L57" s="45" t="s">
        <v>230</v>
      </c>
    </row>
    <row r="58" spans="1:12" ht="15" customHeight="1" x14ac:dyDescent="0.2">
      <c r="A58" s="9">
        <v>25147505</v>
      </c>
      <c r="B58" s="9" t="s">
        <v>155</v>
      </c>
      <c r="C58" s="9" t="s">
        <v>254</v>
      </c>
      <c r="D58" s="9" t="s">
        <v>254</v>
      </c>
      <c r="E58" s="9" t="s">
        <v>178</v>
      </c>
      <c r="F58" s="13">
        <v>812</v>
      </c>
      <c r="G58" s="13">
        <v>162</v>
      </c>
      <c r="H58" s="13">
        <v>0</v>
      </c>
      <c r="I58" s="13">
        <v>974</v>
      </c>
      <c r="J58" s="45">
        <v>802</v>
      </c>
      <c r="K58" s="45" t="s">
        <v>229</v>
      </c>
      <c r="L58" s="45" t="s">
        <v>230</v>
      </c>
    </row>
    <row r="59" spans="1:12" ht="15" customHeight="1" x14ac:dyDescent="0.2">
      <c r="A59" s="9">
        <v>25147505</v>
      </c>
      <c r="B59" s="9" t="s">
        <v>155</v>
      </c>
      <c r="C59" s="9" t="s">
        <v>255</v>
      </c>
      <c r="D59" s="9" t="s">
        <v>255</v>
      </c>
      <c r="E59" s="9" t="s">
        <v>178</v>
      </c>
      <c r="F59" s="13">
        <v>813</v>
      </c>
      <c r="G59" s="13">
        <v>163</v>
      </c>
      <c r="H59" s="13">
        <v>0</v>
      </c>
      <c r="I59" s="13">
        <v>976</v>
      </c>
      <c r="J59" s="45">
        <v>802</v>
      </c>
      <c r="K59" s="45" t="s">
        <v>229</v>
      </c>
      <c r="L59" s="45" t="s">
        <v>230</v>
      </c>
    </row>
    <row r="60" spans="1:12" ht="15" customHeight="1" x14ac:dyDescent="0.2">
      <c r="A60" s="9">
        <v>25147505</v>
      </c>
      <c r="B60" s="9" t="s">
        <v>155</v>
      </c>
      <c r="C60" s="9" t="s">
        <v>232</v>
      </c>
      <c r="D60" s="9" t="s">
        <v>232</v>
      </c>
      <c r="E60" s="9" t="s">
        <v>178</v>
      </c>
      <c r="F60" s="13">
        <v>805</v>
      </c>
      <c r="G60" s="13">
        <v>161</v>
      </c>
      <c r="H60" s="13">
        <v>0</v>
      </c>
      <c r="I60" s="13">
        <v>966</v>
      </c>
      <c r="J60" s="45">
        <v>802</v>
      </c>
      <c r="K60" s="45" t="s">
        <v>229</v>
      </c>
      <c r="L60" s="45" t="s">
        <v>230</v>
      </c>
    </row>
    <row r="61" spans="1:12" ht="15" customHeight="1" x14ac:dyDescent="0.2">
      <c r="A61" s="9">
        <v>25147505</v>
      </c>
      <c r="B61" s="9" t="s">
        <v>155</v>
      </c>
      <c r="C61" s="9" t="s">
        <v>234</v>
      </c>
      <c r="D61" s="9" t="s">
        <v>256</v>
      </c>
      <c r="E61" s="9" t="s">
        <v>178</v>
      </c>
      <c r="F61" s="13">
        <v>3221</v>
      </c>
      <c r="G61" s="13">
        <v>644</v>
      </c>
      <c r="H61" s="13">
        <v>0</v>
      </c>
      <c r="I61" s="13">
        <v>3865</v>
      </c>
      <c r="J61" s="45">
        <v>802</v>
      </c>
      <c r="K61" s="45" t="s">
        <v>229</v>
      </c>
      <c r="L61" s="45" t="s">
        <v>230</v>
      </c>
    </row>
    <row r="62" spans="1:12" ht="15" customHeight="1" x14ac:dyDescent="0.2">
      <c r="A62" s="9">
        <v>25147505</v>
      </c>
      <c r="B62" s="9" t="s">
        <v>155</v>
      </c>
      <c r="C62" s="9" t="s">
        <v>257</v>
      </c>
      <c r="D62" s="9" t="s">
        <v>258</v>
      </c>
      <c r="E62" s="9" t="s">
        <v>178</v>
      </c>
      <c r="F62" s="13">
        <v>3221</v>
      </c>
      <c r="G62" s="13">
        <v>644</v>
      </c>
      <c r="H62" s="13">
        <v>0</v>
      </c>
      <c r="I62" s="13">
        <v>3865</v>
      </c>
      <c r="J62" s="45">
        <v>802</v>
      </c>
      <c r="K62" s="45" t="s">
        <v>229</v>
      </c>
      <c r="L62" s="45" t="s">
        <v>230</v>
      </c>
    </row>
    <row r="63" spans="1:12" ht="15" customHeight="1" x14ac:dyDescent="0.2">
      <c r="A63" s="9">
        <v>25147505</v>
      </c>
      <c r="B63" s="9" t="s">
        <v>155</v>
      </c>
      <c r="C63" s="9" t="s">
        <v>236</v>
      </c>
      <c r="D63" s="9" t="s">
        <v>259</v>
      </c>
      <c r="E63" s="9" t="s">
        <v>178</v>
      </c>
      <c r="F63" s="13">
        <v>2415</v>
      </c>
      <c r="G63" s="13">
        <v>483</v>
      </c>
      <c r="H63" s="13">
        <v>0</v>
      </c>
      <c r="I63" s="13">
        <v>2898</v>
      </c>
      <c r="J63" s="45">
        <v>802</v>
      </c>
      <c r="K63" s="45" t="s">
        <v>229</v>
      </c>
      <c r="L63" s="45" t="s">
        <v>230</v>
      </c>
    </row>
    <row r="64" spans="1:12" ht="15" customHeight="1" x14ac:dyDescent="0.2">
      <c r="A64" s="9">
        <v>25147505</v>
      </c>
      <c r="B64" s="9" t="s">
        <v>155</v>
      </c>
      <c r="C64" s="9" t="s">
        <v>260</v>
      </c>
      <c r="D64" s="9" t="s">
        <v>260</v>
      </c>
      <c r="E64" s="9" t="s">
        <v>178</v>
      </c>
      <c r="F64" s="13">
        <v>775</v>
      </c>
      <c r="G64" s="13">
        <v>155</v>
      </c>
      <c r="H64" s="13">
        <v>0</v>
      </c>
      <c r="I64" s="13">
        <v>930</v>
      </c>
      <c r="J64" s="45">
        <v>802</v>
      </c>
      <c r="K64" s="45" t="s">
        <v>229</v>
      </c>
      <c r="L64" s="45" t="s">
        <v>230</v>
      </c>
    </row>
    <row r="65" spans="1:12" ht="15" customHeight="1" x14ac:dyDescent="0.2">
      <c r="A65" s="9">
        <v>25155235</v>
      </c>
      <c r="B65" s="9" t="s">
        <v>160</v>
      </c>
      <c r="C65" s="9" t="s">
        <v>261</v>
      </c>
      <c r="D65" s="9" t="s">
        <v>262</v>
      </c>
      <c r="E65" s="9" t="s">
        <v>178</v>
      </c>
      <c r="F65" s="13">
        <v>4722</v>
      </c>
      <c r="G65" s="13">
        <v>472</v>
      </c>
      <c r="H65" s="13">
        <v>0</v>
      </c>
      <c r="I65" s="13">
        <v>5194</v>
      </c>
      <c r="J65" s="45">
        <v>802</v>
      </c>
      <c r="K65" s="45" t="s">
        <v>229</v>
      </c>
      <c r="L65" s="45" t="s">
        <v>230</v>
      </c>
    </row>
    <row r="66" spans="1:12" ht="15" customHeight="1" x14ac:dyDescent="0.2">
      <c r="A66" s="9">
        <v>25155235</v>
      </c>
      <c r="B66" s="9" t="s">
        <v>160</v>
      </c>
      <c r="C66" s="9" t="s">
        <v>263</v>
      </c>
      <c r="D66" s="9" t="s">
        <v>264</v>
      </c>
      <c r="E66" s="9" t="s">
        <v>178</v>
      </c>
      <c r="F66" s="13">
        <v>4722</v>
      </c>
      <c r="G66" s="13">
        <v>472</v>
      </c>
      <c r="H66" s="13">
        <v>0</v>
      </c>
      <c r="I66" s="13">
        <v>5194</v>
      </c>
      <c r="J66" s="45">
        <v>802</v>
      </c>
      <c r="K66" s="45" t="s">
        <v>229</v>
      </c>
      <c r="L66" s="45" t="s">
        <v>230</v>
      </c>
    </row>
    <row r="67" spans="1:12" ht="15" customHeight="1" x14ac:dyDescent="0.2">
      <c r="A67" s="9">
        <v>25155235</v>
      </c>
      <c r="B67" s="9" t="s">
        <v>160</v>
      </c>
      <c r="C67" s="9" t="s">
        <v>223</v>
      </c>
      <c r="D67" s="9" t="s">
        <v>224</v>
      </c>
      <c r="E67" s="9" t="s">
        <v>178</v>
      </c>
      <c r="F67" s="13">
        <v>2361</v>
      </c>
      <c r="G67" s="13">
        <v>472</v>
      </c>
      <c r="H67" s="13">
        <v>0</v>
      </c>
      <c r="I67" s="13">
        <v>2833</v>
      </c>
      <c r="J67" s="45">
        <v>802</v>
      </c>
      <c r="K67" s="45" t="s">
        <v>229</v>
      </c>
      <c r="L67" s="45" t="s">
        <v>230</v>
      </c>
    </row>
    <row r="68" spans="1:12" ht="15" customHeight="1" x14ac:dyDescent="0.2">
      <c r="A68" s="9">
        <v>22201347</v>
      </c>
      <c r="B68" s="9" t="s">
        <v>139</v>
      </c>
      <c r="C68" s="9" t="s">
        <v>223</v>
      </c>
      <c r="D68" s="9" t="s">
        <v>215</v>
      </c>
      <c r="E68" s="12" t="s">
        <v>265</v>
      </c>
      <c r="F68" s="13">
        <v>0</v>
      </c>
      <c r="G68" s="13">
        <v>0</v>
      </c>
      <c r="H68" s="13">
        <v>1999</v>
      </c>
      <c r="I68" s="13">
        <v>2031</v>
      </c>
      <c r="J68" s="45">
        <v>610</v>
      </c>
      <c r="K68" s="45" t="s">
        <v>266</v>
      </c>
      <c r="L68" s="45" t="s">
        <v>267</v>
      </c>
    </row>
    <row r="69" spans="1:12" ht="15" customHeight="1" x14ac:dyDescent="0.2">
      <c r="A69" s="42">
        <v>25147505</v>
      </c>
      <c r="B69" s="9" t="s">
        <v>155</v>
      </c>
      <c r="C69" s="9" t="s">
        <v>189</v>
      </c>
      <c r="D69" s="9" t="s">
        <v>189</v>
      </c>
      <c r="E69" s="12" t="s">
        <v>265</v>
      </c>
      <c r="F69" s="13">
        <v>0</v>
      </c>
      <c r="G69" s="13">
        <v>0</v>
      </c>
      <c r="H69" s="13">
        <v>305</v>
      </c>
      <c r="I69" s="13">
        <v>307</v>
      </c>
      <c r="J69" s="45">
        <v>410</v>
      </c>
      <c r="K69" s="45" t="s">
        <v>268</v>
      </c>
      <c r="L69" s="45" t="s">
        <v>269</v>
      </c>
    </row>
    <row r="70" spans="1:12" ht="15" customHeight="1" x14ac:dyDescent="0.2">
      <c r="A70" s="42">
        <v>25155235</v>
      </c>
      <c r="B70" s="9" t="s">
        <v>160</v>
      </c>
      <c r="C70" s="9" t="s">
        <v>186</v>
      </c>
      <c r="D70" s="9" t="s">
        <v>191</v>
      </c>
      <c r="E70" s="12" t="s">
        <v>265</v>
      </c>
      <c r="F70" s="13">
        <v>0</v>
      </c>
      <c r="G70" s="13">
        <v>0</v>
      </c>
      <c r="H70" s="13">
        <v>0</v>
      </c>
      <c r="I70" s="13">
        <v>0</v>
      </c>
      <c r="J70" s="45">
        <v>410</v>
      </c>
      <c r="K70" s="45" t="s">
        <v>268</v>
      </c>
      <c r="L70" s="45" t="s">
        <v>269</v>
      </c>
    </row>
    <row r="71" spans="1:12" ht="15" customHeight="1" x14ac:dyDescent="0.2">
      <c r="A71" s="42">
        <v>25155235</v>
      </c>
      <c r="B71" s="9" t="s">
        <v>160</v>
      </c>
      <c r="C71" s="9" t="s">
        <v>192</v>
      </c>
      <c r="D71" s="9" t="s">
        <v>194</v>
      </c>
      <c r="E71" s="12" t="s">
        <v>265</v>
      </c>
      <c r="F71" s="13">
        <v>0</v>
      </c>
      <c r="G71" s="13">
        <v>0</v>
      </c>
      <c r="H71" s="13">
        <v>1785</v>
      </c>
      <c r="I71" s="13">
        <v>1795</v>
      </c>
      <c r="J71" s="45">
        <v>410</v>
      </c>
      <c r="K71" s="45" t="s">
        <v>268</v>
      </c>
      <c r="L71" s="45" t="s">
        <v>269</v>
      </c>
    </row>
    <row r="72" spans="1:12" ht="15" customHeight="1" x14ac:dyDescent="0.2">
      <c r="A72" s="42">
        <v>28027738</v>
      </c>
      <c r="B72" s="9" t="s">
        <v>121</v>
      </c>
      <c r="C72" s="9" t="s">
        <v>270</v>
      </c>
      <c r="D72" s="9" t="s">
        <v>197</v>
      </c>
      <c r="E72" s="12" t="s">
        <v>265</v>
      </c>
      <c r="F72" s="13">
        <v>0</v>
      </c>
      <c r="G72" s="13">
        <v>0</v>
      </c>
      <c r="H72" s="13">
        <v>0</v>
      </c>
      <c r="I72" s="13">
        <v>0</v>
      </c>
      <c r="J72" s="45">
        <v>410</v>
      </c>
      <c r="K72" s="45" t="s">
        <v>268</v>
      </c>
      <c r="L72" s="45" t="s">
        <v>269</v>
      </c>
    </row>
    <row r="73" spans="1:12" ht="15" customHeight="1" x14ac:dyDescent="0.2">
      <c r="A73" s="9">
        <v>22201347</v>
      </c>
      <c r="B73" s="9" t="s">
        <v>139</v>
      </c>
      <c r="C73" s="9" t="s">
        <v>271</v>
      </c>
      <c r="D73" s="9" t="s">
        <v>272</v>
      </c>
      <c r="E73" s="12" t="s">
        <v>265</v>
      </c>
      <c r="F73" s="13">
        <v>0</v>
      </c>
      <c r="G73" s="13">
        <v>0</v>
      </c>
      <c r="H73" s="13">
        <v>0</v>
      </c>
      <c r="I73" s="13">
        <v>0</v>
      </c>
      <c r="J73" s="45">
        <v>510</v>
      </c>
      <c r="K73" s="45" t="s">
        <v>273</v>
      </c>
      <c r="L73" s="45" t="s">
        <v>274</v>
      </c>
    </row>
    <row r="74" spans="1:12" ht="15" customHeight="1" x14ac:dyDescent="0.2">
      <c r="A74" s="9">
        <v>22201347</v>
      </c>
      <c r="B74" s="9" t="s">
        <v>139</v>
      </c>
      <c r="C74" s="9" t="s">
        <v>275</v>
      </c>
      <c r="D74" s="9" t="s">
        <v>276</v>
      </c>
      <c r="E74" s="12" t="s">
        <v>265</v>
      </c>
      <c r="F74" s="13">
        <v>0</v>
      </c>
      <c r="G74" s="13">
        <v>0</v>
      </c>
      <c r="H74" s="13">
        <v>1308</v>
      </c>
      <c r="I74" s="13">
        <v>1320</v>
      </c>
      <c r="J74" s="45">
        <v>510</v>
      </c>
      <c r="K74" s="45" t="s">
        <v>273</v>
      </c>
      <c r="L74" s="45" t="s">
        <v>274</v>
      </c>
    </row>
    <row r="75" spans="1:12" ht="15" customHeight="1" x14ac:dyDescent="0.2">
      <c r="A75" s="9">
        <v>22201347</v>
      </c>
      <c r="B75" s="9" t="s">
        <v>139</v>
      </c>
      <c r="C75" s="9" t="s">
        <v>277</v>
      </c>
      <c r="D75" s="9" t="s">
        <v>277</v>
      </c>
      <c r="E75" s="12" t="s">
        <v>265</v>
      </c>
      <c r="F75" s="13">
        <v>0</v>
      </c>
      <c r="G75" s="13">
        <v>0</v>
      </c>
      <c r="H75" s="13">
        <v>654</v>
      </c>
      <c r="I75" s="13">
        <v>660</v>
      </c>
      <c r="J75" s="45">
        <v>510</v>
      </c>
      <c r="K75" s="45" t="s">
        <v>273</v>
      </c>
      <c r="L75" s="45" t="s">
        <v>274</v>
      </c>
    </row>
    <row r="76" spans="1:12" ht="15" customHeight="1" x14ac:dyDescent="0.2">
      <c r="A76" s="9">
        <v>22201347</v>
      </c>
      <c r="B76" s="9" t="s">
        <v>139</v>
      </c>
      <c r="C76" s="9" t="s">
        <v>278</v>
      </c>
      <c r="D76" s="9" t="s">
        <v>279</v>
      </c>
      <c r="E76" s="12" t="s">
        <v>265</v>
      </c>
      <c r="F76" s="13">
        <v>0</v>
      </c>
      <c r="G76" s="13">
        <v>0</v>
      </c>
      <c r="H76" s="13">
        <v>3269</v>
      </c>
      <c r="I76" s="13">
        <v>3298</v>
      </c>
      <c r="J76" s="45">
        <v>510</v>
      </c>
      <c r="K76" s="45" t="s">
        <v>273</v>
      </c>
      <c r="L76" s="45" t="s">
        <v>274</v>
      </c>
    </row>
    <row r="77" spans="1:12" ht="15" customHeight="1" x14ac:dyDescent="0.2">
      <c r="A77" s="9">
        <v>22201347</v>
      </c>
      <c r="B77" s="9" t="s">
        <v>139</v>
      </c>
      <c r="C77" s="9" t="s">
        <v>280</v>
      </c>
      <c r="D77" s="9" t="s">
        <v>281</v>
      </c>
      <c r="E77" s="12" t="s">
        <v>265</v>
      </c>
      <c r="F77" s="13">
        <v>0</v>
      </c>
      <c r="G77" s="13">
        <v>0</v>
      </c>
      <c r="H77" s="13">
        <v>3269</v>
      </c>
      <c r="I77" s="13">
        <v>3282</v>
      </c>
      <c r="J77" s="45">
        <v>510</v>
      </c>
      <c r="K77" s="45" t="s">
        <v>273</v>
      </c>
      <c r="L77" s="45" t="s">
        <v>274</v>
      </c>
    </row>
    <row r="78" spans="1:12" ht="15" customHeight="1" x14ac:dyDescent="0.2">
      <c r="A78" s="9">
        <v>22201347</v>
      </c>
      <c r="B78" s="9" t="s">
        <v>139</v>
      </c>
      <c r="C78" s="9" t="s">
        <v>282</v>
      </c>
      <c r="D78" s="9" t="s">
        <v>283</v>
      </c>
      <c r="E78" s="12" t="s">
        <v>265</v>
      </c>
      <c r="F78" s="13">
        <v>0</v>
      </c>
      <c r="G78" s="13">
        <v>0</v>
      </c>
      <c r="H78" s="13">
        <v>2615</v>
      </c>
      <c r="I78" s="13">
        <v>2626</v>
      </c>
      <c r="J78" s="45">
        <v>510</v>
      </c>
      <c r="K78" s="45" t="s">
        <v>273</v>
      </c>
      <c r="L78" s="45" t="s">
        <v>274</v>
      </c>
    </row>
    <row r="79" spans="1:12" ht="15" customHeight="1" x14ac:dyDescent="0.2">
      <c r="A79" s="9">
        <v>22201347</v>
      </c>
      <c r="B79" s="9" t="s">
        <v>139</v>
      </c>
      <c r="C79" s="9" t="s">
        <v>198</v>
      </c>
      <c r="D79" s="9" t="s">
        <v>199</v>
      </c>
      <c r="E79" s="12" t="s">
        <v>265</v>
      </c>
      <c r="F79" s="13">
        <v>0</v>
      </c>
      <c r="G79" s="13">
        <v>0</v>
      </c>
      <c r="H79" s="13">
        <v>3269</v>
      </c>
      <c r="I79" s="13">
        <v>3282</v>
      </c>
      <c r="J79" s="45">
        <v>510</v>
      </c>
      <c r="K79" s="45" t="s">
        <v>273</v>
      </c>
      <c r="L79" s="45" t="s">
        <v>274</v>
      </c>
    </row>
    <row r="80" spans="1:12" ht="15" customHeight="1" x14ac:dyDescent="0.2">
      <c r="A80" s="9">
        <v>22201347</v>
      </c>
      <c r="B80" s="9" t="s">
        <v>139</v>
      </c>
      <c r="C80" s="9" t="s">
        <v>284</v>
      </c>
      <c r="D80" s="9" t="s">
        <v>285</v>
      </c>
      <c r="E80" s="12" t="s">
        <v>265</v>
      </c>
      <c r="F80" s="13">
        <v>0</v>
      </c>
      <c r="G80" s="13">
        <v>0</v>
      </c>
      <c r="H80" s="13">
        <v>654</v>
      </c>
      <c r="I80" s="13">
        <v>659</v>
      </c>
      <c r="J80" s="45">
        <v>510</v>
      </c>
      <c r="K80" s="45" t="s">
        <v>273</v>
      </c>
      <c r="L80" s="45" t="s">
        <v>274</v>
      </c>
    </row>
    <row r="81" spans="1:12" ht="15" customHeight="1" x14ac:dyDescent="0.2">
      <c r="A81" s="9">
        <v>22201347</v>
      </c>
      <c r="B81" s="9" t="s">
        <v>139</v>
      </c>
      <c r="C81" s="9" t="s">
        <v>209</v>
      </c>
      <c r="D81" s="9" t="s">
        <v>210</v>
      </c>
      <c r="E81" s="12" t="s">
        <v>265</v>
      </c>
      <c r="F81" s="13">
        <v>0</v>
      </c>
      <c r="G81" s="13">
        <v>0</v>
      </c>
      <c r="H81" s="13">
        <v>3269</v>
      </c>
      <c r="I81" s="13">
        <v>3295</v>
      </c>
      <c r="J81" s="45">
        <v>510</v>
      </c>
      <c r="K81" s="45" t="s">
        <v>273</v>
      </c>
      <c r="L81" s="45" t="s">
        <v>274</v>
      </c>
    </row>
    <row r="82" spans="1:12" x14ac:dyDescent="0.2">
      <c r="A82"/>
      <c r="J82"/>
      <c r="K82"/>
      <c r="L82"/>
    </row>
    <row r="83" spans="1:12" x14ac:dyDescent="0.2">
      <c r="A83"/>
      <c r="J83"/>
      <c r="K83"/>
      <c r="L83"/>
    </row>
    <row r="84" spans="1:12" x14ac:dyDescent="0.2">
      <c r="A84"/>
      <c r="J84"/>
      <c r="K84"/>
      <c r="L84"/>
    </row>
    <row r="85" spans="1:12" x14ac:dyDescent="0.2">
      <c r="A85"/>
      <c r="J85"/>
      <c r="K85"/>
      <c r="L85"/>
    </row>
    <row r="86" spans="1:12" x14ac:dyDescent="0.2">
      <c r="A86"/>
      <c r="J86"/>
      <c r="K86"/>
      <c r="L86"/>
    </row>
    <row r="87" spans="1:12" x14ac:dyDescent="0.2">
      <c r="A87"/>
      <c r="J87"/>
      <c r="K87"/>
      <c r="L87"/>
    </row>
    <row r="88" spans="1:12" x14ac:dyDescent="0.2">
      <c r="A88"/>
      <c r="J88"/>
      <c r="K88"/>
      <c r="L88"/>
    </row>
    <row r="89" spans="1:12" x14ac:dyDescent="0.2">
      <c r="A89"/>
      <c r="J89"/>
      <c r="K89"/>
      <c r="L89"/>
    </row>
    <row r="90" spans="1:12" x14ac:dyDescent="0.2">
      <c r="A90"/>
      <c r="J90"/>
      <c r="K90"/>
      <c r="L90"/>
    </row>
    <row r="91" spans="1:12" x14ac:dyDescent="0.2">
      <c r="A91"/>
      <c r="J91"/>
      <c r="K91"/>
      <c r="L91"/>
    </row>
    <row r="92" spans="1:12" x14ac:dyDescent="0.2">
      <c r="A92"/>
      <c r="J92"/>
      <c r="K92"/>
      <c r="L92"/>
    </row>
    <row r="93" spans="1:12" x14ac:dyDescent="0.2">
      <c r="A93"/>
      <c r="J93"/>
      <c r="K93"/>
      <c r="L93"/>
    </row>
    <row r="94" spans="1:12" x14ac:dyDescent="0.2">
      <c r="A94"/>
      <c r="J94"/>
      <c r="K94"/>
      <c r="L94"/>
    </row>
    <row r="95" spans="1:12" x14ac:dyDescent="0.2">
      <c r="A95"/>
      <c r="J95"/>
      <c r="K95"/>
      <c r="L95"/>
    </row>
    <row r="96" spans="1:12" x14ac:dyDescent="0.2">
      <c r="A96"/>
      <c r="J96"/>
      <c r="K96"/>
      <c r="L96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</sheetData>
  <autoFilter ref="A1:L81" xr:uid="{00000000-0009-0000-0000-000003000000}">
    <sortState xmlns:xlrd2="http://schemas.microsoft.com/office/spreadsheetml/2017/richdata2" ref="A69:L81">
      <sortCondition ref="A1:A8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T164"/>
  <sheetViews>
    <sheetView rightToLeft="1" workbookViewId="0">
      <pane ySplit="1" topLeftCell="A12" activePane="bottomLeft" state="frozen"/>
      <selection pane="bottomLeft" activeCell="L161" sqref="K161:L161"/>
    </sheetView>
  </sheetViews>
  <sheetFormatPr defaultRowHeight="14.25" x14ac:dyDescent="0.2"/>
  <cols>
    <col min="1" max="1" width="13" customWidth="1"/>
    <col min="2" max="2" width="21" customWidth="1"/>
    <col min="3" max="3" width="8" customWidth="1"/>
    <col min="4" max="4" width="14" customWidth="1"/>
    <col min="5" max="5" width="13" customWidth="1"/>
    <col min="6" max="6" width="10" customWidth="1"/>
    <col min="7" max="7" width="12" customWidth="1"/>
    <col min="8" max="8" width="10" customWidth="1"/>
    <col min="9" max="9" width="11" customWidth="1"/>
    <col min="10" max="10" width="10" customWidth="1"/>
    <col min="11" max="11" width="9" customWidth="1"/>
    <col min="12" max="12" width="13" customWidth="1"/>
    <col min="13" max="13" width="20" customWidth="1"/>
    <col min="14" max="15" width="19" customWidth="1"/>
    <col min="16" max="16" width="17" customWidth="1"/>
    <col min="17" max="17" width="15" customWidth="1"/>
    <col min="18" max="18" width="11.625" customWidth="1"/>
    <col min="19" max="19" width="20" customWidth="1"/>
    <col min="20" max="20" width="49.5" bestFit="1" customWidth="1"/>
  </cols>
  <sheetData>
    <row r="1" spans="1:20" ht="24.95" customHeight="1" x14ac:dyDescent="0.2">
      <c r="A1" s="1" t="s">
        <v>370</v>
      </c>
      <c r="B1" s="1" t="s">
        <v>166</v>
      </c>
      <c r="C1" s="1" t="s">
        <v>104</v>
      </c>
      <c r="D1" s="1" t="s">
        <v>167</v>
      </c>
      <c r="E1" s="1" t="s">
        <v>168</v>
      </c>
      <c r="F1" s="1" t="s">
        <v>354</v>
      </c>
      <c r="G1" s="1" t="s">
        <v>358</v>
      </c>
      <c r="H1" s="1" t="s">
        <v>359</v>
      </c>
      <c r="I1" s="1" t="s">
        <v>371</v>
      </c>
      <c r="J1" s="1" t="s">
        <v>372</v>
      </c>
      <c r="K1" s="1" t="s">
        <v>373</v>
      </c>
      <c r="L1" s="1" t="s">
        <v>106</v>
      </c>
      <c r="M1" s="1" t="s">
        <v>374</v>
      </c>
      <c r="N1" s="1" t="s">
        <v>375</v>
      </c>
      <c r="O1" s="38" t="s">
        <v>265</v>
      </c>
      <c r="P1" s="19" t="s">
        <v>376</v>
      </c>
      <c r="Q1" s="18" t="s">
        <v>377</v>
      </c>
      <c r="R1" s="18" t="s">
        <v>378</v>
      </c>
      <c r="S1" s="18" t="s">
        <v>379</v>
      </c>
      <c r="T1" s="41" t="s">
        <v>380</v>
      </c>
    </row>
    <row r="2" spans="1:20" ht="15" hidden="1" customHeight="1" x14ac:dyDescent="0.2">
      <c r="A2" s="2" t="s">
        <v>381</v>
      </c>
      <c r="B2" s="2" t="s">
        <v>121</v>
      </c>
      <c r="C2" s="2" t="s">
        <v>113</v>
      </c>
      <c r="D2" s="2" t="s">
        <v>182</v>
      </c>
      <c r="E2" s="2" t="s">
        <v>197</v>
      </c>
      <c r="F2" s="2" t="s">
        <v>1</v>
      </c>
      <c r="G2" s="2">
        <v>3</v>
      </c>
      <c r="H2" s="2">
        <v>3</v>
      </c>
      <c r="I2" s="2">
        <v>0</v>
      </c>
      <c r="J2" s="2">
        <v>0</v>
      </c>
      <c r="K2" s="2">
        <v>0</v>
      </c>
      <c r="L2" s="22">
        <v>946.00830641439768</v>
      </c>
      <c r="M2" s="22">
        <f t="shared" ref="M2:M8" si="0">L2*H2</f>
        <v>2838.0249192431929</v>
      </c>
      <c r="N2" s="22">
        <v>567.60498384863865</v>
      </c>
      <c r="O2" s="22"/>
      <c r="P2" s="3"/>
    </row>
    <row r="3" spans="1:20" ht="15" hidden="1" customHeight="1" x14ac:dyDescent="0.2">
      <c r="A3" s="2" t="s">
        <v>382</v>
      </c>
      <c r="B3" s="2" t="s">
        <v>125</v>
      </c>
      <c r="C3" s="2" t="s">
        <v>118</v>
      </c>
      <c r="D3" s="2" t="s">
        <v>183</v>
      </c>
      <c r="E3" s="2" t="s">
        <v>383</v>
      </c>
      <c r="F3" s="2" t="s">
        <v>1</v>
      </c>
      <c r="G3" s="2">
        <v>4</v>
      </c>
      <c r="H3" s="2">
        <v>3</v>
      </c>
      <c r="I3" s="2">
        <v>0</v>
      </c>
      <c r="J3" s="2">
        <v>1</v>
      </c>
      <c r="K3" s="2">
        <v>0</v>
      </c>
      <c r="L3" s="22">
        <v>868.85094600830632</v>
      </c>
      <c r="M3" s="22">
        <f t="shared" si="0"/>
        <v>2606.5528380249189</v>
      </c>
      <c r="N3" s="22">
        <v>521.31056760498382</v>
      </c>
      <c r="O3" s="22"/>
      <c r="P3" s="3"/>
    </row>
    <row r="4" spans="1:20" ht="15" hidden="1" customHeight="1" x14ac:dyDescent="0.2">
      <c r="A4" s="2" t="s">
        <v>384</v>
      </c>
      <c r="B4" s="2" t="s">
        <v>128</v>
      </c>
      <c r="C4" s="2" t="s">
        <v>118</v>
      </c>
      <c r="D4" s="2" t="s">
        <v>385</v>
      </c>
      <c r="E4" s="2" t="s">
        <v>386</v>
      </c>
      <c r="F4" s="2" t="s">
        <v>1</v>
      </c>
      <c r="G4" s="2">
        <v>5</v>
      </c>
      <c r="H4" s="2">
        <v>4</v>
      </c>
      <c r="I4" s="2">
        <v>0</v>
      </c>
      <c r="J4" s="2">
        <v>1</v>
      </c>
      <c r="K4" s="2">
        <v>0</v>
      </c>
      <c r="L4" s="22">
        <v>670.60452238117205</v>
      </c>
      <c r="M4" s="22">
        <f t="shared" si="0"/>
        <v>2682.4180895246882</v>
      </c>
      <c r="N4" s="22">
        <v>536.48361790493766</v>
      </c>
      <c r="O4" s="22"/>
      <c r="P4" s="3"/>
    </row>
    <row r="5" spans="1:20" ht="15" hidden="1" customHeight="1" x14ac:dyDescent="0.2">
      <c r="A5" s="2" t="s">
        <v>387</v>
      </c>
      <c r="B5" s="2" t="s">
        <v>139</v>
      </c>
      <c r="C5" s="2" t="s">
        <v>135</v>
      </c>
      <c r="D5" s="2" t="s">
        <v>182</v>
      </c>
      <c r="E5" s="2" t="s">
        <v>182</v>
      </c>
      <c r="F5" s="2" t="s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2">
        <v>1096.169820027688</v>
      </c>
      <c r="M5" s="22">
        <f t="shared" si="0"/>
        <v>1096.169820027688</v>
      </c>
      <c r="N5" s="22"/>
      <c r="O5" s="22"/>
      <c r="P5" s="3"/>
    </row>
    <row r="6" spans="1:20" ht="15" hidden="1" customHeight="1" x14ac:dyDescent="0.2">
      <c r="A6" s="2" t="s">
        <v>388</v>
      </c>
      <c r="B6" s="2" t="s">
        <v>139</v>
      </c>
      <c r="C6" s="2" t="s">
        <v>135</v>
      </c>
      <c r="D6" s="2" t="s">
        <v>183</v>
      </c>
      <c r="E6" s="2" t="s">
        <v>184</v>
      </c>
      <c r="F6" s="2" t="s">
        <v>1</v>
      </c>
      <c r="G6" s="2">
        <v>5</v>
      </c>
      <c r="H6" s="2">
        <v>4</v>
      </c>
      <c r="I6" s="2">
        <v>0</v>
      </c>
      <c r="J6" s="2">
        <v>1</v>
      </c>
      <c r="K6" s="2">
        <v>0</v>
      </c>
      <c r="L6" s="22">
        <v>1096.169820027688</v>
      </c>
      <c r="M6" s="22">
        <f t="shared" si="0"/>
        <v>4384.6792801107522</v>
      </c>
      <c r="N6" s="22"/>
      <c r="O6" s="22"/>
      <c r="P6" s="3"/>
      <c r="Q6" s="23"/>
    </row>
    <row r="7" spans="1:20" ht="15" hidden="1" customHeight="1" x14ac:dyDescent="0.2">
      <c r="A7" s="2" t="s">
        <v>389</v>
      </c>
      <c r="B7" s="2" t="s">
        <v>149</v>
      </c>
      <c r="C7" s="2" t="s">
        <v>113</v>
      </c>
      <c r="D7" s="2" t="s">
        <v>383</v>
      </c>
      <c r="E7" s="2" t="s">
        <v>386</v>
      </c>
      <c r="F7" s="2" t="s">
        <v>1</v>
      </c>
      <c r="G7" s="2">
        <v>9</v>
      </c>
      <c r="H7" s="2">
        <v>7</v>
      </c>
      <c r="I7" s="2">
        <v>1</v>
      </c>
      <c r="J7" s="2">
        <v>1</v>
      </c>
      <c r="K7" s="2">
        <v>0</v>
      </c>
      <c r="L7" s="22">
        <v>826.99584679280099</v>
      </c>
      <c r="M7" s="22">
        <f t="shared" si="0"/>
        <v>5788.970927549607</v>
      </c>
      <c r="N7" s="22">
        <v>1157.7941855099209</v>
      </c>
      <c r="O7" s="22"/>
      <c r="P7" s="3"/>
    </row>
    <row r="8" spans="1:20" ht="15" hidden="1" customHeight="1" x14ac:dyDescent="0.2">
      <c r="A8" s="2" t="s">
        <v>390</v>
      </c>
      <c r="B8" s="2" t="s">
        <v>152</v>
      </c>
      <c r="C8" s="2" t="s">
        <v>113</v>
      </c>
      <c r="D8" s="2" t="s">
        <v>177</v>
      </c>
      <c r="E8" s="2" t="s">
        <v>177</v>
      </c>
      <c r="F8" s="2" t="s">
        <v>1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L8" s="22">
        <v>868.57406552838017</v>
      </c>
      <c r="M8" s="22">
        <f t="shared" si="0"/>
        <v>868.57406552838017</v>
      </c>
      <c r="N8" s="22"/>
      <c r="O8" s="22"/>
      <c r="P8" s="3"/>
    </row>
    <row r="9" spans="1:20" ht="15" hidden="1" customHeight="1" x14ac:dyDescent="0.2">
      <c r="A9" s="2" t="s">
        <v>390</v>
      </c>
      <c r="B9" s="2" t="s">
        <v>152</v>
      </c>
      <c r="C9" s="2" t="s">
        <v>113</v>
      </c>
      <c r="D9" s="2" t="s">
        <v>177</v>
      </c>
      <c r="E9" s="2" t="s">
        <v>177</v>
      </c>
      <c r="F9" s="2" t="s">
        <v>1</v>
      </c>
      <c r="G9" s="2">
        <v>1</v>
      </c>
      <c r="H9" s="2">
        <v>1</v>
      </c>
      <c r="I9" s="2">
        <v>0</v>
      </c>
      <c r="J9" s="2">
        <v>0</v>
      </c>
      <c r="K9" s="2">
        <v>0</v>
      </c>
      <c r="L9" s="22"/>
      <c r="M9" s="22"/>
      <c r="N9" s="22"/>
      <c r="O9" s="22">
        <v>575</v>
      </c>
      <c r="P9" s="3"/>
      <c r="Q9" s="23">
        <v>45775</v>
      </c>
      <c r="R9" s="32">
        <f>O9</f>
        <v>575</v>
      </c>
      <c r="S9" s="24">
        <v>45809</v>
      </c>
    </row>
    <row r="10" spans="1:20" ht="15" hidden="1" customHeight="1" x14ac:dyDescent="0.2">
      <c r="A10" s="2" t="s">
        <v>391</v>
      </c>
      <c r="B10" s="2" t="s">
        <v>152</v>
      </c>
      <c r="C10" s="2" t="s">
        <v>113</v>
      </c>
      <c r="D10" s="2" t="s">
        <v>181</v>
      </c>
      <c r="E10" s="2" t="s">
        <v>181</v>
      </c>
      <c r="F10" s="2" t="s">
        <v>1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2">
        <v>868.57406552838017</v>
      </c>
      <c r="M10" s="22">
        <f>L10*H10</f>
        <v>868.57406552838017</v>
      </c>
      <c r="N10" s="22"/>
      <c r="O10" s="22"/>
      <c r="P10" s="3"/>
    </row>
    <row r="11" spans="1:20" ht="15" hidden="1" customHeight="1" x14ac:dyDescent="0.2">
      <c r="A11" s="2" t="s">
        <v>391</v>
      </c>
      <c r="B11" s="2" t="s">
        <v>152</v>
      </c>
      <c r="C11" s="2" t="s">
        <v>113</v>
      </c>
      <c r="D11" s="2" t="s">
        <v>181</v>
      </c>
      <c r="E11" s="2" t="s">
        <v>181</v>
      </c>
      <c r="F11" s="2" t="s">
        <v>1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2"/>
      <c r="M11" s="22"/>
      <c r="N11" s="22"/>
      <c r="O11" s="22">
        <v>575</v>
      </c>
      <c r="P11" s="3"/>
      <c r="Q11" s="23">
        <v>45775</v>
      </c>
      <c r="R11" s="32">
        <f>O11</f>
        <v>575</v>
      </c>
      <c r="S11" s="24">
        <v>45809</v>
      </c>
    </row>
    <row r="12" spans="1:20" ht="15" customHeight="1" x14ac:dyDescent="0.2">
      <c r="A12" s="2" t="s">
        <v>392</v>
      </c>
      <c r="B12" s="2" t="s">
        <v>155</v>
      </c>
      <c r="C12" s="2" t="s">
        <v>113</v>
      </c>
      <c r="D12" s="2" t="s">
        <v>189</v>
      </c>
      <c r="E12" s="2" t="s">
        <v>189</v>
      </c>
      <c r="F12" s="2" t="s">
        <v>1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2">
        <v>929.85694508537142</v>
      </c>
      <c r="M12" s="22">
        <f>L12*H12</f>
        <v>929.85694508537142</v>
      </c>
      <c r="N12" s="22"/>
      <c r="O12" s="22"/>
      <c r="P12" s="3"/>
    </row>
    <row r="13" spans="1:20" ht="15" customHeight="1" x14ac:dyDescent="0.2">
      <c r="A13" s="2" t="s">
        <v>392</v>
      </c>
      <c r="B13" s="2" t="s">
        <v>155</v>
      </c>
      <c r="C13" s="2" t="s">
        <v>113</v>
      </c>
      <c r="D13" s="2" t="s">
        <v>189</v>
      </c>
      <c r="E13" s="2" t="s">
        <v>189</v>
      </c>
      <c r="F13" s="2" t="s">
        <v>1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2"/>
      <c r="M13" s="22"/>
      <c r="N13" s="22"/>
      <c r="O13" s="22">
        <v>305</v>
      </c>
      <c r="P13" s="3"/>
      <c r="Q13" s="23">
        <v>45775</v>
      </c>
    </row>
    <row r="14" spans="1:20" ht="15" customHeight="1" x14ac:dyDescent="0.2">
      <c r="A14" s="2" t="s">
        <v>393</v>
      </c>
      <c r="B14" s="2" t="s">
        <v>155</v>
      </c>
      <c r="C14" s="2" t="s">
        <v>113</v>
      </c>
      <c r="D14" s="2" t="s">
        <v>394</v>
      </c>
      <c r="E14" s="2" t="s">
        <v>386</v>
      </c>
      <c r="F14" s="2" t="s">
        <v>1</v>
      </c>
      <c r="G14" s="2">
        <v>2</v>
      </c>
      <c r="H14" s="2">
        <v>2</v>
      </c>
      <c r="I14" s="2">
        <v>0</v>
      </c>
      <c r="J14" s="2">
        <v>0</v>
      </c>
      <c r="K14" s="2">
        <v>0</v>
      </c>
      <c r="L14" s="22">
        <v>929.85694508537142</v>
      </c>
      <c r="M14" s="22">
        <f>L14*H14</f>
        <v>1859.7138901707428</v>
      </c>
      <c r="N14" s="22"/>
      <c r="O14" s="22"/>
      <c r="P14" s="3"/>
    </row>
    <row r="15" spans="1:20" ht="15" hidden="1" customHeight="1" x14ac:dyDescent="0.2">
      <c r="A15" s="2" t="s">
        <v>395</v>
      </c>
      <c r="B15" s="2" t="s">
        <v>160</v>
      </c>
      <c r="C15" s="2" t="s">
        <v>135</v>
      </c>
      <c r="D15" s="2" t="s">
        <v>182</v>
      </c>
      <c r="E15" s="2" t="s">
        <v>182</v>
      </c>
      <c r="F15" s="2" t="s">
        <v>1</v>
      </c>
      <c r="G15" s="2">
        <v>1</v>
      </c>
      <c r="H15" s="2">
        <v>1</v>
      </c>
      <c r="I15" s="2">
        <v>0</v>
      </c>
      <c r="J15" s="2">
        <v>0</v>
      </c>
      <c r="K15" s="2">
        <v>0</v>
      </c>
      <c r="L15" s="22">
        <v>914.85925242270412</v>
      </c>
      <c r="M15" s="22">
        <f>L15*H15</f>
        <v>914.85925242270412</v>
      </c>
      <c r="N15" s="22"/>
      <c r="O15" s="22"/>
      <c r="P15" s="3"/>
    </row>
    <row r="16" spans="1:20" ht="15" hidden="1" customHeight="1" x14ac:dyDescent="0.2">
      <c r="A16" s="2" t="s">
        <v>396</v>
      </c>
      <c r="B16" s="2" t="s">
        <v>160</v>
      </c>
      <c r="C16" s="2" t="s">
        <v>135</v>
      </c>
      <c r="D16" s="2" t="s">
        <v>186</v>
      </c>
      <c r="E16" s="2" t="s">
        <v>191</v>
      </c>
      <c r="F16" s="2" t="s">
        <v>1</v>
      </c>
      <c r="G16" s="2">
        <v>7</v>
      </c>
      <c r="H16" s="2">
        <v>5</v>
      </c>
      <c r="I16" s="2">
        <v>1</v>
      </c>
      <c r="J16" s="2">
        <v>1</v>
      </c>
      <c r="K16" s="2">
        <v>0</v>
      </c>
      <c r="L16" s="22">
        <v>914.85925242270412</v>
      </c>
      <c r="M16" s="22">
        <f>L16*H16</f>
        <v>4574.2962621135202</v>
      </c>
      <c r="N16" s="22"/>
      <c r="O16" s="22"/>
      <c r="P16" s="3"/>
    </row>
    <row r="17" spans="1:17" ht="15" hidden="1" customHeight="1" x14ac:dyDescent="0.2">
      <c r="A17" s="2" t="s">
        <v>397</v>
      </c>
      <c r="B17" s="2" t="s">
        <v>160</v>
      </c>
      <c r="C17" s="2" t="s">
        <v>135</v>
      </c>
      <c r="D17" s="2" t="s">
        <v>192</v>
      </c>
      <c r="E17" s="2" t="s">
        <v>194</v>
      </c>
      <c r="F17" s="2" t="s">
        <v>1</v>
      </c>
      <c r="G17" s="2">
        <v>4</v>
      </c>
      <c r="H17" s="2">
        <v>4</v>
      </c>
      <c r="I17" s="2">
        <v>0</v>
      </c>
      <c r="J17" s="2">
        <v>0</v>
      </c>
      <c r="K17" s="2">
        <v>0</v>
      </c>
      <c r="L17" s="22">
        <v>914.85925242270412</v>
      </c>
      <c r="M17" s="22">
        <f>L17*H17</f>
        <v>3659.4370096908165</v>
      </c>
      <c r="N17" s="22"/>
      <c r="O17" s="22"/>
      <c r="P17" s="3"/>
    </row>
    <row r="18" spans="1:17" ht="15" hidden="1" customHeight="1" x14ac:dyDescent="0.2">
      <c r="A18" s="2"/>
      <c r="B18" s="2" t="s">
        <v>160</v>
      </c>
      <c r="C18" s="2" t="s">
        <v>135</v>
      </c>
      <c r="D18" s="2" t="s">
        <v>192</v>
      </c>
      <c r="E18" s="2" t="s">
        <v>194</v>
      </c>
      <c r="F18" s="2" t="s">
        <v>1</v>
      </c>
      <c r="G18" s="2">
        <v>4</v>
      </c>
      <c r="H18" s="2">
        <v>4</v>
      </c>
      <c r="I18" s="2">
        <v>0</v>
      </c>
      <c r="J18" s="2">
        <v>0</v>
      </c>
      <c r="K18" s="2">
        <v>0</v>
      </c>
      <c r="L18" s="22"/>
      <c r="M18" s="22"/>
      <c r="N18" s="22"/>
      <c r="O18" s="22">
        <v>1785</v>
      </c>
      <c r="P18" s="3"/>
      <c r="Q18" s="23">
        <v>45775</v>
      </c>
    </row>
    <row r="19" spans="1:17" ht="15" hidden="1" customHeight="1" x14ac:dyDescent="0.2">
      <c r="A19" s="2" t="s">
        <v>398</v>
      </c>
      <c r="B19" s="2" t="s">
        <v>160</v>
      </c>
      <c r="C19" s="2" t="s">
        <v>135</v>
      </c>
      <c r="D19" s="2" t="s">
        <v>195</v>
      </c>
      <c r="E19" s="2" t="s">
        <v>195</v>
      </c>
      <c r="F19" s="2" t="s">
        <v>1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22">
        <v>914.85925242270412</v>
      </c>
      <c r="M19" s="22">
        <f>L19*H19</f>
        <v>914.85925242270412</v>
      </c>
      <c r="N19" s="22"/>
      <c r="O19" s="22"/>
      <c r="P19" s="3"/>
    </row>
    <row r="20" spans="1:17" ht="15" hidden="1" customHeight="1" x14ac:dyDescent="0.2">
      <c r="A20" s="2"/>
      <c r="B20" s="2" t="s">
        <v>160</v>
      </c>
      <c r="C20" s="2" t="s">
        <v>135</v>
      </c>
      <c r="D20" s="2" t="s">
        <v>195</v>
      </c>
      <c r="E20" s="2" t="s">
        <v>195</v>
      </c>
      <c r="F20" s="2" t="s">
        <v>1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2"/>
      <c r="M20" s="22"/>
      <c r="N20" s="22"/>
      <c r="O20" s="22">
        <v>446</v>
      </c>
      <c r="P20" s="3"/>
      <c r="Q20" s="23">
        <v>45775</v>
      </c>
    </row>
    <row r="21" spans="1:17" ht="15" hidden="1" customHeight="1" x14ac:dyDescent="0.2">
      <c r="A21" s="2" t="s">
        <v>399</v>
      </c>
      <c r="B21" s="2" t="s">
        <v>160</v>
      </c>
      <c r="C21" s="2" t="s">
        <v>135</v>
      </c>
      <c r="D21" s="2" t="s">
        <v>196</v>
      </c>
      <c r="E21" s="2" t="s">
        <v>385</v>
      </c>
      <c r="F21" s="2" t="s">
        <v>1</v>
      </c>
      <c r="G21" s="2">
        <v>3</v>
      </c>
      <c r="H21" s="2">
        <v>1</v>
      </c>
      <c r="I21" s="2">
        <v>1</v>
      </c>
      <c r="J21" s="2">
        <v>1</v>
      </c>
      <c r="K21" s="2">
        <v>0</v>
      </c>
      <c r="L21" s="22">
        <v>914.85925242270412</v>
      </c>
      <c r="M21" s="22">
        <f t="shared" ref="M21:M26" si="1">L21*H21</f>
        <v>914.85925242270412</v>
      </c>
      <c r="N21" s="22"/>
      <c r="O21" s="22"/>
      <c r="P21" s="3"/>
    </row>
    <row r="22" spans="1:17" ht="15" hidden="1" customHeight="1" x14ac:dyDescent="0.2">
      <c r="A22" s="2" t="s">
        <v>400</v>
      </c>
      <c r="B22" s="2" t="s">
        <v>134</v>
      </c>
      <c r="C22" s="2" t="s">
        <v>135</v>
      </c>
      <c r="D22" s="2" t="s">
        <v>401</v>
      </c>
      <c r="E22" s="2" t="s">
        <v>401</v>
      </c>
      <c r="F22" s="2" t="s">
        <v>2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2">
        <v>1282.464236271343</v>
      </c>
      <c r="M22" s="22">
        <f t="shared" si="1"/>
        <v>1282.464236271343</v>
      </c>
      <c r="N22" s="22">
        <v>256.49284725426861</v>
      </c>
      <c r="O22" s="22"/>
      <c r="P22" s="3"/>
    </row>
    <row r="23" spans="1:17" ht="15" hidden="1" customHeight="1" x14ac:dyDescent="0.2">
      <c r="A23" s="2" t="s">
        <v>402</v>
      </c>
      <c r="B23" s="2" t="s">
        <v>134</v>
      </c>
      <c r="C23" s="2" t="s">
        <v>135</v>
      </c>
      <c r="D23" s="2" t="s">
        <v>227</v>
      </c>
      <c r="E23" s="2" t="s">
        <v>227</v>
      </c>
      <c r="F23" s="2" t="s">
        <v>2</v>
      </c>
      <c r="G23" s="2">
        <v>1</v>
      </c>
      <c r="H23" s="2">
        <v>0</v>
      </c>
      <c r="I23" s="2">
        <v>0</v>
      </c>
      <c r="J23" s="2">
        <v>1</v>
      </c>
      <c r="K23" s="2">
        <v>0</v>
      </c>
      <c r="L23" s="22">
        <v>1282.464236271343</v>
      </c>
      <c r="M23" s="22">
        <f t="shared" si="1"/>
        <v>0</v>
      </c>
      <c r="N23" s="22">
        <v>0</v>
      </c>
      <c r="O23" s="22"/>
      <c r="P23" s="3"/>
    </row>
    <row r="24" spans="1:17" ht="15" hidden="1" customHeight="1" x14ac:dyDescent="0.2">
      <c r="A24" s="2" t="s">
        <v>403</v>
      </c>
      <c r="B24" s="2" t="s">
        <v>139</v>
      </c>
      <c r="C24" s="2" t="s">
        <v>135</v>
      </c>
      <c r="D24" s="2" t="s">
        <v>218</v>
      </c>
      <c r="E24" s="2" t="s">
        <v>218</v>
      </c>
      <c r="F24" s="2" t="s">
        <v>2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2">
        <v>1096.169820027688</v>
      </c>
      <c r="M24" s="22">
        <f t="shared" si="1"/>
        <v>1096.169820027688</v>
      </c>
      <c r="N24" s="22"/>
      <c r="O24" s="22"/>
      <c r="P24" s="3"/>
    </row>
    <row r="25" spans="1:17" ht="15" hidden="1" customHeight="1" x14ac:dyDescent="0.2">
      <c r="A25" s="2" t="s">
        <v>404</v>
      </c>
      <c r="B25" s="2" t="s">
        <v>139</v>
      </c>
      <c r="C25" s="2" t="s">
        <v>135</v>
      </c>
      <c r="D25" s="2" t="s">
        <v>219</v>
      </c>
      <c r="E25" s="2" t="s">
        <v>220</v>
      </c>
      <c r="F25" s="2" t="s">
        <v>2</v>
      </c>
      <c r="G25" s="2">
        <v>2</v>
      </c>
      <c r="H25" s="2">
        <v>2</v>
      </c>
      <c r="I25" s="2">
        <v>0</v>
      </c>
      <c r="J25" s="2">
        <v>0</v>
      </c>
      <c r="K25" s="2">
        <v>0</v>
      </c>
      <c r="L25" s="22">
        <v>1096.169820027688</v>
      </c>
      <c r="M25" s="22">
        <f t="shared" si="1"/>
        <v>2192.3396400553761</v>
      </c>
      <c r="N25" s="22"/>
      <c r="O25" s="22"/>
      <c r="P25" s="3"/>
    </row>
    <row r="26" spans="1:17" ht="15" hidden="1" customHeight="1" x14ac:dyDescent="0.2">
      <c r="A26" s="2" t="s">
        <v>405</v>
      </c>
      <c r="B26" s="2" t="s">
        <v>139</v>
      </c>
      <c r="C26" s="2" t="s">
        <v>135</v>
      </c>
      <c r="D26" s="2" t="s">
        <v>221</v>
      </c>
      <c r="E26" s="2" t="s">
        <v>221</v>
      </c>
      <c r="F26" s="2" t="s">
        <v>2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2">
        <v>1096.169820027688</v>
      </c>
      <c r="M26" s="22">
        <f t="shared" si="1"/>
        <v>1096.169820027688</v>
      </c>
      <c r="N26" s="22"/>
      <c r="O26" s="22"/>
      <c r="P26" s="3"/>
    </row>
    <row r="27" spans="1:17" ht="15" hidden="1" customHeight="1" x14ac:dyDescent="0.2">
      <c r="A27" s="2" t="s">
        <v>406</v>
      </c>
      <c r="B27" s="2" t="s">
        <v>152</v>
      </c>
      <c r="C27" s="2" t="s">
        <v>113</v>
      </c>
      <c r="D27" s="2" t="s">
        <v>211</v>
      </c>
      <c r="E27" s="2" t="s">
        <v>212</v>
      </c>
      <c r="F27" s="2" t="s">
        <v>2</v>
      </c>
      <c r="G27" s="2">
        <v>5</v>
      </c>
      <c r="H27" s="2">
        <v>5</v>
      </c>
      <c r="I27" s="2">
        <v>0</v>
      </c>
      <c r="J27" s="2">
        <v>0</v>
      </c>
      <c r="K27" s="2">
        <v>0</v>
      </c>
      <c r="L27" s="22">
        <v>868.57406552838017</v>
      </c>
      <c r="M27" s="22">
        <f t="shared" ref="M27:M36" si="2">L27*H27</f>
        <v>4342.870327641901</v>
      </c>
      <c r="N27" s="22"/>
      <c r="O27" s="22"/>
      <c r="P27" s="3"/>
    </row>
    <row r="28" spans="1:17" ht="15" customHeight="1" x14ac:dyDescent="0.2">
      <c r="A28" s="2" t="s">
        <v>407</v>
      </c>
      <c r="B28" s="2" t="s">
        <v>155</v>
      </c>
      <c r="C28" s="2" t="s">
        <v>113</v>
      </c>
      <c r="D28" s="2" t="s">
        <v>227</v>
      </c>
      <c r="E28" s="2" t="s">
        <v>227</v>
      </c>
      <c r="F28" s="2" t="s">
        <v>2</v>
      </c>
      <c r="G28" s="2">
        <v>1</v>
      </c>
      <c r="H28" s="2">
        <v>0</v>
      </c>
      <c r="I28" s="2">
        <v>0</v>
      </c>
      <c r="J28" s="2">
        <v>1</v>
      </c>
      <c r="K28" s="2">
        <v>0</v>
      </c>
      <c r="L28" s="22">
        <v>929.85694508537142</v>
      </c>
      <c r="M28" s="22">
        <f t="shared" si="2"/>
        <v>0</v>
      </c>
      <c r="N28" s="22"/>
      <c r="O28" s="22"/>
      <c r="P28" s="3"/>
    </row>
    <row r="29" spans="1:17" ht="15" customHeight="1" x14ac:dyDescent="0.2">
      <c r="A29" s="2" t="s">
        <v>408</v>
      </c>
      <c r="B29" s="2" t="s">
        <v>155</v>
      </c>
      <c r="C29" s="2" t="s">
        <v>113</v>
      </c>
      <c r="D29" s="2" t="s">
        <v>221</v>
      </c>
      <c r="E29" s="2" t="s">
        <v>221</v>
      </c>
      <c r="F29" s="2" t="s">
        <v>2</v>
      </c>
      <c r="G29" s="2">
        <v>1</v>
      </c>
      <c r="H29" s="2">
        <v>1</v>
      </c>
      <c r="I29" s="2">
        <v>0</v>
      </c>
      <c r="J29" s="2">
        <v>0</v>
      </c>
      <c r="K29" s="2">
        <v>0</v>
      </c>
      <c r="L29" s="22">
        <v>929.85694508537142</v>
      </c>
      <c r="M29" s="22">
        <f t="shared" si="2"/>
        <v>929.85694508537142</v>
      </c>
      <c r="N29" s="22"/>
      <c r="O29" s="22"/>
      <c r="P29" s="3"/>
    </row>
    <row r="30" spans="1:17" ht="15" hidden="1" customHeight="1" x14ac:dyDescent="0.2">
      <c r="A30" s="2" t="s">
        <v>409</v>
      </c>
      <c r="B30" s="2" t="s">
        <v>160</v>
      </c>
      <c r="C30" s="2" t="s">
        <v>135</v>
      </c>
      <c r="D30" s="2" t="s">
        <v>218</v>
      </c>
      <c r="E30" s="2" t="s">
        <v>410</v>
      </c>
      <c r="F30" s="2" t="s">
        <v>2</v>
      </c>
      <c r="G30" s="2">
        <v>2</v>
      </c>
      <c r="H30" s="2">
        <v>2</v>
      </c>
      <c r="I30" s="2">
        <v>0</v>
      </c>
      <c r="J30" s="2">
        <v>0</v>
      </c>
      <c r="K30" s="2">
        <v>0</v>
      </c>
      <c r="L30" s="22">
        <v>914.85925242270412</v>
      </c>
      <c r="M30" s="22">
        <f t="shared" si="2"/>
        <v>1829.7185048454082</v>
      </c>
      <c r="N30" s="22"/>
      <c r="O30" s="22"/>
      <c r="P30" s="3"/>
    </row>
    <row r="31" spans="1:17" ht="15" hidden="1" customHeight="1" x14ac:dyDescent="0.2">
      <c r="A31" s="2" t="s">
        <v>411</v>
      </c>
      <c r="B31" s="2" t="s">
        <v>160</v>
      </c>
      <c r="C31" s="2" t="s">
        <v>135</v>
      </c>
      <c r="D31" s="2" t="s">
        <v>412</v>
      </c>
      <c r="E31" s="2" t="s">
        <v>412</v>
      </c>
      <c r="F31" s="2" t="s">
        <v>2</v>
      </c>
      <c r="G31" s="2">
        <v>1</v>
      </c>
      <c r="H31" s="2">
        <v>1</v>
      </c>
      <c r="I31" s="2">
        <v>0</v>
      </c>
      <c r="J31" s="2">
        <v>0</v>
      </c>
      <c r="K31" s="2">
        <v>0</v>
      </c>
      <c r="L31" s="22">
        <v>914.85925242270412</v>
      </c>
      <c r="M31" s="22">
        <f t="shared" si="2"/>
        <v>914.85925242270412</v>
      </c>
      <c r="N31" s="22"/>
      <c r="O31" s="22"/>
      <c r="P31" s="3"/>
    </row>
    <row r="32" spans="1:17" ht="15" hidden="1" customHeight="1" x14ac:dyDescent="0.2">
      <c r="A32" s="2" t="s">
        <v>413</v>
      </c>
      <c r="B32" s="2" t="s">
        <v>160</v>
      </c>
      <c r="C32" s="2" t="s">
        <v>135</v>
      </c>
      <c r="D32" s="2" t="s">
        <v>414</v>
      </c>
      <c r="E32" s="2" t="s">
        <v>219</v>
      </c>
      <c r="F32" s="2" t="s">
        <v>2</v>
      </c>
      <c r="G32" s="2">
        <v>2</v>
      </c>
      <c r="H32" s="2">
        <v>2</v>
      </c>
      <c r="I32" s="2">
        <v>0</v>
      </c>
      <c r="J32" s="2">
        <v>0</v>
      </c>
      <c r="K32" s="2">
        <v>0</v>
      </c>
      <c r="L32" s="22">
        <v>914.85925242270412</v>
      </c>
      <c r="M32" s="22">
        <f t="shared" si="2"/>
        <v>1829.7185048454082</v>
      </c>
      <c r="N32" s="22"/>
      <c r="O32" s="22"/>
      <c r="P32" s="3"/>
    </row>
    <row r="33" spans="1:20" ht="15" hidden="1" customHeight="1" x14ac:dyDescent="0.2">
      <c r="A33" s="2" t="s">
        <v>415</v>
      </c>
      <c r="B33" s="2" t="s">
        <v>160</v>
      </c>
      <c r="C33" s="2" t="s">
        <v>135</v>
      </c>
      <c r="D33" s="2" t="s">
        <v>211</v>
      </c>
      <c r="E33" s="2" t="s">
        <v>416</v>
      </c>
      <c r="F33" s="2" t="s">
        <v>2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2">
        <v>914.85925242270412</v>
      </c>
      <c r="M33" s="22">
        <f t="shared" si="2"/>
        <v>1829.7185048454082</v>
      </c>
      <c r="N33" s="22"/>
      <c r="O33" s="22"/>
      <c r="P33" s="3"/>
    </row>
    <row r="34" spans="1:20" ht="15" hidden="1" customHeight="1" x14ac:dyDescent="0.2">
      <c r="A34" s="2" t="s">
        <v>417</v>
      </c>
      <c r="B34" s="2" t="s">
        <v>112</v>
      </c>
      <c r="C34" s="2" t="s">
        <v>113</v>
      </c>
      <c r="D34" s="2" t="s">
        <v>215</v>
      </c>
      <c r="E34" s="2" t="s">
        <v>215</v>
      </c>
      <c r="F34" s="2" t="s">
        <v>3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2">
        <v>863.72865712967234</v>
      </c>
      <c r="M34" s="22">
        <f t="shared" si="2"/>
        <v>863.72865712967234</v>
      </c>
      <c r="N34" s="22">
        <v>172.74573142593451</v>
      </c>
      <c r="O34" s="22"/>
      <c r="P34" s="3"/>
    </row>
    <row r="35" spans="1:20" ht="15" hidden="1" customHeight="1" x14ac:dyDescent="0.2">
      <c r="A35" s="2" t="s">
        <v>418</v>
      </c>
      <c r="B35" s="2" t="s">
        <v>125</v>
      </c>
      <c r="C35" s="2" t="s">
        <v>118</v>
      </c>
      <c r="D35" s="2" t="s">
        <v>315</v>
      </c>
      <c r="E35" s="2" t="s">
        <v>251</v>
      </c>
      <c r="F35" s="2" t="s">
        <v>3</v>
      </c>
      <c r="G35" s="2">
        <v>4</v>
      </c>
      <c r="H35" s="2">
        <v>3</v>
      </c>
      <c r="I35" s="2">
        <v>0</v>
      </c>
      <c r="J35" s="2">
        <v>1</v>
      </c>
      <c r="K35" s="2">
        <v>0</v>
      </c>
      <c r="L35" s="22">
        <v>868.85094600830632</v>
      </c>
      <c r="M35" s="22">
        <f t="shared" si="2"/>
        <v>2606.5528380249189</v>
      </c>
      <c r="N35" s="22">
        <v>521.31056760498382</v>
      </c>
      <c r="O35" s="22"/>
      <c r="P35" s="3"/>
    </row>
    <row r="36" spans="1:20" ht="15" hidden="1" customHeight="1" x14ac:dyDescent="0.2">
      <c r="A36" s="2" t="s">
        <v>419</v>
      </c>
      <c r="B36" s="2" t="s">
        <v>139</v>
      </c>
      <c r="C36" s="2" t="s">
        <v>135</v>
      </c>
      <c r="D36" s="2" t="s">
        <v>222</v>
      </c>
      <c r="E36" s="2" t="s">
        <v>222</v>
      </c>
      <c r="F36" s="2" t="s">
        <v>3</v>
      </c>
      <c r="G36" s="2">
        <v>1</v>
      </c>
      <c r="H36" s="2">
        <v>1</v>
      </c>
      <c r="I36" s="2">
        <v>0</v>
      </c>
      <c r="J36" s="2">
        <v>0</v>
      </c>
      <c r="K36" s="2">
        <v>0</v>
      </c>
      <c r="L36" s="22">
        <v>1096.169820027688</v>
      </c>
      <c r="M36" s="22">
        <f t="shared" si="2"/>
        <v>1096.169820027688</v>
      </c>
      <c r="N36" s="22"/>
      <c r="O36" s="22"/>
      <c r="P36" s="3"/>
    </row>
    <row r="37" spans="1:20" ht="15" hidden="1" customHeight="1" x14ac:dyDescent="0.2">
      <c r="A37" s="2" t="s">
        <v>420</v>
      </c>
      <c r="B37" s="2" t="s">
        <v>139</v>
      </c>
      <c r="C37" s="2" t="s">
        <v>135</v>
      </c>
      <c r="D37" s="2" t="s">
        <v>223</v>
      </c>
      <c r="E37" s="26">
        <v>45735</v>
      </c>
      <c r="F37" s="2" t="s">
        <v>3</v>
      </c>
      <c r="G37" s="2">
        <v>3</v>
      </c>
      <c r="H37" s="2">
        <v>3</v>
      </c>
      <c r="I37" s="2">
        <v>0</v>
      </c>
      <c r="J37" s="2">
        <v>0</v>
      </c>
      <c r="K37" s="2">
        <v>0</v>
      </c>
      <c r="L37" s="22">
        <v>1096.169820027688</v>
      </c>
      <c r="M37" s="22">
        <f>L37*H37</f>
        <v>3288.5094600830644</v>
      </c>
      <c r="N37" s="22"/>
      <c r="O37" s="22"/>
      <c r="P37" s="3"/>
    </row>
    <row r="38" spans="1:20" ht="15" hidden="1" customHeight="1" x14ac:dyDescent="0.2">
      <c r="A38" s="2" t="s">
        <v>421</v>
      </c>
      <c r="B38" s="2" t="s">
        <v>139</v>
      </c>
      <c r="C38" s="2" t="s">
        <v>135</v>
      </c>
      <c r="D38" s="2" t="s">
        <v>225</v>
      </c>
      <c r="E38" s="26">
        <v>45747</v>
      </c>
      <c r="F38" s="2" t="s">
        <v>3</v>
      </c>
      <c r="G38" s="2">
        <v>5</v>
      </c>
      <c r="H38" s="2">
        <v>4</v>
      </c>
      <c r="I38" s="2">
        <v>0</v>
      </c>
      <c r="J38" s="2">
        <v>1</v>
      </c>
      <c r="K38" s="2">
        <v>0</v>
      </c>
      <c r="L38" s="22">
        <v>1096.169820027688</v>
      </c>
      <c r="M38" s="22">
        <f>L38*H38</f>
        <v>4384.6792801107522</v>
      </c>
      <c r="N38" s="22"/>
      <c r="O38" s="22"/>
      <c r="P38" s="3"/>
    </row>
    <row r="39" spans="1:20" ht="15" hidden="1" customHeight="1" x14ac:dyDescent="0.2">
      <c r="A39" s="2" t="s">
        <v>422</v>
      </c>
      <c r="B39" s="2" t="s">
        <v>145</v>
      </c>
      <c r="C39" s="2" t="s">
        <v>135</v>
      </c>
      <c r="D39" s="2" t="s">
        <v>252</v>
      </c>
      <c r="E39" s="2" t="s">
        <v>252</v>
      </c>
      <c r="F39" s="2" t="s">
        <v>3</v>
      </c>
      <c r="G39" s="2">
        <v>1</v>
      </c>
      <c r="H39" s="2">
        <v>1</v>
      </c>
      <c r="I39" s="2">
        <v>0</v>
      </c>
      <c r="J39" s="2">
        <v>0</v>
      </c>
      <c r="K39" s="2">
        <v>0</v>
      </c>
      <c r="L39" s="22">
        <v>730.27226580526064</v>
      </c>
      <c r="M39" s="22">
        <f>L39*H39</f>
        <v>730.27226580526064</v>
      </c>
      <c r="N39" s="22">
        <v>146.05445316105209</v>
      </c>
      <c r="O39" s="22"/>
      <c r="P39" s="3"/>
    </row>
    <row r="40" spans="1:20" ht="15" hidden="1" customHeight="1" x14ac:dyDescent="0.2">
      <c r="A40" s="2" t="s">
        <v>423</v>
      </c>
      <c r="B40" s="2" t="s">
        <v>152</v>
      </c>
      <c r="C40" s="2" t="s">
        <v>113</v>
      </c>
      <c r="D40" s="2" t="s">
        <v>215</v>
      </c>
      <c r="E40" s="2" t="s">
        <v>216</v>
      </c>
      <c r="F40" s="2" t="s">
        <v>3</v>
      </c>
      <c r="G40" s="2">
        <v>2</v>
      </c>
      <c r="H40" s="2">
        <v>2</v>
      </c>
      <c r="I40" s="2">
        <v>0</v>
      </c>
      <c r="J40" s="2">
        <v>0</v>
      </c>
      <c r="K40" s="2">
        <v>0</v>
      </c>
      <c r="L40" s="22">
        <v>868.57406552838017</v>
      </c>
      <c r="M40" s="22">
        <f>L40*H40</f>
        <v>1737.1481310567603</v>
      </c>
      <c r="N40" s="22"/>
      <c r="O40" s="22"/>
      <c r="P40" s="3"/>
    </row>
    <row r="41" spans="1:20" ht="15" hidden="1" customHeight="1" x14ac:dyDescent="0.2">
      <c r="A41" s="2"/>
      <c r="B41" s="2" t="s">
        <v>152</v>
      </c>
      <c r="C41" s="2" t="s">
        <v>113</v>
      </c>
      <c r="D41" s="2" t="s">
        <v>215</v>
      </c>
      <c r="E41" s="2" t="s">
        <v>216</v>
      </c>
      <c r="F41" s="2" t="s">
        <v>3</v>
      </c>
      <c r="G41" s="2">
        <v>2</v>
      </c>
      <c r="H41" s="2">
        <v>2</v>
      </c>
      <c r="I41" s="2">
        <v>0</v>
      </c>
      <c r="J41" s="2">
        <v>0</v>
      </c>
      <c r="K41" s="2">
        <v>0</v>
      </c>
      <c r="L41" s="22"/>
      <c r="M41" s="22"/>
      <c r="N41" s="22"/>
      <c r="O41" s="22">
        <v>1149</v>
      </c>
      <c r="P41" s="3"/>
      <c r="Q41" s="23">
        <v>45834</v>
      </c>
    </row>
    <row r="42" spans="1:20" ht="15" hidden="1" customHeight="1" x14ac:dyDescent="0.2">
      <c r="A42" s="2" t="s">
        <v>424</v>
      </c>
      <c r="B42" s="2" t="s">
        <v>152</v>
      </c>
      <c r="C42" s="2" t="s">
        <v>113</v>
      </c>
      <c r="D42" s="2" t="s">
        <v>217</v>
      </c>
      <c r="E42" s="2" t="s">
        <v>217</v>
      </c>
      <c r="F42" s="2" t="s">
        <v>3</v>
      </c>
      <c r="G42" s="2">
        <v>1</v>
      </c>
      <c r="H42" s="2">
        <v>1</v>
      </c>
      <c r="I42" s="2">
        <v>0</v>
      </c>
      <c r="J42" s="2">
        <v>0</v>
      </c>
      <c r="K42" s="2">
        <v>0</v>
      </c>
      <c r="L42" s="22">
        <v>868.57406552838017</v>
      </c>
      <c r="M42" s="22">
        <f>L42*H42</f>
        <v>868.57406552838017</v>
      </c>
      <c r="N42" s="22"/>
      <c r="O42" s="22"/>
      <c r="P42" s="3"/>
    </row>
    <row r="43" spans="1:20" ht="15" hidden="1" customHeight="1" x14ac:dyDescent="0.2">
      <c r="A43" s="2" t="s">
        <v>425</v>
      </c>
      <c r="B43" s="2" t="s">
        <v>139</v>
      </c>
      <c r="C43" s="2" t="s">
        <v>135</v>
      </c>
      <c r="D43" s="28">
        <v>45748</v>
      </c>
      <c r="E43" s="28">
        <v>45750</v>
      </c>
      <c r="F43" s="29" t="s">
        <v>4</v>
      </c>
      <c r="G43" s="2">
        <v>3</v>
      </c>
      <c r="H43" s="2">
        <v>3</v>
      </c>
      <c r="I43" s="2">
        <v>0</v>
      </c>
      <c r="J43" s="2">
        <v>0</v>
      </c>
      <c r="K43" s="2">
        <v>0</v>
      </c>
      <c r="L43" s="22">
        <v>1096.17</v>
      </c>
      <c r="M43" s="22">
        <f>L43*H43</f>
        <v>3288.51</v>
      </c>
      <c r="N43" s="2">
        <v>760</v>
      </c>
      <c r="O43" s="2"/>
      <c r="P43" s="3">
        <v>4998</v>
      </c>
      <c r="Q43" s="23">
        <v>45877</v>
      </c>
      <c r="R43" s="32">
        <f>P43-M43</f>
        <v>1709.4899999999998</v>
      </c>
      <c r="T43" t="s">
        <v>426</v>
      </c>
    </row>
    <row r="44" spans="1:20" ht="15" hidden="1" customHeight="1" x14ac:dyDescent="0.2">
      <c r="A44" s="2" t="s">
        <v>425</v>
      </c>
      <c r="B44" s="2" t="s">
        <v>139</v>
      </c>
      <c r="C44" s="2" t="s">
        <v>135</v>
      </c>
      <c r="D44" s="2" t="s">
        <v>244</v>
      </c>
      <c r="E44" s="2" t="s">
        <v>245</v>
      </c>
      <c r="F44" s="2" t="s">
        <v>4</v>
      </c>
      <c r="G44" s="2">
        <v>2</v>
      </c>
      <c r="H44" s="2">
        <v>2</v>
      </c>
      <c r="I44" s="2">
        <v>0</v>
      </c>
      <c r="J44" s="2">
        <v>0</v>
      </c>
      <c r="K44" s="2">
        <v>0</v>
      </c>
      <c r="L44" s="22">
        <v>1096.169820027688</v>
      </c>
      <c r="M44" s="22">
        <f>L44*H44</f>
        <v>2192.3396400553761</v>
      </c>
      <c r="N44" s="22">
        <v>506</v>
      </c>
      <c r="O44" s="22"/>
      <c r="P44" s="3">
        <v>3332</v>
      </c>
      <c r="Q44" s="23">
        <v>45877</v>
      </c>
      <c r="R44" s="32">
        <f>P44-M44</f>
        <v>1139.6603599446239</v>
      </c>
      <c r="T44" t="s">
        <v>426</v>
      </c>
    </row>
    <row r="45" spans="1:20" ht="15" hidden="1" customHeight="1" x14ac:dyDescent="0.2">
      <c r="A45" s="2" t="s">
        <v>427</v>
      </c>
      <c r="B45" s="2" t="s">
        <v>139</v>
      </c>
      <c r="C45" s="2" t="s">
        <v>135</v>
      </c>
      <c r="D45" s="26">
        <v>45781</v>
      </c>
      <c r="E45" s="2" t="s">
        <v>246</v>
      </c>
      <c r="F45" s="2" t="s">
        <v>5</v>
      </c>
      <c r="G45" s="2">
        <v>5</v>
      </c>
      <c r="H45" s="2">
        <v>5</v>
      </c>
      <c r="I45" s="2">
        <v>0</v>
      </c>
      <c r="J45" s="2">
        <v>0</v>
      </c>
      <c r="K45" s="2">
        <v>0</v>
      </c>
      <c r="L45" s="22">
        <v>1096.169820027688</v>
      </c>
      <c r="M45" s="22">
        <f>L45*H45</f>
        <v>5480.84910013844</v>
      </c>
      <c r="N45" s="22">
        <v>1254</v>
      </c>
      <c r="O45" s="22"/>
      <c r="P45" s="3">
        <v>8775</v>
      </c>
      <c r="Q45" s="23">
        <v>45877</v>
      </c>
      <c r="R45" s="32">
        <f>P45-M45</f>
        <v>3294.15089986156</v>
      </c>
      <c r="T45" t="s">
        <v>426</v>
      </c>
    </row>
    <row r="46" spans="1:20" ht="15" hidden="1" customHeight="1" x14ac:dyDescent="0.2">
      <c r="A46" s="2"/>
      <c r="B46" s="2" t="s">
        <v>152</v>
      </c>
      <c r="C46" s="2" t="s">
        <v>113</v>
      </c>
      <c r="D46" s="2" t="s">
        <v>217</v>
      </c>
      <c r="E46" s="2" t="s">
        <v>217</v>
      </c>
      <c r="F46" s="2" t="s">
        <v>3</v>
      </c>
      <c r="G46" s="2">
        <v>1</v>
      </c>
      <c r="H46" s="2">
        <v>1</v>
      </c>
      <c r="I46" s="2">
        <v>0</v>
      </c>
      <c r="J46" s="2">
        <v>0</v>
      </c>
      <c r="K46" s="2">
        <v>0</v>
      </c>
      <c r="L46" s="22"/>
      <c r="M46" s="22"/>
      <c r="N46" s="22"/>
      <c r="O46" s="22">
        <v>575</v>
      </c>
      <c r="P46" s="3"/>
      <c r="Q46" s="23">
        <v>45834</v>
      </c>
      <c r="R46" s="32"/>
    </row>
    <row r="47" spans="1:20" ht="15" hidden="1" customHeight="1" x14ac:dyDescent="0.2">
      <c r="A47" s="2" t="s">
        <v>428</v>
      </c>
      <c r="B47" s="2" t="s">
        <v>157</v>
      </c>
      <c r="C47" s="2" t="s">
        <v>135</v>
      </c>
      <c r="D47" s="2" t="s">
        <v>224</v>
      </c>
      <c r="E47" s="2" t="s">
        <v>216</v>
      </c>
      <c r="F47" s="2" t="s">
        <v>3</v>
      </c>
      <c r="G47" s="2">
        <v>3</v>
      </c>
      <c r="H47" s="2">
        <v>3</v>
      </c>
      <c r="I47" s="2">
        <v>0</v>
      </c>
      <c r="J47" s="2">
        <v>0</v>
      </c>
      <c r="K47" s="2">
        <v>0</v>
      </c>
      <c r="L47" s="22">
        <v>914.90539916935847</v>
      </c>
      <c r="M47" s="22">
        <f t="shared" ref="M47:M76" si="3">L47*H47</f>
        <v>2744.7161975080753</v>
      </c>
      <c r="N47" s="22">
        <v>548.94323950161504</v>
      </c>
      <c r="O47" s="22"/>
      <c r="P47" s="3"/>
    </row>
    <row r="48" spans="1:20" ht="15" hidden="1" customHeight="1" x14ac:dyDescent="0.2">
      <c r="A48" s="2" t="s">
        <v>429</v>
      </c>
      <c r="B48" s="2" t="s">
        <v>139</v>
      </c>
      <c r="C48" s="2" t="s">
        <v>135</v>
      </c>
      <c r="D48" s="2" t="s">
        <v>234</v>
      </c>
      <c r="E48" s="2" t="s">
        <v>234</v>
      </c>
      <c r="F48" s="2" t="s">
        <v>5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2">
        <v>1096.169820027688</v>
      </c>
      <c r="M48" s="22">
        <f t="shared" si="3"/>
        <v>1096.169820027688</v>
      </c>
      <c r="N48" s="22">
        <v>251</v>
      </c>
      <c r="O48" s="22"/>
      <c r="P48" s="3">
        <v>1254</v>
      </c>
      <c r="Q48" s="23">
        <v>45877</v>
      </c>
      <c r="R48" s="32">
        <f>P48-M48</f>
        <v>157.83017997231195</v>
      </c>
      <c r="T48" t="s">
        <v>426</v>
      </c>
    </row>
    <row r="49" spans="1:20" ht="15" hidden="1" customHeight="1" x14ac:dyDescent="0.2">
      <c r="A49" s="2" t="s">
        <v>430</v>
      </c>
      <c r="B49" s="2" t="s">
        <v>139</v>
      </c>
      <c r="C49" s="2" t="s">
        <v>135</v>
      </c>
      <c r="D49" s="2" t="s">
        <v>247</v>
      </c>
      <c r="E49" s="2" t="s">
        <v>247</v>
      </c>
      <c r="F49" s="2" t="s">
        <v>5</v>
      </c>
      <c r="G49" s="2">
        <v>1</v>
      </c>
      <c r="H49" s="2">
        <v>1</v>
      </c>
      <c r="I49" s="2">
        <v>0</v>
      </c>
      <c r="J49" s="2">
        <v>0</v>
      </c>
      <c r="K49" s="2">
        <v>0</v>
      </c>
      <c r="L49" s="22">
        <v>1096.169820027688</v>
      </c>
      <c r="M49" s="22">
        <f t="shared" si="3"/>
        <v>1096.169820027688</v>
      </c>
      <c r="N49" s="22">
        <v>251</v>
      </c>
      <c r="O49" s="22"/>
      <c r="P49" s="3">
        <v>1254</v>
      </c>
      <c r="Q49" s="23">
        <v>45877</v>
      </c>
      <c r="R49" s="32">
        <f>P49-M49</f>
        <v>157.83017997231195</v>
      </c>
      <c r="T49" t="s">
        <v>426</v>
      </c>
    </row>
    <row r="50" spans="1:20" ht="15" hidden="1" customHeight="1" x14ac:dyDescent="0.2">
      <c r="A50" s="2" t="s">
        <v>431</v>
      </c>
      <c r="B50" s="2" t="s">
        <v>160</v>
      </c>
      <c r="C50" s="2" t="s">
        <v>135</v>
      </c>
      <c r="D50" s="2" t="s">
        <v>252</v>
      </c>
      <c r="E50" s="2" t="s">
        <v>253</v>
      </c>
      <c r="F50" s="2" t="s">
        <v>3</v>
      </c>
      <c r="G50" s="2">
        <v>2</v>
      </c>
      <c r="H50" s="2">
        <v>2</v>
      </c>
      <c r="I50" s="2">
        <v>0</v>
      </c>
      <c r="J50" s="2">
        <v>0</v>
      </c>
      <c r="K50" s="2">
        <v>0</v>
      </c>
      <c r="L50" s="22">
        <v>914.85925242270412</v>
      </c>
      <c r="M50" s="22">
        <f t="shared" si="3"/>
        <v>1829.7185048454082</v>
      </c>
      <c r="N50" s="22"/>
      <c r="O50" s="22"/>
      <c r="P50" s="3"/>
    </row>
    <row r="51" spans="1:20" ht="15" hidden="1" customHeight="1" x14ac:dyDescent="0.2">
      <c r="A51" s="2" t="s">
        <v>432</v>
      </c>
      <c r="B51" s="2" t="s">
        <v>160</v>
      </c>
      <c r="C51" s="2" t="s">
        <v>135</v>
      </c>
      <c r="D51" s="2" t="s">
        <v>254</v>
      </c>
      <c r="E51" s="2" t="s">
        <v>293</v>
      </c>
      <c r="F51" s="2" t="s">
        <v>3</v>
      </c>
      <c r="G51" s="2">
        <v>2</v>
      </c>
      <c r="H51" s="2">
        <v>2</v>
      </c>
      <c r="I51" s="2">
        <v>0</v>
      </c>
      <c r="J51" s="2">
        <v>0</v>
      </c>
      <c r="K51" s="2">
        <v>0</v>
      </c>
      <c r="L51" s="22">
        <v>914.85925242270412</v>
      </c>
      <c r="M51" s="22">
        <f t="shared" si="3"/>
        <v>1829.7185048454082</v>
      </c>
      <c r="N51" s="22"/>
      <c r="O51" s="22"/>
      <c r="P51" s="3"/>
    </row>
    <row r="52" spans="1:20" ht="15" hidden="1" customHeight="1" x14ac:dyDescent="0.2">
      <c r="A52" s="2" t="s">
        <v>433</v>
      </c>
      <c r="B52" s="2" t="s">
        <v>160</v>
      </c>
      <c r="C52" s="2" t="s">
        <v>135</v>
      </c>
      <c r="D52" s="2" t="s">
        <v>225</v>
      </c>
      <c r="E52" s="2" t="s">
        <v>243</v>
      </c>
      <c r="F52" s="2" t="s">
        <v>3</v>
      </c>
      <c r="G52" s="2">
        <v>5</v>
      </c>
      <c r="H52" s="2">
        <v>4</v>
      </c>
      <c r="I52" s="2">
        <v>0</v>
      </c>
      <c r="J52" s="2">
        <v>1</v>
      </c>
      <c r="K52" s="2">
        <v>0</v>
      </c>
      <c r="L52" s="22">
        <v>914.85925242270412</v>
      </c>
      <c r="M52" s="22">
        <f t="shared" si="3"/>
        <v>3659.4370096908165</v>
      </c>
      <c r="N52" s="22"/>
      <c r="O52" s="22"/>
      <c r="P52" s="3"/>
    </row>
    <row r="53" spans="1:20" ht="15" hidden="1" customHeight="1" x14ac:dyDescent="0.2">
      <c r="A53" s="2" t="s">
        <v>434</v>
      </c>
      <c r="B53" s="2" t="s">
        <v>163</v>
      </c>
      <c r="C53" s="2" t="s">
        <v>113</v>
      </c>
      <c r="D53" s="2" t="s">
        <v>223</v>
      </c>
      <c r="E53" s="2" t="s">
        <v>216</v>
      </c>
      <c r="F53" s="2" t="s">
        <v>3</v>
      </c>
      <c r="G53" s="2">
        <v>4</v>
      </c>
      <c r="H53" s="2">
        <v>4</v>
      </c>
      <c r="I53" s="2">
        <v>0</v>
      </c>
      <c r="J53" s="2">
        <v>0</v>
      </c>
      <c r="K53" s="2">
        <v>0</v>
      </c>
      <c r="L53" s="22">
        <v>812.22888786340559</v>
      </c>
      <c r="M53" s="22">
        <f t="shared" si="3"/>
        <v>3248.9155514536224</v>
      </c>
      <c r="N53" s="22">
        <v>649.78311029072449</v>
      </c>
      <c r="O53" s="22"/>
      <c r="P53" s="3"/>
    </row>
    <row r="54" spans="1:20" ht="15" hidden="1" customHeight="1" x14ac:dyDescent="0.2">
      <c r="A54" s="2" t="s">
        <v>435</v>
      </c>
      <c r="B54" s="2" t="s">
        <v>125</v>
      </c>
      <c r="C54" s="2" t="s">
        <v>118</v>
      </c>
      <c r="D54" s="2" t="s">
        <v>213</v>
      </c>
      <c r="E54" s="2" t="s">
        <v>213</v>
      </c>
      <c r="F54" s="2" t="s">
        <v>4</v>
      </c>
      <c r="G54" s="2">
        <v>1</v>
      </c>
      <c r="H54" s="2">
        <v>1</v>
      </c>
      <c r="I54" s="2">
        <v>0</v>
      </c>
      <c r="J54" s="2">
        <v>0</v>
      </c>
      <c r="K54" s="2">
        <v>0</v>
      </c>
      <c r="L54" s="22">
        <v>868.85094600830632</v>
      </c>
      <c r="M54" s="22">
        <f t="shared" si="3"/>
        <v>868.85094600830632</v>
      </c>
      <c r="N54" s="22">
        <v>173.77018920166131</v>
      </c>
      <c r="O54" s="22"/>
      <c r="P54" s="3"/>
    </row>
    <row r="55" spans="1:20" ht="15" hidden="1" customHeight="1" x14ac:dyDescent="0.2">
      <c r="A55" s="2" t="s">
        <v>436</v>
      </c>
      <c r="B55" s="2" t="s">
        <v>125</v>
      </c>
      <c r="C55" s="2" t="s">
        <v>118</v>
      </c>
      <c r="D55" s="2" t="s">
        <v>316</v>
      </c>
      <c r="E55" s="2" t="s">
        <v>316</v>
      </c>
      <c r="F55" s="2" t="s">
        <v>4</v>
      </c>
      <c r="G55" s="2">
        <v>1</v>
      </c>
      <c r="H55" s="2">
        <v>0</v>
      </c>
      <c r="I55" s="2">
        <v>0</v>
      </c>
      <c r="J55" s="2">
        <v>1</v>
      </c>
      <c r="K55" s="2">
        <v>0</v>
      </c>
      <c r="L55" s="22">
        <v>868.85094600830632</v>
      </c>
      <c r="M55" s="22">
        <f t="shared" si="3"/>
        <v>0</v>
      </c>
      <c r="N55" s="22">
        <v>0</v>
      </c>
      <c r="O55" s="22"/>
      <c r="P55" s="3"/>
    </row>
    <row r="56" spans="1:20" ht="15" hidden="1" customHeight="1" x14ac:dyDescent="0.2">
      <c r="A56" s="2" t="s">
        <v>437</v>
      </c>
      <c r="B56" s="2" t="s">
        <v>128</v>
      </c>
      <c r="C56" s="2" t="s">
        <v>118</v>
      </c>
      <c r="D56" s="2" t="s">
        <v>322</v>
      </c>
      <c r="E56" s="2" t="s">
        <v>331</v>
      </c>
      <c r="F56" s="2" t="s">
        <v>4</v>
      </c>
      <c r="G56" s="2">
        <v>38</v>
      </c>
      <c r="H56" s="2">
        <v>28</v>
      </c>
      <c r="I56" s="2">
        <v>5</v>
      </c>
      <c r="J56" s="2">
        <v>5</v>
      </c>
      <c r="K56" s="2">
        <v>0</v>
      </c>
      <c r="L56" s="22">
        <v>670.60452238117205</v>
      </c>
      <c r="M56" s="22">
        <f t="shared" si="3"/>
        <v>18776.926626672815</v>
      </c>
      <c r="N56" s="22">
        <v>3755.3853253345628</v>
      </c>
      <c r="O56" s="22"/>
      <c r="P56" s="3"/>
    </row>
    <row r="57" spans="1:20" ht="15" hidden="1" customHeight="1" x14ac:dyDescent="0.2">
      <c r="A57" s="2" t="s">
        <v>438</v>
      </c>
      <c r="B57" s="2" t="s">
        <v>139</v>
      </c>
      <c r="C57" s="2" t="s">
        <v>135</v>
      </c>
      <c r="D57" s="2" t="s">
        <v>248</v>
      </c>
      <c r="E57" s="2" t="s">
        <v>248</v>
      </c>
      <c r="F57" s="2" t="s">
        <v>6</v>
      </c>
      <c r="G57" s="2">
        <v>1</v>
      </c>
      <c r="H57" s="2">
        <v>1</v>
      </c>
      <c r="I57" s="2">
        <v>0</v>
      </c>
      <c r="J57" s="2">
        <v>0</v>
      </c>
      <c r="K57" s="2">
        <v>0</v>
      </c>
      <c r="L57" s="22">
        <v>1096.169820027688</v>
      </c>
      <c r="M57" s="22">
        <f t="shared" si="3"/>
        <v>1096.169820027688</v>
      </c>
      <c r="N57" s="22">
        <v>259</v>
      </c>
      <c r="O57" s="22"/>
      <c r="P57" s="3">
        <v>1811</v>
      </c>
      <c r="Q57" s="23">
        <v>45877</v>
      </c>
      <c r="R57" s="32">
        <f>P57-M57</f>
        <v>714.83017997231195</v>
      </c>
      <c r="T57" t="s">
        <v>426</v>
      </c>
    </row>
    <row r="58" spans="1:20" ht="15" hidden="1" customHeight="1" x14ac:dyDescent="0.2">
      <c r="A58" s="2" t="s">
        <v>439</v>
      </c>
      <c r="B58" s="2" t="s">
        <v>149</v>
      </c>
      <c r="C58" s="2" t="s">
        <v>113</v>
      </c>
      <c r="D58" s="2" t="s">
        <v>322</v>
      </c>
      <c r="E58" s="2" t="s">
        <v>323</v>
      </c>
      <c r="F58" s="2" t="s">
        <v>4</v>
      </c>
      <c r="G58" s="2">
        <v>3</v>
      </c>
      <c r="H58" s="2">
        <v>3</v>
      </c>
      <c r="I58" s="2">
        <v>0</v>
      </c>
      <c r="J58" s="2">
        <v>0</v>
      </c>
      <c r="K58" s="2">
        <v>0</v>
      </c>
      <c r="L58" s="22">
        <v>826.99584679280099</v>
      </c>
      <c r="M58" s="22">
        <f t="shared" si="3"/>
        <v>2480.9875403784031</v>
      </c>
      <c r="N58" s="22">
        <v>496.19750807568062</v>
      </c>
      <c r="O58" s="22"/>
      <c r="P58" s="3"/>
    </row>
    <row r="59" spans="1:20" ht="15" hidden="1" customHeight="1" x14ac:dyDescent="0.2">
      <c r="A59" s="2" t="s">
        <v>440</v>
      </c>
      <c r="B59" s="2" t="s">
        <v>139</v>
      </c>
      <c r="C59" s="2" t="s">
        <v>135</v>
      </c>
      <c r="D59" s="2" t="s">
        <v>249</v>
      </c>
      <c r="E59" s="2" t="s">
        <v>250</v>
      </c>
      <c r="F59" s="2" t="s">
        <v>6</v>
      </c>
      <c r="G59" s="2">
        <v>2</v>
      </c>
      <c r="H59" s="2">
        <v>2</v>
      </c>
      <c r="I59" s="2">
        <v>0</v>
      </c>
      <c r="J59" s="2">
        <v>0</v>
      </c>
      <c r="K59" s="2">
        <v>0</v>
      </c>
      <c r="L59" s="22">
        <v>1096.169820027688</v>
      </c>
      <c r="M59" s="22">
        <f t="shared" si="3"/>
        <v>2192.3396400553761</v>
      </c>
      <c r="N59" s="22">
        <v>517</v>
      </c>
      <c r="O59" s="22"/>
      <c r="P59" s="3">
        <v>2587</v>
      </c>
      <c r="Q59" s="23">
        <v>45877</v>
      </c>
      <c r="R59" s="32">
        <f>P59-M59</f>
        <v>394.66035994462391</v>
      </c>
      <c r="T59" t="s">
        <v>426</v>
      </c>
    </row>
    <row r="60" spans="1:20" ht="15" hidden="1" customHeight="1" x14ac:dyDescent="0.2">
      <c r="A60" s="2" t="s">
        <v>441</v>
      </c>
      <c r="B60" s="2" t="s">
        <v>152</v>
      </c>
      <c r="C60" s="2" t="s">
        <v>113</v>
      </c>
      <c r="D60" s="2" t="s">
        <v>228</v>
      </c>
      <c r="E60" s="2" t="s">
        <v>228</v>
      </c>
      <c r="F60" s="2" t="s">
        <v>4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2">
        <v>868.57406552838017</v>
      </c>
      <c r="M60" s="22">
        <f t="shared" si="3"/>
        <v>868.57406552838017</v>
      </c>
      <c r="N60" s="22">
        <v>250</v>
      </c>
      <c r="O60" s="22"/>
      <c r="P60" s="3">
        <v>1437</v>
      </c>
      <c r="Q60" s="23">
        <v>45877</v>
      </c>
      <c r="R60" s="32">
        <f>P60-M60</f>
        <v>568.42593447161983</v>
      </c>
      <c r="S60" s="24">
        <v>45931</v>
      </c>
    </row>
    <row r="61" spans="1:20" ht="15" hidden="1" customHeight="1" x14ac:dyDescent="0.2">
      <c r="A61" s="2" t="s">
        <v>442</v>
      </c>
      <c r="B61" s="2" t="s">
        <v>152</v>
      </c>
      <c r="C61" s="2" t="s">
        <v>113</v>
      </c>
      <c r="D61" s="2" t="s">
        <v>231</v>
      </c>
      <c r="E61" s="2" t="s">
        <v>231</v>
      </c>
      <c r="F61" s="2" t="s">
        <v>4</v>
      </c>
      <c r="G61" s="2">
        <v>1</v>
      </c>
      <c r="H61" s="2">
        <v>1</v>
      </c>
      <c r="I61" s="2">
        <v>0</v>
      </c>
      <c r="J61" s="2">
        <v>0</v>
      </c>
      <c r="K61" s="2">
        <v>0</v>
      </c>
      <c r="L61" s="22">
        <v>868.57406552838017</v>
      </c>
      <c r="M61" s="22">
        <f t="shared" si="3"/>
        <v>868.57406552838017</v>
      </c>
      <c r="N61" s="22">
        <v>250</v>
      </c>
      <c r="O61" s="22"/>
      <c r="P61" s="3">
        <v>1437</v>
      </c>
      <c r="Q61" s="23">
        <v>45877</v>
      </c>
      <c r="R61" s="32">
        <f>P61-M61</f>
        <v>568.42593447161983</v>
      </c>
      <c r="S61" s="24">
        <v>45931</v>
      </c>
    </row>
    <row r="62" spans="1:20" ht="15" customHeight="1" x14ac:dyDescent="0.2">
      <c r="A62" s="33" t="s">
        <v>443</v>
      </c>
      <c r="B62" s="33" t="s">
        <v>155</v>
      </c>
      <c r="C62" s="33" t="s">
        <v>113</v>
      </c>
      <c r="D62" s="33" t="s">
        <v>316</v>
      </c>
      <c r="E62" s="33" t="s">
        <v>316</v>
      </c>
      <c r="F62" s="33" t="s">
        <v>4</v>
      </c>
      <c r="G62" s="33">
        <v>1</v>
      </c>
      <c r="H62" s="33">
        <v>1</v>
      </c>
      <c r="I62" s="33">
        <v>0</v>
      </c>
      <c r="J62" s="33">
        <v>1</v>
      </c>
      <c r="K62" s="33">
        <v>0</v>
      </c>
      <c r="L62" s="34">
        <v>929.85694508537142</v>
      </c>
      <c r="M62" s="34">
        <f t="shared" si="3"/>
        <v>929.85694508537142</v>
      </c>
      <c r="N62" s="22"/>
      <c r="O62" s="22"/>
      <c r="P62" s="3"/>
      <c r="Q62" s="23"/>
      <c r="R62" s="32"/>
    </row>
    <row r="63" spans="1:20" ht="15" hidden="1" customHeight="1" x14ac:dyDescent="0.2">
      <c r="A63" s="2" t="s">
        <v>444</v>
      </c>
      <c r="B63" s="2" t="s">
        <v>160</v>
      </c>
      <c r="C63" s="2" t="s">
        <v>135</v>
      </c>
      <c r="D63" s="2" t="s">
        <v>295</v>
      </c>
      <c r="E63" s="2" t="s">
        <v>295</v>
      </c>
      <c r="F63" s="2" t="s">
        <v>4</v>
      </c>
      <c r="G63" s="2">
        <v>1</v>
      </c>
      <c r="H63" s="2">
        <v>0</v>
      </c>
      <c r="I63" s="2">
        <v>0</v>
      </c>
      <c r="J63" s="2">
        <v>1</v>
      </c>
      <c r="K63" s="2">
        <v>0</v>
      </c>
      <c r="L63" s="22">
        <v>914.85925242270412</v>
      </c>
      <c r="M63" s="22">
        <f t="shared" si="3"/>
        <v>0</v>
      </c>
      <c r="N63" s="22"/>
      <c r="O63" s="22"/>
      <c r="P63" s="3"/>
    </row>
    <row r="64" spans="1:20" ht="15" hidden="1" customHeight="1" x14ac:dyDescent="0.2">
      <c r="A64" s="2" t="s">
        <v>445</v>
      </c>
      <c r="B64" s="2" t="s">
        <v>160</v>
      </c>
      <c r="C64" s="2" t="s">
        <v>135</v>
      </c>
      <c r="D64" s="2" t="s">
        <v>244</v>
      </c>
      <c r="E64" s="2" t="s">
        <v>244</v>
      </c>
      <c r="F64" s="2" t="s">
        <v>4</v>
      </c>
      <c r="G64" s="2">
        <v>1</v>
      </c>
      <c r="H64" s="2">
        <v>1</v>
      </c>
      <c r="I64" s="2">
        <v>0</v>
      </c>
      <c r="J64" s="2">
        <v>0</v>
      </c>
      <c r="K64" s="2">
        <v>0</v>
      </c>
      <c r="L64" s="22">
        <v>914.85925242270412</v>
      </c>
      <c r="M64" s="22">
        <f t="shared" si="3"/>
        <v>914.85925242270412</v>
      </c>
      <c r="N64" s="22"/>
      <c r="O64" s="22"/>
      <c r="P64" s="3"/>
    </row>
    <row r="65" spans="1:20" ht="15" hidden="1" customHeight="1" x14ac:dyDescent="0.2">
      <c r="A65" s="2" t="s">
        <v>446</v>
      </c>
      <c r="B65" s="2" t="s">
        <v>160</v>
      </c>
      <c r="C65" s="2" t="s">
        <v>135</v>
      </c>
      <c r="D65" s="2" t="s">
        <v>255</v>
      </c>
      <c r="E65" s="2" t="s">
        <v>213</v>
      </c>
      <c r="F65" s="2" t="s">
        <v>4</v>
      </c>
      <c r="G65" s="2">
        <v>3</v>
      </c>
      <c r="H65" s="2">
        <v>3</v>
      </c>
      <c r="I65" s="2">
        <v>0</v>
      </c>
      <c r="J65" s="2">
        <v>0</v>
      </c>
      <c r="K65" s="2">
        <v>0</v>
      </c>
      <c r="L65" s="22">
        <v>914.85925242270412</v>
      </c>
      <c r="M65" s="22">
        <f t="shared" si="3"/>
        <v>2744.5777572681122</v>
      </c>
      <c r="N65" s="22"/>
      <c r="O65" s="22"/>
      <c r="P65" s="3"/>
    </row>
    <row r="66" spans="1:20" ht="15" hidden="1" customHeight="1" x14ac:dyDescent="0.2">
      <c r="A66" s="2" t="s">
        <v>447</v>
      </c>
      <c r="B66" s="2" t="s">
        <v>160</v>
      </c>
      <c r="C66" s="2" t="s">
        <v>135</v>
      </c>
      <c r="D66" s="2" t="s">
        <v>335</v>
      </c>
      <c r="E66" s="2" t="s">
        <v>335</v>
      </c>
      <c r="F66" s="2" t="s">
        <v>4</v>
      </c>
      <c r="G66" s="2">
        <v>1</v>
      </c>
      <c r="H66" s="2">
        <v>1</v>
      </c>
      <c r="I66" s="2">
        <v>0</v>
      </c>
      <c r="J66" s="2">
        <v>0</v>
      </c>
      <c r="K66" s="2">
        <v>0</v>
      </c>
      <c r="L66" s="22">
        <v>914.85925242270412</v>
      </c>
      <c r="M66" s="22">
        <f t="shared" si="3"/>
        <v>914.85925242270412</v>
      </c>
      <c r="N66" s="22"/>
      <c r="O66" s="22"/>
      <c r="P66" s="3"/>
    </row>
    <row r="67" spans="1:20" ht="15" hidden="1" customHeight="1" x14ac:dyDescent="0.2">
      <c r="A67" s="2" t="s">
        <v>448</v>
      </c>
      <c r="B67" s="2" t="s">
        <v>121</v>
      </c>
      <c r="C67" s="2" t="s">
        <v>113</v>
      </c>
      <c r="D67" s="2" t="s">
        <v>257</v>
      </c>
      <c r="E67" s="2" t="s">
        <v>309</v>
      </c>
      <c r="F67" s="2" t="s">
        <v>5</v>
      </c>
      <c r="G67" s="2">
        <v>3</v>
      </c>
      <c r="H67" s="2">
        <v>3</v>
      </c>
      <c r="I67" s="2">
        <v>0</v>
      </c>
      <c r="J67" s="2">
        <v>0</v>
      </c>
      <c r="K67" s="2">
        <v>0</v>
      </c>
      <c r="L67" s="22">
        <v>946.00830641439768</v>
      </c>
      <c r="M67" s="22">
        <f t="shared" si="3"/>
        <v>2838.0249192431929</v>
      </c>
      <c r="N67" s="22">
        <v>567.60498384863865</v>
      </c>
      <c r="O67" s="22"/>
      <c r="P67" s="3"/>
    </row>
    <row r="68" spans="1:20" ht="15" hidden="1" customHeight="1" x14ac:dyDescent="0.2">
      <c r="A68" s="2" t="s">
        <v>449</v>
      </c>
      <c r="B68" s="2" t="s">
        <v>125</v>
      </c>
      <c r="C68" s="2" t="s">
        <v>118</v>
      </c>
      <c r="D68" s="2" t="s">
        <v>232</v>
      </c>
      <c r="E68" s="2" t="s">
        <v>235</v>
      </c>
      <c r="F68" s="2" t="s">
        <v>5</v>
      </c>
      <c r="G68" s="2">
        <v>21</v>
      </c>
      <c r="H68" s="2">
        <v>15</v>
      </c>
      <c r="I68" s="2">
        <v>3</v>
      </c>
      <c r="J68" s="2">
        <v>3</v>
      </c>
      <c r="K68" s="2">
        <v>0</v>
      </c>
      <c r="L68" s="22">
        <v>868.85094600830632</v>
      </c>
      <c r="M68" s="22">
        <f t="shared" si="3"/>
        <v>13032.764190124595</v>
      </c>
      <c r="N68" s="22">
        <v>2606.5528380249189</v>
      </c>
      <c r="O68" s="22"/>
      <c r="P68" s="3"/>
    </row>
    <row r="69" spans="1:20" ht="15" hidden="1" customHeight="1" x14ac:dyDescent="0.2">
      <c r="A69" s="2" t="s">
        <v>450</v>
      </c>
      <c r="B69" s="2" t="s">
        <v>152</v>
      </c>
      <c r="C69" s="2" t="s">
        <v>113</v>
      </c>
      <c r="D69" s="2" t="s">
        <v>232</v>
      </c>
      <c r="E69" s="2" t="s">
        <v>232</v>
      </c>
      <c r="F69" s="2" t="s">
        <v>5</v>
      </c>
      <c r="G69" s="2">
        <v>1</v>
      </c>
      <c r="H69" s="2">
        <v>1</v>
      </c>
      <c r="I69" s="2">
        <v>0</v>
      </c>
      <c r="J69" s="2">
        <v>0</v>
      </c>
      <c r="K69" s="2">
        <v>0</v>
      </c>
      <c r="L69" s="22">
        <v>868.57406552838017</v>
      </c>
      <c r="M69" s="22">
        <f t="shared" si="3"/>
        <v>868.57406552838017</v>
      </c>
      <c r="N69" s="22">
        <v>178</v>
      </c>
      <c r="O69" s="22"/>
      <c r="P69" s="3">
        <v>891</v>
      </c>
      <c r="Q69" s="23">
        <v>45877</v>
      </c>
      <c r="R69" s="32">
        <f>P69-M69</f>
        <v>22.425934471619826</v>
      </c>
      <c r="S69" s="24">
        <v>45931</v>
      </c>
    </row>
    <row r="70" spans="1:20" ht="15" hidden="1" customHeight="1" x14ac:dyDescent="0.2">
      <c r="A70" s="2" t="s">
        <v>451</v>
      </c>
      <c r="B70" s="2" t="s">
        <v>152</v>
      </c>
      <c r="C70" s="2" t="s">
        <v>113</v>
      </c>
      <c r="D70" s="2" t="s">
        <v>233</v>
      </c>
      <c r="E70" s="2" t="s">
        <v>233</v>
      </c>
      <c r="F70" s="2" t="s">
        <v>5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2">
        <v>868.57406552838017</v>
      </c>
      <c r="M70" s="22">
        <f t="shared" si="3"/>
        <v>868.57406552838017</v>
      </c>
      <c r="N70" s="22">
        <v>178</v>
      </c>
      <c r="O70" s="22"/>
      <c r="P70" s="3">
        <v>891</v>
      </c>
      <c r="Q70" s="23">
        <v>45877</v>
      </c>
      <c r="R70" s="32">
        <f>P70-M70</f>
        <v>22.425934471619826</v>
      </c>
      <c r="S70" s="24">
        <v>45931</v>
      </c>
    </row>
    <row r="71" spans="1:20" ht="15" hidden="1" customHeight="1" x14ac:dyDescent="0.2">
      <c r="A71" s="2" t="s">
        <v>452</v>
      </c>
      <c r="B71" s="2" t="s">
        <v>152</v>
      </c>
      <c r="C71" s="2" t="s">
        <v>113</v>
      </c>
      <c r="D71" s="2" t="s">
        <v>234</v>
      </c>
      <c r="E71" s="2" t="s">
        <v>234</v>
      </c>
      <c r="F71" s="2" t="s">
        <v>5</v>
      </c>
      <c r="G71" s="2">
        <v>1</v>
      </c>
      <c r="H71" s="2">
        <v>1</v>
      </c>
      <c r="I71" s="2">
        <v>0</v>
      </c>
      <c r="J71" s="2">
        <v>0</v>
      </c>
      <c r="K71" s="2">
        <v>0</v>
      </c>
      <c r="L71" s="22">
        <v>868.57406552838017</v>
      </c>
      <c r="M71" s="22">
        <f t="shared" si="3"/>
        <v>868.57406552838017</v>
      </c>
      <c r="N71" s="22">
        <v>178</v>
      </c>
      <c r="O71" s="22"/>
      <c r="P71" s="3">
        <v>891</v>
      </c>
      <c r="Q71" s="23">
        <v>45877</v>
      </c>
      <c r="R71" s="32">
        <f>P71-M71</f>
        <v>22.425934471619826</v>
      </c>
      <c r="S71" s="24">
        <v>45931</v>
      </c>
    </row>
    <row r="72" spans="1:20" ht="15" hidden="1" customHeight="1" x14ac:dyDescent="0.2">
      <c r="A72" s="2" t="s">
        <v>453</v>
      </c>
      <c r="B72" s="2" t="s">
        <v>145</v>
      </c>
      <c r="C72" s="2" t="s">
        <v>135</v>
      </c>
      <c r="D72" s="2" t="s">
        <v>236</v>
      </c>
      <c r="E72" s="2" t="s">
        <v>259</v>
      </c>
      <c r="F72" s="2" t="s">
        <v>5</v>
      </c>
      <c r="G72" s="2">
        <v>3</v>
      </c>
      <c r="H72" s="2">
        <v>2</v>
      </c>
      <c r="I72" s="2">
        <v>0</v>
      </c>
      <c r="J72" s="2">
        <v>1</v>
      </c>
      <c r="K72" s="2">
        <v>0</v>
      </c>
      <c r="L72" s="22">
        <v>730.27226580526064</v>
      </c>
      <c r="M72" s="22">
        <f t="shared" si="3"/>
        <v>1460.5445316105213</v>
      </c>
      <c r="N72" s="22">
        <v>292.10890632210419</v>
      </c>
      <c r="O72" s="22"/>
      <c r="P72" s="3"/>
    </row>
    <row r="73" spans="1:20" ht="15" hidden="1" customHeight="1" x14ac:dyDescent="0.2">
      <c r="A73" s="2" t="s">
        <v>454</v>
      </c>
      <c r="B73" s="2" t="s">
        <v>149</v>
      </c>
      <c r="C73" s="2" t="s">
        <v>113</v>
      </c>
      <c r="D73" s="2" t="s">
        <v>294</v>
      </c>
      <c r="E73" s="2" t="s">
        <v>258</v>
      </c>
      <c r="F73" s="2" t="s">
        <v>5</v>
      </c>
      <c r="G73" s="2">
        <v>3</v>
      </c>
      <c r="H73" s="2">
        <v>3</v>
      </c>
      <c r="I73" s="2">
        <v>0</v>
      </c>
      <c r="J73" s="2">
        <v>0</v>
      </c>
      <c r="K73" s="2">
        <v>0</v>
      </c>
      <c r="L73" s="22">
        <v>826.99584679280099</v>
      </c>
      <c r="M73" s="22">
        <f t="shared" si="3"/>
        <v>2480.9875403784031</v>
      </c>
      <c r="N73" s="22">
        <v>496.19750807568062</v>
      </c>
      <c r="O73" s="22"/>
      <c r="P73" s="3"/>
    </row>
    <row r="74" spans="1:20" ht="15" hidden="1" customHeight="1" x14ac:dyDescent="0.2">
      <c r="A74" s="2" t="s">
        <v>455</v>
      </c>
      <c r="B74" s="2" t="s">
        <v>149</v>
      </c>
      <c r="C74" s="2" t="s">
        <v>113</v>
      </c>
      <c r="D74" s="2" t="s">
        <v>324</v>
      </c>
      <c r="E74" s="2" t="s">
        <v>325</v>
      </c>
      <c r="F74" s="2" t="s">
        <v>5</v>
      </c>
      <c r="G74" s="2">
        <v>5</v>
      </c>
      <c r="H74" s="2">
        <v>5</v>
      </c>
      <c r="I74" s="2">
        <v>0</v>
      </c>
      <c r="J74" s="2">
        <v>0</v>
      </c>
      <c r="K74" s="2">
        <v>0</v>
      </c>
      <c r="L74" s="22">
        <v>826.99584679280099</v>
      </c>
      <c r="M74" s="22">
        <f t="shared" si="3"/>
        <v>4134.9792339640053</v>
      </c>
      <c r="N74" s="22">
        <v>826.9958467928011</v>
      </c>
      <c r="O74" s="22"/>
      <c r="P74" s="3"/>
    </row>
    <row r="75" spans="1:20" ht="15" hidden="1" customHeight="1" x14ac:dyDescent="0.2">
      <c r="A75" s="2" t="s">
        <v>456</v>
      </c>
      <c r="B75" s="2" t="s">
        <v>152</v>
      </c>
      <c r="C75" s="2" t="s">
        <v>113</v>
      </c>
      <c r="D75" s="2" t="s">
        <v>235</v>
      </c>
      <c r="E75" s="2" t="s">
        <v>235</v>
      </c>
      <c r="F75" s="2" t="s">
        <v>5</v>
      </c>
      <c r="G75" s="2">
        <v>1</v>
      </c>
      <c r="H75" s="2">
        <v>1</v>
      </c>
      <c r="I75" s="2">
        <v>0</v>
      </c>
      <c r="J75" s="2">
        <v>0</v>
      </c>
      <c r="K75" s="2">
        <v>0</v>
      </c>
      <c r="L75" s="22">
        <v>868.57406552838017</v>
      </c>
      <c r="M75" s="22">
        <f t="shared" si="3"/>
        <v>868.57406552838017</v>
      </c>
      <c r="N75" s="22">
        <v>178</v>
      </c>
      <c r="O75" s="22"/>
      <c r="P75" s="3">
        <v>891</v>
      </c>
      <c r="Q75" s="23">
        <v>45877</v>
      </c>
      <c r="R75" s="32">
        <f t="shared" ref="R75:R82" si="4">P75-M75</f>
        <v>22.425934471619826</v>
      </c>
      <c r="S75" s="24">
        <v>45931</v>
      </c>
    </row>
    <row r="76" spans="1:20" ht="15" hidden="1" customHeight="1" x14ac:dyDescent="0.2">
      <c r="A76" s="2" t="s">
        <v>456</v>
      </c>
      <c r="B76" s="2" t="s">
        <v>152</v>
      </c>
      <c r="C76" s="2" t="s">
        <v>113</v>
      </c>
      <c r="D76" s="28">
        <v>45802</v>
      </c>
      <c r="E76" s="28">
        <v>45808</v>
      </c>
      <c r="F76" s="2" t="s">
        <v>5</v>
      </c>
      <c r="G76" s="2">
        <v>7</v>
      </c>
      <c r="H76" s="2">
        <v>5</v>
      </c>
      <c r="I76" s="2">
        <v>2</v>
      </c>
      <c r="J76" s="2">
        <v>0</v>
      </c>
      <c r="K76" s="2">
        <v>0</v>
      </c>
      <c r="L76" s="22">
        <v>868.57406552838017</v>
      </c>
      <c r="M76" s="22">
        <f t="shared" si="3"/>
        <v>4342.870327641901</v>
      </c>
      <c r="N76" s="22">
        <v>1247</v>
      </c>
      <c r="O76" s="22"/>
      <c r="P76" s="35">
        <v>6234</v>
      </c>
      <c r="Q76" s="23">
        <v>45877</v>
      </c>
      <c r="R76" s="32">
        <f t="shared" si="4"/>
        <v>1891.129672358099</v>
      </c>
      <c r="S76" s="24">
        <v>45931</v>
      </c>
    </row>
    <row r="77" spans="1:20" ht="15" hidden="1" customHeight="1" x14ac:dyDescent="0.2">
      <c r="A77" s="2" t="s">
        <v>456</v>
      </c>
      <c r="B77" s="2" t="s">
        <v>152</v>
      </c>
      <c r="C77" s="2" t="s">
        <v>113</v>
      </c>
      <c r="D77" s="28">
        <v>45809</v>
      </c>
      <c r="E77" s="28">
        <v>45838</v>
      </c>
      <c r="F77" s="25" t="s">
        <v>6</v>
      </c>
      <c r="G77" s="2">
        <v>30</v>
      </c>
      <c r="H77" s="2">
        <v>22</v>
      </c>
      <c r="I77" s="2">
        <v>4</v>
      </c>
      <c r="J77" s="2">
        <v>4</v>
      </c>
      <c r="K77" s="2">
        <v>0</v>
      </c>
      <c r="L77" s="22">
        <v>868.57406552838017</v>
      </c>
      <c r="M77" s="22">
        <f>'1️⃣ רשימת עובדים'!F13</f>
        <v>18822</v>
      </c>
      <c r="N77" s="22">
        <v>5333</v>
      </c>
      <c r="O77" s="22"/>
      <c r="P77" s="35">
        <v>26717</v>
      </c>
      <c r="Q77" s="23">
        <v>45877</v>
      </c>
      <c r="R77" s="32">
        <f t="shared" si="4"/>
        <v>7895</v>
      </c>
      <c r="S77" s="24">
        <v>45931</v>
      </c>
    </row>
    <row r="78" spans="1:20" ht="15" hidden="1" customHeight="1" x14ac:dyDescent="0.2">
      <c r="A78" s="2" t="s">
        <v>456</v>
      </c>
      <c r="B78" s="2" t="s">
        <v>152</v>
      </c>
      <c r="C78" s="2" t="s">
        <v>113</v>
      </c>
      <c r="D78" s="28">
        <v>45839</v>
      </c>
      <c r="E78" s="28">
        <v>45869</v>
      </c>
      <c r="F78" s="25" t="s">
        <v>7</v>
      </c>
      <c r="G78" s="2">
        <v>31</v>
      </c>
      <c r="H78" s="2">
        <v>23</v>
      </c>
      <c r="I78" s="2">
        <v>4</v>
      </c>
      <c r="J78" s="2">
        <v>4</v>
      </c>
      <c r="K78" s="2">
        <v>0</v>
      </c>
      <c r="L78" s="22">
        <v>868.57406552838017</v>
      </c>
      <c r="M78" s="22">
        <f>'1️⃣ רשימת עובדים'!F5</f>
        <v>18828</v>
      </c>
      <c r="N78" s="22">
        <v>5448</v>
      </c>
      <c r="O78" s="22"/>
      <c r="P78" s="35">
        <v>27607</v>
      </c>
      <c r="Q78" s="23">
        <v>45877</v>
      </c>
      <c r="R78" s="32">
        <f t="shared" si="4"/>
        <v>8779</v>
      </c>
      <c r="S78" s="24">
        <v>45931</v>
      </c>
    </row>
    <row r="79" spans="1:20" ht="15" customHeight="1" x14ac:dyDescent="0.2">
      <c r="A79" s="2" t="s">
        <v>457</v>
      </c>
      <c r="B79" s="2" t="s">
        <v>155</v>
      </c>
      <c r="C79" s="2" t="s">
        <v>113</v>
      </c>
      <c r="D79" s="2" t="s">
        <v>251</v>
      </c>
      <c r="E79" s="2" t="s">
        <v>251</v>
      </c>
      <c r="F79" s="2" t="s">
        <v>3</v>
      </c>
      <c r="G79" s="2">
        <v>1</v>
      </c>
      <c r="H79" s="2">
        <v>1</v>
      </c>
      <c r="I79" s="2">
        <v>0</v>
      </c>
      <c r="J79" s="2">
        <v>0</v>
      </c>
      <c r="K79" s="2">
        <v>0</v>
      </c>
      <c r="L79" s="22">
        <v>929.85694508537142</v>
      </c>
      <c r="M79" s="22">
        <f t="shared" ref="M79:M110" si="5">L79*H79</f>
        <v>929.85694508537142</v>
      </c>
      <c r="N79" s="22">
        <v>162</v>
      </c>
      <c r="O79" s="22"/>
      <c r="P79" s="3">
        <v>1136</v>
      </c>
      <c r="Q79" s="23">
        <v>45877</v>
      </c>
      <c r="R79" s="32">
        <f t="shared" si="4"/>
        <v>206.14305491462858</v>
      </c>
      <c r="T79" t="s">
        <v>458</v>
      </c>
    </row>
    <row r="80" spans="1:20" ht="15" customHeight="1" x14ac:dyDescent="0.2">
      <c r="A80" s="2" t="s">
        <v>459</v>
      </c>
      <c r="B80" s="2" t="s">
        <v>155</v>
      </c>
      <c r="C80" s="2" t="s">
        <v>113</v>
      </c>
      <c r="D80" s="2" t="s">
        <v>252</v>
      </c>
      <c r="E80" s="2" t="s">
        <v>253</v>
      </c>
      <c r="F80" s="2" t="s">
        <v>3</v>
      </c>
      <c r="G80" s="2">
        <v>2</v>
      </c>
      <c r="H80" s="2">
        <v>2</v>
      </c>
      <c r="I80" s="2">
        <v>0</v>
      </c>
      <c r="J80" s="2">
        <v>0</v>
      </c>
      <c r="K80" s="2">
        <v>0</v>
      </c>
      <c r="L80" s="22">
        <v>929.85694508537142</v>
      </c>
      <c r="M80" s="22">
        <f t="shared" si="5"/>
        <v>1859.7138901707428</v>
      </c>
      <c r="N80" s="22">
        <v>325</v>
      </c>
      <c r="O80" s="22"/>
      <c r="P80" s="3">
        <v>2273</v>
      </c>
      <c r="Q80" s="23">
        <v>45877</v>
      </c>
      <c r="R80" s="32">
        <f t="shared" si="4"/>
        <v>413.28610982925716</v>
      </c>
      <c r="T80" t="s">
        <v>458</v>
      </c>
    </row>
    <row r="81" spans="1:20" ht="15" customHeight="1" x14ac:dyDescent="0.2">
      <c r="A81" s="2" t="s">
        <v>460</v>
      </c>
      <c r="B81" s="2" t="s">
        <v>155</v>
      </c>
      <c r="C81" s="2" t="s">
        <v>113</v>
      </c>
      <c r="D81" s="2" t="s">
        <v>254</v>
      </c>
      <c r="E81" s="2" t="s">
        <v>254</v>
      </c>
      <c r="F81" s="2" t="s">
        <v>3</v>
      </c>
      <c r="G81" s="2">
        <v>1</v>
      </c>
      <c r="H81" s="2">
        <v>1</v>
      </c>
      <c r="I81" s="2">
        <v>0</v>
      </c>
      <c r="J81" s="2">
        <v>0</v>
      </c>
      <c r="K81" s="2">
        <v>0</v>
      </c>
      <c r="L81" s="22">
        <v>929.85694508537142</v>
      </c>
      <c r="M81" s="22">
        <f t="shared" si="5"/>
        <v>929.85694508537142</v>
      </c>
      <c r="N81" s="22">
        <v>162</v>
      </c>
      <c r="O81" s="22"/>
      <c r="P81" s="3">
        <v>1136</v>
      </c>
      <c r="Q81" s="23">
        <v>45877</v>
      </c>
      <c r="R81" s="32">
        <f t="shared" si="4"/>
        <v>206.14305491462858</v>
      </c>
      <c r="T81" t="s">
        <v>458</v>
      </c>
    </row>
    <row r="82" spans="1:20" ht="15" customHeight="1" x14ac:dyDescent="0.2">
      <c r="A82" s="2" t="s">
        <v>461</v>
      </c>
      <c r="B82" s="2" t="s">
        <v>155</v>
      </c>
      <c r="C82" s="2" t="s">
        <v>113</v>
      </c>
      <c r="D82" s="2" t="s">
        <v>255</v>
      </c>
      <c r="E82" s="2" t="s">
        <v>255</v>
      </c>
      <c r="F82" s="2" t="s">
        <v>4</v>
      </c>
      <c r="G82" s="2">
        <v>1</v>
      </c>
      <c r="H82" s="2">
        <v>1</v>
      </c>
      <c r="I82" s="2">
        <v>0</v>
      </c>
      <c r="J82" s="2">
        <v>0</v>
      </c>
      <c r="K82" s="2">
        <v>0</v>
      </c>
      <c r="L82" s="22">
        <v>929.85694508537142</v>
      </c>
      <c r="M82" s="22">
        <f t="shared" si="5"/>
        <v>929.85694508537142</v>
      </c>
      <c r="N82" s="22">
        <v>163</v>
      </c>
      <c r="O82" s="22"/>
      <c r="P82" s="3">
        <v>1138</v>
      </c>
      <c r="Q82" s="23">
        <v>45877</v>
      </c>
      <c r="R82" s="32">
        <f t="shared" si="4"/>
        <v>208.14305491462858</v>
      </c>
      <c r="T82" t="s">
        <v>458</v>
      </c>
    </row>
    <row r="83" spans="1:20" ht="15" hidden="1" customHeight="1" x14ac:dyDescent="0.2">
      <c r="A83" s="2" t="s">
        <v>462</v>
      </c>
      <c r="B83" s="2" t="s">
        <v>160</v>
      </c>
      <c r="C83" s="2" t="s">
        <v>135</v>
      </c>
      <c r="D83" s="2" t="s">
        <v>296</v>
      </c>
      <c r="E83" s="2" t="s">
        <v>297</v>
      </c>
      <c r="F83" s="2" t="s">
        <v>5</v>
      </c>
      <c r="G83" s="2">
        <v>2</v>
      </c>
      <c r="H83" s="2">
        <v>2</v>
      </c>
      <c r="I83" s="2">
        <v>0</v>
      </c>
      <c r="J83" s="2">
        <v>0</v>
      </c>
      <c r="K83" s="2">
        <v>0</v>
      </c>
      <c r="L83" s="22">
        <v>914.85925242270412</v>
      </c>
      <c r="M83" s="22">
        <f t="shared" si="5"/>
        <v>1829.7185048454082</v>
      </c>
      <c r="N83" s="22"/>
      <c r="O83" s="22"/>
      <c r="P83" s="3"/>
    </row>
    <row r="84" spans="1:20" ht="15" hidden="1" customHeight="1" x14ac:dyDescent="0.2">
      <c r="A84" s="2" t="s">
        <v>463</v>
      </c>
      <c r="B84" s="2" t="s">
        <v>160</v>
      </c>
      <c r="C84" s="2" t="s">
        <v>135</v>
      </c>
      <c r="D84" s="2" t="s">
        <v>298</v>
      </c>
      <c r="E84" s="2" t="s">
        <v>298</v>
      </c>
      <c r="F84" s="2" t="s">
        <v>5</v>
      </c>
      <c r="G84" s="2">
        <v>1</v>
      </c>
      <c r="H84" s="2">
        <v>0</v>
      </c>
      <c r="I84" s="2">
        <v>0</v>
      </c>
      <c r="J84" s="2">
        <v>1</v>
      </c>
      <c r="K84" s="2">
        <v>0</v>
      </c>
      <c r="L84" s="22">
        <v>914.85925242270412</v>
      </c>
      <c r="M84" s="22">
        <f t="shared" si="5"/>
        <v>0</v>
      </c>
      <c r="N84" s="22"/>
      <c r="O84" s="22"/>
      <c r="P84" s="3"/>
    </row>
    <row r="85" spans="1:20" ht="15" hidden="1" customHeight="1" x14ac:dyDescent="0.2">
      <c r="A85" s="2" t="s">
        <v>464</v>
      </c>
      <c r="B85" s="2" t="s">
        <v>160</v>
      </c>
      <c r="C85" s="2" t="s">
        <v>135</v>
      </c>
      <c r="D85" s="2" t="s">
        <v>294</v>
      </c>
      <c r="E85" s="2" t="s">
        <v>294</v>
      </c>
      <c r="F85" s="2" t="s">
        <v>5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2">
        <v>914.85925242270412</v>
      </c>
      <c r="M85" s="22">
        <f t="shared" si="5"/>
        <v>914.85925242270412</v>
      </c>
      <c r="N85" s="22"/>
      <c r="O85" s="22"/>
      <c r="P85" s="3"/>
    </row>
    <row r="86" spans="1:20" ht="15" hidden="1" customHeight="1" x14ac:dyDescent="0.2">
      <c r="A86" s="2" t="s">
        <v>465</v>
      </c>
      <c r="B86" s="2" t="s">
        <v>160</v>
      </c>
      <c r="C86" s="2" t="s">
        <v>135</v>
      </c>
      <c r="D86" s="2" t="s">
        <v>258</v>
      </c>
      <c r="E86" s="2" t="s">
        <v>258</v>
      </c>
      <c r="F86" s="2" t="s">
        <v>5</v>
      </c>
      <c r="G86" s="2">
        <v>1</v>
      </c>
      <c r="H86" s="2">
        <v>1</v>
      </c>
      <c r="I86" s="2">
        <v>0</v>
      </c>
      <c r="J86" s="2">
        <v>0</v>
      </c>
      <c r="K86" s="2">
        <v>0</v>
      </c>
      <c r="L86" s="22">
        <v>914.85925242270412</v>
      </c>
      <c r="M86" s="22">
        <f t="shared" si="5"/>
        <v>914.85925242270412</v>
      </c>
      <c r="N86" s="22"/>
      <c r="O86" s="22"/>
      <c r="P86" s="3"/>
    </row>
    <row r="87" spans="1:20" ht="15" hidden="1" customHeight="1" x14ac:dyDescent="0.2">
      <c r="A87" s="2" t="s">
        <v>466</v>
      </c>
      <c r="B87" s="2" t="s">
        <v>160</v>
      </c>
      <c r="C87" s="2" t="s">
        <v>135</v>
      </c>
      <c r="D87" s="2" t="s">
        <v>236</v>
      </c>
      <c r="E87" s="2" t="s">
        <v>236</v>
      </c>
      <c r="F87" s="2" t="s">
        <v>5</v>
      </c>
      <c r="G87" s="2">
        <v>1</v>
      </c>
      <c r="H87" s="2">
        <v>0</v>
      </c>
      <c r="I87" s="2">
        <v>0</v>
      </c>
      <c r="J87" s="2">
        <v>1</v>
      </c>
      <c r="K87" s="2">
        <v>0</v>
      </c>
      <c r="L87" s="22">
        <v>914.85925242270412</v>
      </c>
      <c r="M87" s="22">
        <f t="shared" si="5"/>
        <v>0</v>
      </c>
      <c r="N87" s="22"/>
      <c r="O87" s="22"/>
      <c r="P87" s="3"/>
    </row>
    <row r="88" spans="1:20" ht="15" hidden="1" customHeight="1" x14ac:dyDescent="0.2">
      <c r="A88" s="2" t="s">
        <v>467</v>
      </c>
      <c r="B88" s="2" t="s">
        <v>163</v>
      </c>
      <c r="C88" s="2" t="s">
        <v>113</v>
      </c>
      <c r="D88" s="2" t="s">
        <v>309</v>
      </c>
      <c r="E88" s="2" t="s">
        <v>258</v>
      </c>
      <c r="F88" s="2" t="s">
        <v>5</v>
      </c>
      <c r="G88" s="2">
        <v>2</v>
      </c>
      <c r="H88" s="2">
        <v>2</v>
      </c>
      <c r="I88" s="2">
        <v>0</v>
      </c>
      <c r="J88" s="2">
        <v>0</v>
      </c>
      <c r="K88" s="2">
        <v>0</v>
      </c>
      <c r="L88" s="22">
        <v>812.22888786340559</v>
      </c>
      <c r="M88" s="22">
        <f t="shared" si="5"/>
        <v>1624.4577757268112</v>
      </c>
      <c r="N88" s="22">
        <v>324.89155514536219</v>
      </c>
      <c r="O88" s="22"/>
      <c r="P88" s="3"/>
    </row>
    <row r="89" spans="1:20" ht="15" hidden="1" customHeight="1" x14ac:dyDescent="0.2">
      <c r="A89" s="2" t="s">
        <v>468</v>
      </c>
      <c r="B89" s="2" t="s">
        <v>163</v>
      </c>
      <c r="C89" s="2" t="s">
        <v>113</v>
      </c>
      <c r="D89" s="2" t="s">
        <v>236</v>
      </c>
      <c r="E89" s="2" t="s">
        <v>331</v>
      </c>
      <c r="F89" s="2" t="s">
        <v>5</v>
      </c>
      <c r="G89" s="2">
        <v>5</v>
      </c>
      <c r="H89" s="2">
        <v>4</v>
      </c>
      <c r="I89" s="2">
        <v>0</v>
      </c>
      <c r="J89" s="2">
        <v>1</v>
      </c>
      <c r="K89" s="2">
        <v>0</v>
      </c>
      <c r="L89" s="22">
        <v>812.22888786340559</v>
      </c>
      <c r="M89" s="22">
        <f t="shared" si="5"/>
        <v>3248.9155514536224</v>
      </c>
      <c r="N89" s="22">
        <v>649.78311029072449</v>
      </c>
      <c r="O89" s="22"/>
      <c r="P89" s="3"/>
    </row>
    <row r="90" spans="1:20" ht="15" hidden="1" customHeight="1" x14ac:dyDescent="0.2">
      <c r="A90" s="2" t="s">
        <v>469</v>
      </c>
      <c r="B90" s="2" t="s">
        <v>165</v>
      </c>
      <c r="C90" s="2" t="s">
        <v>118</v>
      </c>
      <c r="D90" s="2" t="s">
        <v>259</v>
      </c>
      <c r="E90" s="2" t="s">
        <v>247</v>
      </c>
      <c r="F90" s="2" t="s">
        <v>5</v>
      </c>
      <c r="G90" s="2">
        <v>2</v>
      </c>
      <c r="H90" s="2">
        <v>2</v>
      </c>
      <c r="I90" s="2">
        <v>0</v>
      </c>
      <c r="J90" s="2">
        <v>0</v>
      </c>
      <c r="K90" s="2">
        <v>0</v>
      </c>
      <c r="L90" s="22">
        <v>815.41301338255641</v>
      </c>
      <c r="M90" s="22">
        <f t="shared" si="5"/>
        <v>1630.8260267651128</v>
      </c>
      <c r="N90" s="22">
        <v>326.1652053530226</v>
      </c>
      <c r="O90" s="22"/>
      <c r="P90" s="3"/>
    </row>
    <row r="91" spans="1:20" ht="15" hidden="1" customHeight="1" x14ac:dyDescent="0.2">
      <c r="A91" s="2" t="s">
        <v>470</v>
      </c>
      <c r="B91" s="2" t="s">
        <v>121</v>
      </c>
      <c r="C91" s="2" t="s">
        <v>113</v>
      </c>
      <c r="D91" s="2" t="s">
        <v>250</v>
      </c>
      <c r="E91" s="2" t="s">
        <v>266</v>
      </c>
      <c r="F91" s="2" t="s">
        <v>6</v>
      </c>
      <c r="G91" s="2">
        <v>15</v>
      </c>
      <c r="H91" s="2">
        <v>11</v>
      </c>
      <c r="I91" s="2">
        <v>2</v>
      </c>
      <c r="J91" s="2">
        <v>2</v>
      </c>
      <c r="K91" s="2">
        <v>0</v>
      </c>
      <c r="L91" s="22">
        <v>946.00830641439768</v>
      </c>
      <c r="M91" s="22">
        <f t="shared" si="5"/>
        <v>10406.091370558375</v>
      </c>
      <c r="N91" s="22">
        <v>2081.2182741116749</v>
      </c>
      <c r="O91" s="22"/>
      <c r="P91" s="3"/>
    </row>
    <row r="92" spans="1:20" ht="15" hidden="1" customHeight="1" x14ac:dyDescent="0.2">
      <c r="A92" s="2" t="s">
        <v>471</v>
      </c>
      <c r="B92" s="2" t="s">
        <v>128</v>
      </c>
      <c r="C92" s="2" t="s">
        <v>118</v>
      </c>
      <c r="D92" s="2" t="s">
        <v>300</v>
      </c>
      <c r="E92" s="2" t="s">
        <v>239</v>
      </c>
      <c r="F92" s="2" t="s">
        <v>6</v>
      </c>
      <c r="G92" s="2">
        <v>28</v>
      </c>
      <c r="H92" s="2">
        <v>20</v>
      </c>
      <c r="I92" s="2">
        <v>4</v>
      </c>
      <c r="J92" s="2">
        <v>4</v>
      </c>
      <c r="K92" s="2">
        <v>0</v>
      </c>
      <c r="L92" s="22">
        <v>670.60452238117205</v>
      </c>
      <c r="M92" s="22">
        <f t="shared" si="5"/>
        <v>13412.090447623441</v>
      </c>
      <c r="N92" s="22">
        <v>2682.4180895246882</v>
      </c>
      <c r="O92" s="22"/>
      <c r="P92" s="3"/>
    </row>
    <row r="93" spans="1:20" ht="15" hidden="1" customHeight="1" x14ac:dyDescent="0.2">
      <c r="A93" s="2" t="s">
        <v>472</v>
      </c>
      <c r="B93" s="2" t="s">
        <v>131</v>
      </c>
      <c r="C93" s="2" t="s">
        <v>118</v>
      </c>
      <c r="D93" s="2" t="s">
        <v>248</v>
      </c>
      <c r="E93" s="2" t="s">
        <v>248</v>
      </c>
      <c r="F93" s="2" t="s">
        <v>6</v>
      </c>
      <c r="G93" s="2">
        <v>1</v>
      </c>
      <c r="H93" s="2">
        <v>1</v>
      </c>
      <c r="I93" s="2">
        <v>0</v>
      </c>
      <c r="J93" s="2">
        <v>0</v>
      </c>
      <c r="K93" s="2">
        <v>0</v>
      </c>
      <c r="L93" s="22">
        <v>950.00461467466528</v>
      </c>
      <c r="M93" s="22">
        <f t="shared" si="5"/>
        <v>950.00461467466528</v>
      </c>
      <c r="N93" s="22">
        <v>190.0009229349331</v>
      </c>
      <c r="O93" s="22"/>
      <c r="P93" s="3"/>
    </row>
    <row r="94" spans="1:20" ht="15" hidden="1" customHeight="1" x14ac:dyDescent="0.2">
      <c r="A94" s="2" t="s">
        <v>473</v>
      </c>
      <c r="B94" s="2" t="s">
        <v>134</v>
      </c>
      <c r="C94" s="2" t="s">
        <v>135</v>
      </c>
      <c r="D94" s="2" t="s">
        <v>250</v>
      </c>
      <c r="E94" s="2" t="s">
        <v>302</v>
      </c>
      <c r="F94" s="2" t="s">
        <v>6</v>
      </c>
      <c r="G94" s="2">
        <v>18</v>
      </c>
      <c r="H94" s="2">
        <v>12</v>
      </c>
      <c r="I94" s="2">
        <v>3</v>
      </c>
      <c r="J94" s="2">
        <v>3</v>
      </c>
      <c r="K94" s="2">
        <v>0</v>
      </c>
      <c r="L94" s="22">
        <v>1282.464236271343</v>
      </c>
      <c r="M94" s="22">
        <f t="shared" si="5"/>
        <v>15389.570835256116</v>
      </c>
      <c r="N94" s="22">
        <v>3077.914167051224</v>
      </c>
      <c r="O94" s="22"/>
      <c r="P94" s="3"/>
    </row>
    <row r="95" spans="1:20" ht="15" customHeight="1" x14ac:dyDescent="0.2">
      <c r="A95" s="2" t="s">
        <v>474</v>
      </c>
      <c r="B95" s="2" t="s">
        <v>155</v>
      </c>
      <c r="C95" s="2" t="s">
        <v>113</v>
      </c>
      <c r="D95" s="2" t="s">
        <v>232</v>
      </c>
      <c r="E95" s="2" t="s">
        <v>232</v>
      </c>
      <c r="F95" s="2" t="s">
        <v>5</v>
      </c>
      <c r="G95" s="2">
        <v>1</v>
      </c>
      <c r="H95" s="2">
        <v>1</v>
      </c>
      <c r="I95" s="2">
        <v>0</v>
      </c>
      <c r="J95" s="2">
        <v>1</v>
      </c>
      <c r="K95" s="2">
        <v>0</v>
      </c>
      <c r="L95" s="22">
        <v>929.85694508537142</v>
      </c>
      <c r="M95" s="22">
        <f t="shared" si="5"/>
        <v>929.85694508537142</v>
      </c>
      <c r="N95" s="22">
        <v>161</v>
      </c>
      <c r="O95" s="22"/>
      <c r="P95" s="3">
        <v>511</v>
      </c>
      <c r="Q95" s="23">
        <v>45877</v>
      </c>
      <c r="R95" s="32">
        <f>P95-M95</f>
        <v>-418.85694508537142</v>
      </c>
      <c r="T95" t="s">
        <v>458</v>
      </c>
    </row>
    <row r="96" spans="1:20" ht="15" customHeight="1" x14ac:dyDescent="0.2">
      <c r="A96" s="2" t="s">
        <v>475</v>
      </c>
      <c r="B96" s="2" t="s">
        <v>155</v>
      </c>
      <c r="C96" s="2" t="s">
        <v>113</v>
      </c>
      <c r="D96" s="2" t="s">
        <v>234</v>
      </c>
      <c r="E96" s="2" t="s">
        <v>256</v>
      </c>
      <c r="F96" s="2" t="s">
        <v>5</v>
      </c>
      <c r="G96" s="2">
        <v>4</v>
      </c>
      <c r="H96" s="2">
        <v>4</v>
      </c>
      <c r="I96" s="2">
        <v>0</v>
      </c>
      <c r="J96" s="2">
        <v>0</v>
      </c>
      <c r="K96" s="2">
        <v>0</v>
      </c>
      <c r="L96" s="22">
        <v>929.85694508537142</v>
      </c>
      <c r="M96" s="22">
        <f t="shared" si="5"/>
        <v>3719.4277803414857</v>
      </c>
      <c r="N96" s="22">
        <v>644</v>
      </c>
      <c r="O96" s="22"/>
      <c r="P96" s="3">
        <v>2042</v>
      </c>
      <c r="Q96" s="23">
        <v>45877</v>
      </c>
      <c r="R96" s="32">
        <f>P96-M96</f>
        <v>-1677.4277803414857</v>
      </c>
      <c r="T96" t="s">
        <v>458</v>
      </c>
    </row>
    <row r="97" spans="1:20" ht="15" hidden="1" customHeight="1" x14ac:dyDescent="0.2">
      <c r="A97" s="2" t="s">
        <v>476</v>
      </c>
      <c r="B97" s="2" t="s">
        <v>145</v>
      </c>
      <c r="C97" s="2" t="s">
        <v>135</v>
      </c>
      <c r="D97" s="2" t="s">
        <v>317</v>
      </c>
      <c r="E97" s="2" t="s">
        <v>318</v>
      </c>
      <c r="F97" s="2" t="s">
        <v>6</v>
      </c>
      <c r="G97" s="2">
        <v>8</v>
      </c>
      <c r="H97" s="2">
        <v>6</v>
      </c>
      <c r="I97" s="2">
        <v>1</v>
      </c>
      <c r="J97" s="2">
        <v>1</v>
      </c>
      <c r="K97" s="2">
        <v>0</v>
      </c>
      <c r="L97" s="22">
        <v>730.27226580526064</v>
      </c>
      <c r="M97" s="22">
        <f t="shared" si="5"/>
        <v>4381.6335948315636</v>
      </c>
      <c r="N97" s="22">
        <v>876.3267189663128</v>
      </c>
      <c r="O97" s="22"/>
      <c r="P97" s="3"/>
    </row>
    <row r="98" spans="1:20" ht="15" hidden="1" customHeight="1" x14ac:dyDescent="0.2">
      <c r="A98" s="2" t="s">
        <v>477</v>
      </c>
      <c r="B98" s="2" t="s">
        <v>149</v>
      </c>
      <c r="C98" s="2" t="s">
        <v>113</v>
      </c>
      <c r="D98" s="2" t="s">
        <v>326</v>
      </c>
      <c r="E98" s="2" t="s">
        <v>327</v>
      </c>
      <c r="F98" s="2" t="s">
        <v>6</v>
      </c>
      <c r="G98" s="2">
        <v>5</v>
      </c>
      <c r="H98" s="2">
        <v>3</v>
      </c>
      <c r="I98" s="2">
        <v>1</v>
      </c>
      <c r="J98" s="2">
        <v>1</v>
      </c>
      <c r="K98" s="2">
        <v>0</v>
      </c>
      <c r="L98" s="22">
        <v>826.99584679280099</v>
      </c>
      <c r="M98" s="22">
        <f t="shared" si="5"/>
        <v>2480.9875403784031</v>
      </c>
      <c r="N98" s="22">
        <v>496.19750807568062</v>
      </c>
      <c r="O98" s="22"/>
      <c r="P98" s="3"/>
    </row>
    <row r="99" spans="1:20" ht="15" hidden="1" customHeight="1" x14ac:dyDescent="0.2">
      <c r="A99" s="2" t="s">
        <v>478</v>
      </c>
      <c r="B99" s="2" t="s">
        <v>157</v>
      </c>
      <c r="C99" s="2" t="s">
        <v>135</v>
      </c>
      <c r="D99" s="2" t="s">
        <v>306</v>
      </c>
      <c r="E99" s="2" t="s">
        <v>307</v>
      </c>
      <c r="F99" s="2" t="s">
        <v>6</v>
      </c>
      <c r="G99" s="2">
        <v>6</v>
      </c>
      <c r="H99" s="2">
        <v>4</v>
      </c>
      <c r="I99" s="2">
        <v>1</v>
      </c>
      <c r="J99" s="2">
        <v>1</v>
      </c>
      <c r="K99" s="2">
        <v>0</v>
      </c>
      <c r="L99" s="22">
        <v>914.90539916935847</v>
      </c>
      <c r="M99" s="22">
        <f t="shared" si="5"/>
        <v>3659.6215966774339</v>
      </c>
      <c r="N99" s="22">
        <v>731.92431933548687</v>
      </c>
      <c r="O99" s="22"/>
      <c r="P99" s="3"/>
    </row>
    <row r="100" spans="1:20" ht="15" hidden="1" customHeight="1" x14ac:dyDescent="0.2">
      <c r="A100" s="2" t="s">
        <v>479</v>
      </c>
      <c r="B100" s="2" t="s">
        <v>160</v>
      </c>
      <c r="C100" s="2" t="s">
        <v>135</v>
      </c>
      <c r="D100" s="2" t="s">
        <v>300</v>
      </c>
      <c r="E100" s="2" t="s">
        <v>299</v>
      </c>
      <c r="F100" s="2" t="s">
        <v>6</v>
      </c>
      <c r="G100" s="2">
        <v>2</v>
      </c>
      <c r="H100" s="2">
        <v>2</v>
      </c>
      <c r="I100" s="2">
        <v>0</v>
      </c>
      <c r="J100" s="2">
        <v>0</v>
      </c>
      <c r="K100" s="2">
        <v>0</v>
      </c>
      <c r="L100" s="22">
        <v>914.85925242270412</v>
      </c>
      <c r="M100" s="22">
        <f t="shared" si="5"/>
        <v>1829.7185048454082</v>
      </c>
      <c r="N100" s="22"/>
      <c r="O100" s="22"/>
      <c r="P100" s="3"/>
    </row>
    <row r="101" spans="1:20" ht="15" hidden="1" customHeight="1" x14ac:dyDescent="0.2">
      <c r="A101" s="2" t="s">
        <v>480</v>
      </c>
      <c r="B101" s="2" t="s">
        <v>160</v>
      </c>
      <c r="C101" s="2" t="s">
        <v>135</v>
      </c>
      <c r="D101" s="2" t="s">
        <v>301</v>
      </c>
      <c r="E101" s="2" t="s">
        <v>301</v>
      </c>
      <c r="F101" s="2" t="s">
        <v>6</v>
      </c>
      <c r="G101" s="2">
        <v>1</v>
      </c>
      <c r="H101" s="2">
        <v>0</v>
      </c>
      <c r="I101" s="2">
        <v>0</v>
      </c>
      <c r="J101" s="2">
        <v>1</v>
      </c>
      <c r="K101" s="2">
        <v>0</v>
      </c>
      <c r="L101" s="22">
        <v>914.85925242270412</v>
      </c>
      <c r="M101" s="22">
        <f t="shared" si="5"/>
        <v>0</v>
      </c>
      <c r="N101" s="22"/>
      <c r="O101" s="22"/>
      <c r="P101" s="3"/>
    </row>
    <row r="102" spans="1:20" ht="15" hidden="1" customHeight="1" x14ac:dyDescent="0.2">
      <c r="A102" s="2" t="s">
        <v>481</v>
      </c>
      <c r="B102" s="2" t="s">
        <v>160</v>
      </c>
      <c r="C102" s="2" t="s">
        <v>135</v>
      </c>
      <c r="D102" s="2" t="s">
        <v>249</v>
      </c>
      <c r="E102" s="2" t="s">
        <v>302</v>
      </c>
      <c r="F102" s="2" t="s">
        <v>6</v>
      </c>
      <c r="G102" s="2">
        <v>19</v>
      </c>
      <c r="H102" s="2">
        <v>13</v>
      </c>
      <c r="I102" s="2">
        <v>3</v>
      </c>
      <c r="J102" s="2">
        <v>3</v>
      </c>
      <c r="K102" s="2">
        <v>0</v>
      </c>
      <c r="L102" s="22">
        <v>914.85925242270412</v>
      </c>
      <c r="M102" s="22">
        <f t="shared" si="5"/>
        <v>11893.170281495153</v>
      </c>
      <c r="N102" s="22"/>
      <c r="O102" s="22"/>
      <c r="P102" s="3"/>
    </row>
    <row r="103" spans="1:20" ht="15" hidden="1" customHeight="1" x14ac:dyDescent="0.2">
      <c r="A103" s="2" t="s">
        <v>482</v>
      </c>
      <c r="B103" s="2" t="s">
        <v>163</v>
      </c>
      <c r="C103" s="2" t="s">
        <v>113</v>
      </c>
      <c r="D103" s="2" t="s">
        <v>312</v>
      </c>
      <c r="E103" s="2" t="s">
        <v>250</v>
      </c>
      <c r="F103" s="2" t="s">
        <v>6</v>
      </c>
      <c r="G103" s="2">
        <v>3</v>
      </c>
      <c r="H103" s="2">
        <v>3</v>
      </c>
      <c r="I103" s="2">
        <v>0</v>
      </c>
      <c r="J103" s="2">
        <v>0</v>
      </c>
      <c r="K103" s="2">
        <v>0</v>
      </c>
      <c r="L103" s="22">
        <v>812.22888786340559</v>
      </c>
      <c r="M103" s="22">
        <f t="shared" si="5"/>
        <v>2436.686663590217</v>
      </c>
      <c r="N103" s="22">
        <v>487.3373327180434</v>
      </c>
      <c r="O103" s="22"/>
      <c r="P103" s="3"/>
    </row>
    <row r="104" spans="1:20" ht="15" hidden="1" customHeight="1" x14ac:dyDescent="0.2">
      <c r="A104" s="2" t="s">
        <v>483</v>
      </c>
      <c r="B104" s="2" t="s">
        <v>163</v>
      </c>
      <c r="C104" s="2" t="s">
        <v>113</v>
      </c>
      <c r="D104" s="2" t="s">
        <v>329</v>
      </c>
      <c r="E104" s="2" t="s">
        <v>329</v>
      </c>
      <c r="F104" s="2" t="s">
        <v>6</v>
      </c>
      <c r="G104" s="2">
        <v>1</v>
      </c>
      <c r="H104" s="2">
        <v>0</v>
      </c>
      <c r="I104" s="2">
        <v>0</v>
      </c>
      <c r="J104" s="2">
        <v>1</v>
      </c>
      <c r="K104" s="2">
        <v>0</v>
      </c>
      <c r="L104" s="22">
        <v>812.22888786340559</v>
      </c>
      <c r="M104" s="22">
        <f t="shared" si="5"/>
        <v>0</v>
      </c>
      <c r="N104" s="22">
        <v>0</v>
      </c>
      <c r="O104" s="22"/>
      <c r="P104" s="3"/>
    </row>
    <row r="105" spans="1:20" ht="15" hidden="1" customHeight="1" x14ac:dyDescent="0.2">
      <c r="A105" s="2" t="s">
        <v>484</v>
      </c>
      <c r="B105" s="2" t="s">
        <v>165</v>
      </c>
      <c r="C105" s="2" t="s">
        <v>118</v>
      </c>
      <c r="D105" s="2" t="s">
        <v>300</v>
      </c>
      <c r="E105" s="2" t="s">
        <v>299</v>
      </c>
      <c r="F105" s="2" t="s">
        <v>6</v>
      </c>
      <c r="G105" s="2">
        <v>2</v>
      </c>
      <c r="H105" s="2">
        <v>2</v>
      </c>
      <c r="I105" s="2">
        <v>0</v>
      </c>
      <c r="J105" s="2">
        <v>0</v>
      </c>
      <c r="K105" s="2">
        <v>0</v>
      </c>
      <c r="L105" s="22">
        <v>815.41301338255641</v>
      </c>
      <c r="M105" s="22">
        <f t="shared" si="5"/>
        <v>1630.8260267651128</v>
      </c>
      <c r="N105" s="22">
        <v>326.1652053530226</v>
      </c>
      <c r="O105" s="22"/>
      <c r="P105" s="3"/>
    </row>
    <row r="106" spans="1:20" ht="15" hidden="1" customHeight="1" x14ac:dyDescent="0.2">
      <c r="A106" s="2" t="s">
        <v>485</v>
      </c>
      <c r="B106" s="2" t="s">
        <v>165</v>
      </c>
      <c r="C106" s="2" t="s">
        <v>118</v>
      </c>
      <c r="D106" s="2" t="s">
        <v>311</v>
      </c>
      <c r="E106" s="2" t="s">
        <v>312</v>
      </c>
      <c r="F106" s="2" t="s">
        <v>6</v>
      </c>
      <c r="G106" s="2">
        <v>2</v>
      </c>
      <c r="H106" s="2">
        <v>2</v>
      </c>
      <c r="I106" s="2">
        <v>0</v>
      </c>
      <c r="J106" s="2">
        <v>0</v>
      </c>
      <c r="K106" s="2">
        <v>0</v>
      </c>
      <c r="L106" s="22">
        <v>815.41301338255641</v>
      </c>
      <c r="M106" s="22">
        <f t="shared" si="5"/>
        <v>1630.8260267651128</v>
      </c>
      <c r="N106" s="22">
        <v>326.1652053530226</v>
      </c>
      <c r="O106" s="22"/>
      <c r="P106" s="3"/>
    </row>
    <row r="107" spans="1:20" ht="15" hidden="1" customHeight="1" x14ac:dyDescent="0.2">
      <c r="A107" s="2" t="s">
        <v>486</v>
      </c>
      <c r="B107" s="2" t="s">
        <v>165</v>
      </c>
      <c r="C107" s="2" t="s">
        <v>118</v>
      </c>
      <c r="D107" s="2" t="s">
        <v>250</v>
      </c>
      <c r="E107" s="2" t="s">
        <v>313</v>
      </c>
      <c r="F107" s="2" t="s">
        <v>6</v>
      </c>
      <c r="G107" s="2">
        <v>17</v>
      </c>
      <c r="H107" s="2">
        <v>12</v>
      </c>
      <c r="I107" s="2">
        <v>3</v>
      </c>
      <c r="J107" s="2">
        <v>2</v>
      </c>
      <c r="K107" s="2">
        <v>0</v>
      </c>
      <c r="L107" s="22">
        <v>815.41301338255641</v>
      </c>
      <c r="M107" s="22">
        <f t="shared" si="5"/>
        <v>9784.9561605906765</v>
      </c>
      <c r="N107" s="22">
        <v>1956.991232118135</v>
      </c>
      <c r="O107" s="22"/>
      <c r="P107" s="3"/>
    </row>
    <row r="108" spans="1:20" ht="15" hidden="1" customHeight="1" x14ac:dyDescent="0.2">
      <c r="A108" s="2" t="s">
        <v>487</v>
      </c>
      <c r="B108" s="2" t="s">
        <v>121</v>
      </c>
      <c r="C108" s="2" t="s">
        <v>113</v>
      </c>
      <c r="D108" s="2" t="s">
        <v>310</v>
      </c>
      <c r="E108" s="2" t="s">
        <v>241</v>
      </c>
      <c r="F108" s="2" t="s">
        <v>7</v>
      </c>
      <c r="G108" s="2">
        <v>3</v>
      </c>
      <c r="H108" s="2">
        <v>3</v>
      </c>
      <c r="I108" s="2">
        <v>0</v>
      </c>
      <c r="J108" s="2">
        <v>0</v>
      </c>
      <c r="K108" s="2">
        <v>0</v>
      </c>
      <c r="L108" s="22">
        <v>946.00830641439768</v>
      </c>
      <c r="M108" s="22">
        <f t="shared" si="5"/>
        <v>2838.0249192431929</v>
      </c>
      <c r="N108" s="22">
        <v>567.60498384863865</v>
      </c>
      <c r="O108" s="22"/>
      <c r="P108" s="3"/>
    </row>
    <row r="109" spans="1:20" ht="15" hidden="1" customHeight="1" x14ac:dyDescent="0.2">
      <c r="A109" s="2" t="s">
        <v>488</v>
      </c>
      <c r="B109" s="2" t="s">
        <v>128</v>
      </c>
      <c r="C109" s="2" t="s">
        <v>118</v>
      </c>
      <c r="D109" s="2" t="s">
        <v>332</v>
      </c>
      <c r="E109" s="2" t="s">
        <v>332</v>
      </c>
      <c r="F109" s="2" t="s">
        <v>7</v>
      </c>
      <c r="G109" s="2">
        <v>1</v>
      </c>
      <c r="H109" s="2">
        <v>1</v>
      </c>
      <c r="I109" s="2">
        <v>0</v>
      </c>
      <c r="J109" s="2">
        <v>0</v>
      </c>
      <c r="K109" s="2">
        <v>0</v>
      </c>
      <c r="L109" s="22">
        <v>670.60452238117205</v>
      </c>
      <c r="M109" s="22">
        <f t="shared" si="5"/>
        <v>670.60452238117205</v>
      </c>
      <c r="N109" s="22">
        <v>134.12090447623439</v>
      </c>
      <c r="O109" s="22"/>
      <c r="P109" s="3"/>
    </row>
    <row r="110" spans="1:20" ht="15" hidden="1" customHeight="1" x14ac:dyDescent="0.2">
      <c r="A110" s="2" t="s">
        <v>489</v>
      </c>
      <c r="B110" s="2" t="s">
        <v>128</v>
      </c>
      <c r="C110" s="2" t="s">
        <v>118</v>
      </c>
      <c r="D110" s="2" t="s">
        <v>319</v>
      </c>
      <c r="E110" s="2" t="s">
        <v>291</v>
      </c>
      <c r="F110" s="2" t="s">
        <v>7</v>
      </c>
      <c r="G110" s="2">
        <v>2</v>
      </c>
      <c r="H110" s="2">
        <v>1</v>
      </c>
      <c r="I110" s="2">
        <v>0</v>
      </c>
      <c r="J110" s="2">
        <v>1</v>
      </c>
      <c r="K110" s="2">
        <v>0</v>
      </c>
      <c r="L110" s="22">
        <v>670.60452238117205</v>
      </c>
      <c r="M110" s="22">
        <f t="shared" si="5"/>
        <v>670.60452238117205</v>
      </c>
      <c r="N110" s="22">
        <v>134.12090447623439</v>
      </c>
      <c r="O110" s="22"/>
      <c r="P110" s="3"/>
    </row>
    <row r="111" spans="1:20" ht="15" customHeight="1" x14ac:dyDescent="0.2">
      <c r="A111" s="2" t="s">
        <v>490</v>
      </c>
      <c r="B111" s="2" t="s">
        <v>155</v>
      </c>
      <c r="C111" s="2" t="s">
        <v>113</v>
      </c>
      <c r="D111" s="2" t="s">
        <v>257</v>
      </c>
      <c r="E111" s="2" t="s">
        <v>258</v>
      </c>
      <c r="F111" s="2" t="s">
        <v>5</v>
      </c>
      <c r="G111" s="2">
        <v>4</v>
      </c>
      <c r="H111" s="2">
        <v>4</v>
      </c>
      <c r="I111" s="2">
        <v>0</v>
      </c>
      <c r="J111" s="2">
        <v>0</v>
      </c>
      <c r="K111" s="2">
        <v>0</v>
      </c>
      <c r="L111" s="22">
        <v>929.85694508537142</v>
      </c>
      <c r="M111" s="22">
        <f t="shared" ref="M111:M142" si="6">L111*H111</f>
        <v>3719.4277803414857</v>
      </c>
      <c r="N111" s="22">
        <v>644</v>
      </c>
      <c r="O111" s="22"/>
      <c r="P111" s="3">
        <v>2042</v>
      </c>
      <c r="Q111" s="23">
        <v>45877</v>
      </c>
      <c r="R111" s="32">
        <f>P111-M111</f>
        <v>-1677.4277803414857</v>
      </c>
      <c r="T111" t="s">
        <v>458</v>
      </c>
    </row>
    <row r="112" spans="1:20" ht="15" hidden="1" customHeight="1" x14ac:dyDescent="0.2">
      <c r="A112" s="2" t="s">
        <v>491</v>
      </c>
      <c r="B112" s="2" t="s">
        <v>142</v>
      </c>
      <c r="C112" s="2" t="s">
        <v>113</v>
      </c>
      <c r="D112" s="2" t="s">
        <v>333</v>
      </c>
      <c r="E112" s="2" t="s">
        <v>333</v>
      </c>
      <c r="F112" s="2" t="s">
        <v>7</v>
      </c>
      <c r="G112" s="2">
        <v>1</v>
      </c>
      <c r="H112" s="2">
        <v>1</v>
      </c>
      <c r="I112" s="2">
        <v>0</v>
      </c>
      <c r="J112" s="2">
        <v>0</v>
      </c>
      <c r="K112" s="2">
        <v>0</v>
      </c>
      <c r="L112" s="22">
        <v>834.19473927088131</v>
      </c>
      <c r="M112" s="22">
        <f t="shared" si="6"/>
        <v>834.19473927088131</v>
      </c>
      <c r="N112" s="22">
        <v>166.8389478541763</v>
      </c>
      <c r="O112" s="22"/>
      <c r="P112" s="3"/>
    </row>
    <row r="113" spans="1:20" ht="15" hidden="1" customHeight="1" x14ac:dyDescent="0.2">
      <c r="A113" s="2" t="s">
        <v>492</v>
      </c>
      <c r="B113" s="2" t="s">
        <v>142</v>
      </c>
      <c r="C113" s="2" t="s">
        <v>113</v>
      </c>
      <c r="D113" s="2" t="s">
        <v>304</v>
      </c>
      <c r="E113" s="2" t="s">
        <v>305</v>
      </c>
      <c r="F113" s="2" t="s">
        <v>7</v>
      </c>
      <c r="G113" s="2">
        <v>2</v>
      </c>
      <c r="H113" s="2">
        <v>2</v>
      </c>
      <c r="I113" s="2">
        <v>0</v>
      </c>
      <c r="J113" s="2">
        <v>0</v>
      </c>
      <c r="K113" s="2">
        <v>0</v>
      </c>
      <c r="L113" s="22">
        <v>834.19473927088131</v>
      </c>
      <c r="M113" s="22">
        <f t="shared" si="6"/>
        <v>1668.3894785417626</v>
      </c>
      <c r="N113" s="22">
        <v>333.67789570835248</v>
      </c>
      <c r="O113" s="22"/>
      <c r="P113" s="3"/>
    </row>
    <row r="114" spans="1:20" ht="15" hidden="1" customHeight="1" x14ac:dyDescent="0.2">
      <c r="A114" s="2" t="s">
        <v>493</v>
      </c>
      <c r="B114" s="2" t="s">
        <v>142</v>
      </c>
      <c r="C114" s="2" t="s">
        <v>113</v>
      </c>
      <c r="D114" s="2" t="s">
        <v>291</v>
      </c>
      <c r="E114" s="2" t="s">
        <v>334</v>
      </c>
      <c r="F114" s="2" t="s">
        <v>7</v>
      </c>
      <c r="G114" s="2">
        <v>3</v>
      </c>
      <c r="H114" s="2">
        <v>3</v>
      </c>
      <c r="I114" s="2">
        <v>0</v>
      </c>
      <c r="J114" s="2">
        <v>0</v>
      </c>
      <c r="K114" s="2">
        <v>0</v>
      </c>
      <c r="L114" s="22">
        <v>834.19473927088131</v>
      </c>
      <c r="M114" s="22">
        <f t="shared" si="6"/>
        <v>2502.5842178126441</v>
      </c>
      <c r="N114" s="22">
        <v>500.51684356252878</v>
      </c>
      <c r="O114" s="22"/>
      <c r="P114" s="3"/>
    </row>
    <row r="115" spans="1:20" ht="15" hidden="1" customHeight="1" x14ac:dyDescent="0.2">
      <c r="A115" s="2" t="s">
        <v>494</v>
      </c>
      <c r="B115" s="2" t="s">
        <v>145</v>
      </c>
      <c r="C115" s="2" t="s">
        <v>135</v>
      </c>
      <c r="D115" s="2" t="s">
        <v>319</v>
      </c>
      <c r="E115" s="2" t="s">
        <v>310</v>
      </c>
      <c r="F115" s="2" t="s">
        <v>7</v>
      </c>
      <c r="G115" s="2">
        <v>3</v>
      </c>
      <c r="H115" s="2">
        <v>2</v>
      </c>
      <c r="I115" s="2">
        <v>0</v>
      </c>
      <c r="J115" s="2">
        <v>1</v>
      </c>
      <c r="K115" s="2">
        <v>0</v>
      </c>
      <c r="L115" s="22">
        <v>730.27226580526064</v>
      </c>
      <c r="M115" s="22">
        <f t="shared" si="6"/>
        <v>1460.5445316105213</v>
      </c>
      <c r="N115" s="22">
        <v>292.10890632210419</v>
      </c>
      <c r="O115" s="22"/>
      <c r="P115" s="3"/>
    </row>
    <row r="116" spans="1:20" ht="15" hidden="1" customHeight="1" x14ac:dyDescent="0.2">
      <c r="A116" s="2" t="s">
        <v>495</v>
      </c>
      <c r="B116" s="2" t="s">
        <v>149</v>
      </c>
      <c r="C116" s="2" t="s">
        <v>113</v>
      </c>
      <c r="D116" s="2" t="s">
        <v>328</v>
      </c>
      <c r="E116" s="2" t="s">
        <v>328</v>
      </c>
      <c r="F116" s="2" t="s">
        <v>7</v>
      </c>
      <c r="G116" s="2">
        <v>1</v>
      </c>
      <c r="H116" s="2">
        <v>1</v>
      </c>
      <c r="I116" s="2">
        <v>0</v>
      </c>
      <c r="J116" s="2">
        <v>0</v>
      </c>
      <c r="K116" s="2">
        <v>0</v>
      </c>
      <c r="L116" s="22">
        <v>826.99584679280099</v>
      </c>
      <c r="M116" s="22">
        <f t="shared" si="6"/>
        <v>826.99584679280099</v>
      </c>
      <c r="N116" s="22">
        <v>165.39916935856019</v>
      </c>
      <c r="O116" s="22"/>
      <c r="P116" s="3"/>
    </row>
    <row r="117" spans="1:20" ht="15" customHeight="1" x14ac:dyDescent="0.2">
      <c r="A117" s="2" t="s">
        <v>496</v>
      </c>
      <c r="B117" s="2" t="s">
        <v>155</v>
      </c>
      <c r="C117" s="2" t="s">
        <v>113</v>
      </c>
      <c r="D117" s="2" t="s">
        <v>260</v>
      </c>
      <c r="E117" s="2" t="s">
        <v>260</v>
      </c>
      <c r="F117" s="2" t="s">
        <v>7</v>
      </c>
      <c r="G117" s="2">
        <v>1</v>
      </c>
      <c r="H117" s="2">
        <v>1</v>
      </c>
      <c r="I117" s="2">
        <v>0</v>
      </c>
      <c r="J117" s="2">
        <v>0</v>
      </c>
      <c r="K117" s="2">
        <v>0</v>
      </c>
      <c r="L117" s="22">
        <v>929.85694508537142</v>
      </c>
      <c r="M117" s="22">
        <f t="shared" si="6"/>
        <v>929.85694508537142</v>
      </c>
      <c r="N117" s="22">
        <v>161</v>
      </c>
      <c r="O117" s="22"/>
      <c r="P117" s="3">
        <v>511</v>
      </c>
      <c r="Q117" s="23">
        <v>45877</v>
      </c>
      <c r="R117" s="32">
        <f>P117-M117</f>
        <v>-418.85694508537142</v>
      </c>
      <c r="T117" t="s">
        <v>458</v>
      </c>
    </row>
    <row r="118" spans="1:20" ht="15" hidden="1" customHeight="1" x14ac:dyDescent="0.2">
      <c r="A118" s="2" t="s">
        <v>497</v>
      </c>
      <c r="B118" s="2" t="s">
        <v>160</v>
      </c>
      <c r="C118" s="2" t="s">
        <v>135</v>
      </c>
      <c r="D118" s="2" t="s">
        <v>260</v>
      </c>
      <c r="E118" s="2" t="s">
        <v>303</v>
      </c>
      <c r="F118" s="2" t="s">
        <v>7</v>
      </c>
      <c r="G118" s="2">
        <v>2</v>
      </c>
      <c r="H118" s="2">
        <v>2</v>
      </c>
      <c r="I118" s="2">
        <v>0</v>
      </c>
      <c r="J118" s="2">
        <v>0</v>
      </c>
      <c r="K118" s="2">
        <v>0</v>
      </c>
      <c r="L118" s="22">
        <v>914.85925242270412</v>
      </c>
      <c r="M118" s="22">
        <f t="shared" si="6"/>
        <v>1829.7185048454082</v>
      </c>
      <c r="N118" s="22"/>
      <c r="O118" s="22"/>
      <c r="P118" s="3"/>
    </row>
    <row r="119" spans="1:20" ht="15" hidden="1" customHeight="1" x14ac:dyDescent="0.2">
      <c r="A119" s="2" t="s">
        <v>498</v>
      </c>
      <c r="B119" s="2" t="s">
        <v>160</v>
      </c>
      <c r="C119" s="2" t="s">
        <v>135</v>
      </c>
      <c r="D119" s="2" t="s">
        <v>304</v>
      </c>
      <c r="E119" s="2" t="s">
        <v>305</v>
      </c>
      <c r="F119" s="2" t="s">
        <v>7</v>
      </c>
      <c r="G119" s="2">
        <v>2</v>
      </c>
      <c r="H119" s="2">
        <v>2</v>
      </c>
      <c r="I119" s="2">
        <v>0</v>
      </c>
      <c r="J119" s="2">
        <v>0</v>
      </c>
      <c r="K119" s="2">
        <v>0</v>
      </c>
      <c r="L119" s="22">
        <v>914.85925242270412</v>
      </c>
      <c r="M119" s="22">
        <f t="shared" si="6"/>
        <v>1829.7185048454082</v>
      </c>
      <c r="N119" s="22"/>
      <c r="O119" s="22"/>
      <c r="P119" s="3"/>
    </row>
    <row r="120" spans="1:20" ht="15" hidden="1" customHeight="1" x14ac:dyDescent="0.2">
      <c r="A120" s="2" t="s">
        <v>499</v>
      </c>
      <c r="B120" s="2" t="s">
        <v>160</v>
      </c>
      <c r="C120" s="2" t="s">
        <v>135</v>
      </c>
      <c r="D120" s="2" t="s">
        <v>291</v>
      </c>
      <c r="E120" s="2" t="s">
        <v>291</v>
      </c>
      <c r="F120" s="2" t="s">
        <v>7</v>
      </c>
      <c r="G120" s="2">
        <v>1</v>
      </c>
      <c r="H120" s="2">
        <v>1</v>
      </c>
      <c r="I120" s="2">
        <v>0</v>
      </c>
      <c r="J120" s="2">
        <v>0</v>
      </c>
      <c r="K120" s="2">
        <v>0</v>
      </c>
      <c r="L120" s="22">
        <v>914.85925242270412</v>
      </c>
      <c r="M120" s="22">
        <f t="shared" si="6"/>
        <v>914.85925242270412</v>
      </c>
      <c r="N120" s="22"/>
      <c r="O120" s="22"/>
      <c r="P120" s="3"/>
    </row>
    <row r="121" spans="1:20" ht="15" hidden="1" customHeight="1" x14ac:dyDescent="0.2">
      <c r="A121" s="2" t="s">
        <v>500</v>
      </c>
      <c r="B121" s="2" t="s">
        <v>125</v>
      </c>
      <c r="C121" s="2" t="s">
        <v>118</v>
      </c>
      <c r="D121" s="2" t="s">
        <v>342</v>
      </c>
      <c r="E121" s="2" t="s">
        <v>352</v>
      </c>
      <c r="F121" s="2" t="s">
        <v>8</v>
      </c>
      <c r="G121" s="2">
        <v>5</v>
      </c>
      <c r="H121" s="2">
        <v>4</v>
      </c>
      <c r="I121" s="2">
        <v>0</v>
      </c>
      <c r="J121" s="2">
        <v>1</v>
      </c>
      <c r="K121" s="2">
        <v>0</v>
      </c>
      <c r="L121" s="22">
        <v>868.85094600830632</v>
      </c>
      <c r="M121" s="22">
        <f t="shared" si="6"/>
        <v>3475.4037840332253</v>
      </c>
      <c r="N121" s="22">
        <v>695.08075680664513</v>
      </c>
      <c r="O121" s="22"/>
      <c r="P121" s="3"/>
    </row>
    <row r="122" spans="1:20" ht="15" hidden="1" customHeight="1" x14ac:dyDescent="0.2">
      <c r="A122" s="2" t="s">
        <v>501</v>
      </c>
      <c r="B122" s="2" t="s">
        <v>128</v>
      </c>
      <c r="C122" s="2" t="s">
        <v>118</v>
      </c>
      <c r="D122" s="2" t="s">
        <v>348</v>
      </c>
      <c r="E122" s="2" t="s">
        <v>502</v>
      </c>
      <c r="F122" s="2" t="s">
        <v>8</v>
      </c>
      <c r="G122" s="2">
        <v>2</v>
      </c>
      <c r="H122" s="2">
        <v>2</v>
      </c>
      <c r="I122" s="2">
        <v>0</v>
      </c>
      <c r="J122" s="2">
        <v>0</v>
      </c>
      <c r="K122" s="2">
        <v>0</v>
      </c>
      <c r="L122" s="22">
        <v>670.60452238117205</v>
      </c>
      <c r="M122" s="22">
        <f t="shared" si="6"/>
        <v>1341.2090447623441</v>
      </c>
      <c r="N122" s="22">
        <v>268.24180895246877</v>
      </c>
      <c r="O122" s="22"/>
      <c r="P122" s="3"/>
    </row>
    <row r="123" spans="1:20" ht="15" hidden="1" customHeight="1" x14ac:dyDescent="0.2">
      <c r="A123" s="2" t="s">
        <v>503</v>
      </c>
      <c r="B123" s="2" t="s">
        <v>142</v>
      </c>
      <c r="C123" s="2" t="s">
        <v>113</v>
      </c>
      <c r="D123" s="2" t="s">
        <v>340</v>
      </c>
      <c r="E123" s="2" t="s">
        <v>340</v>
      </c>
      <c r="F123" s="2" t="s">
        <v>8</v>
      </c>
      <c r="G123" s="2">
        <v>1</v>
      </c>
      <c r="H123" s="2">
        <v>1</v>
      </c>
      <c r="I123" s="2">
        <v>0</v>
      </c>
      <c r="J123" s="2">
        <v>0</v>
      </c>
      <c r="K123" s="2">
        <v>0</v>
      </c>
      <c r="L123" s="22">
        <v>834.19473927088131</v>
      </c>
      <c r="M123" s="22">
        <f t="shared" si="6"/>
        <v>834.19473927088131</v>
      </c>
      <c r="N123" s="22">
        <v>166.8389478541763</v>
      </c>
      <c r="O123" s="22"/>
      <c r="P123" s="3"/>
    </row>
    <row r="124" spans="1:20" ht="15" hidden="1" customHeight="1" x14ac:dyDescent="0.2">
      <c r="A124" s="2" t="s">
        <v>504</v>
      </c>
      <c r="B124" s="2" t="s">
        <v>142</v>
      </c>
      <c r="C124" s="2" t="s">
        <v>113</v>
      </c>
      <c r="D124" s="2" t="s">
        <v>502</v>
      </c>
      <c r="E124" s="2" t="s">
        <v>502</v>
      </c>
      <c r="F124" s="2" t="s">
        <v>8</v>
      </c>
      <c r="G124" s="2">
        <v>1</v>
      </c>
      <c r="H124" s="2">
        <v>1</v>
      </c>
      <c r="I124" s="2">
        <v>0</v>
      </c>
      <c r="J124" s="2">
        <v>0</v>
      </c>
      <c r="K124" s="2">
        <v>0</v>
      </c>
      <c r="L124" s="22">
        <v>834.19473927088131</v>
      </c>
      <c r="M124" s="22">
        <f t="shared" si="6"/>
        <v>834.19473927088131</v>
      </c>
      <c r="N124" s="22">
        <v>166.8389478541763</v>
      </c>
      <c r="O124" s="22"/>
      <c r="P124" s="3"/>
    </row>
    <row r="125" spans="1:20" ht="15" hidden="1" customHeight="1" x14ac:dyDescent="0.2">
      <c r="A125" s="2" t="s">
        <v>505</v>
      </c>
      <c r="B125" s="2" t="s">
        <v>142</v>
      </c>
      <c r="C125" s="2" t="s">
        <v>113</v>
      </c>
      <c r="D125" s="2" t="s">
        <v>506</v>
      </c>
      <c r="E125" s="2" t="s">
        <v>506</v>
      </c>
      <c r="F125" s="2" t="s">
        <v>8</v>
      </c>
      <c r="G125" s="2">
        <v>1</v>
      </c>
      <c r="H125" s="2">
        <v>1</v>
      </c>
      <c r="I125" s="2">
        <v>0</v>
      </c>
      <c r="J125" s="2">
        <v>0</v>
      </c>
      <c r="K125" s="2">
        <v>0</v>
      </c>
      <c r="L125" s="22">
        <v>834.19473927088131</v>
      </c>
      <c r="M125" s="22">
        <f t="shared" si="6"/>
        <v>834.19473927088131</v>
      </c>
      <c r="N125" s="22">
        <v>166.8389478541763</v>
      </c>
      <c r="O125" s="22"/>
      <c r="P125" s="3"/>
    </row>
    <row r="126" spans="1:20" ht="15" hidden="1" customHeight="1" x14ac:dyDescent="0.2">
      <c r="A126" s="2" t="s">
        <v>507</v>
      </c>
      <c r="B126" s="2" t="s">
        <v>145</v>
      </c>
      <c r="C126" s="2" t="s">
        <v>135</v>
      </c>
      <c r="D126" s="2" t="s">
        <v>342</v>
      </c>
      <c r="E126" s="2" t="s">
        <v>353</v>
      </c>
      <c r="F126" s="2" t="s">
        <v>8</v>
      </c>
      <c r="G126" s="2">
        <v>4</v>
      </c>
      <c r="H126" s="2">
        <v>3</v>
      </c>
      <c r="I126" s="2">
        <v>0</v>
      </c>
      <c r="J126" s="2">
        <v>1</v>
      </c>
      <c r="K126" s="2">
        <v>0</v>
      </c>
      <c r="L126" s="22">
        <v>730.27226580526064</v>
      </c>
      <c r="M126" s="22">
        <f t="shared" si="6"/>
        <v>2190.8167974157818</v>
      </c>
      <c r="N126" s="22">
        <v>438.1633594831564</v>
      </c>
      <c r="O126" s="22"/>
      <c r="P126" s="3"/>
    </row>
    <row r="127" spans="1:20" ht="15" hidden="1" customHeight="1" x14ac:dyDescent="0.2">
      <c r="A127" s="2" t="s">
        <v>508</v>
      </c>
      <c r="B127" s="2" t="s">
        <v>149</v>
      </c>
      <c r="C127" s="2" t="s">
        <v>113</v>
      </c>
      <c r="D127" s="2" t="s">
        <v>347</v>
      </c>
      <c r="E127" s="2" t="s">
        <v>502</v>
      </c>
      <c r="F127" s="2" t="s">
        <v>8</v>
      </c>
      <c r="G127" s="2">
        <v>3</v>
      </c>
      <c r="H127" s="2">
        <v>3</v>
      </c>
      <c r="I127" s="2">
        <v>0</v>
      </c>
      <c r="J127" s="2">
        <v>0</v>
      </c>
      <c r="K127" s="2">
        <v>0</v>
      </c>
      <c r="L127" s="22">
        <v>826.99584679280099</v>
      </c>
      <c r="M127" s="22">
        <f t="shared" si="6"/>
        <v>2480.9875403784031</v>
      </c>
      <c r="N127" s="22">
        <v>496.19750807568062</v>
      </c>
      <c r="O127" s="22"/>
      <c r="P127" s="3"/>
    </row>
    <row r="128" spans="1:20" ht="15" hidden="1" customHeight="1" x14ac:dyDescent="0.2">
      <c r="A128" s="2" t="s">
        <v>509</v>
      </c>
      <c r="B128" s="2" t="s">
        <v>149</v>
      </c>
      <c r="C128" s="2" t="s">
        <v>113</v>
      </c>
      <c r="D128" s="2" t="s">
        <v>343</v>
      </c>
      <c r="E128" s="2" t="s">
        <v>352</v>
      </c>
      <c r="F128" s="2" t="s">
        <v>8</v>
      </c>
      <c r="G128" s="2">
        <v>3</v>
      </c>
      <c r="H128" s="2">
        <v>3</v>
      </c>
      <c r="I128" s="2">
        <v>0</v>
      </c>
      <c r="J128" s="2">
        <v>0</v>
      </c>
      <c r="K128" s="2">
        <v>0</v>
      </c>
      <c r="L128" s="22">
        <v>826.99584679280099</v>
      </c>
      <c r="M128" s="22">
        <f t="shared" si="6"/>
        <v>2480.9875403784031</v>
      </c>
      <c r="N128" s="22">
        <v>496.19750807568062</v>
      </c>
      <c r="O128" s="22"/>
      <c r="P128" s="3"/>
    </row>
    <row r="129" spans="1:16" ht="15" customHeight="1" x14ac:dyDescent="0.2">
      <c r="A129" s="2" t="s">
        <v>510</v>
      </c>
      <c r="B129" s="2" t="s">
        <v>155</v>
      </c>
      <c r="C129" s="2" t="s">
        <v>113</v>
      </c>
      <c r="D129" s="2" t="s">
        <v>340</v>
      </c>
      <c r="E129" s="2" t="s">
        <v>340</v>
      </c>
      <c r="F129" s="2" t="s">
        <v>8</v>
      </c>
      <c r="G129" s="2">
        <v>1</v>
      </c>
      <c r="H129" s="2">
        <v>1</v>
      </c>
      <c r="I129" s="2">
        <v>0</v>
      </c>
      <c r="J129" s="2">
        <v>0</v>
      </c>
      <c r="K129" s="2">
        <v>0</v>
      </c>
      <c r="L129" s="22">
        <v>929.85694508537142</v>
      </c>
      <c r="M129" s="22">
        <f t="shared" si="6"/>
        <v>929.85694508537142</v>
      </c>
      <c r="N129" s="22"/>
      <c r="O129" s="22"/>
      <c r="P129" s="3"/>
    </row>
    <row r="130" spans="1:16" ht="15" customHeight="1" x14ac:dyDescent="0.2">
      <c r="A130" s="2" t="s">
        <v>511</v>
      </c>
      <c r="B130" s="2" t="s">
        <v>155</v>
      </c>
      <c r="C130" s="2" t="s">
        <v>113</v>
      </c>
      <c r="D130" s="2" t="s">
        <v>341</v>
      </c>
      <c r="E130" s="2" t="s">
        <v>341</v>
      </c>
      <c r="F130" s="2" t="s">
        <v>8</v>
      </c>
      <c r="G130" s="2">
        <v>1</v>
      </c>
      <c r="H130" s="2">
        <v>1</v>
      </c>
      <c r="I130" s="2">
        <v>0</v>
      </c>
      <c r="J130" s="2">
        <v>0</v>
      </c>
      <c r="K130" s="2">
        <v>0</v>
      </c>
      <c r="L130" s="22">
        <v>929.85694508537142</v>
      </c>
      <c r="M130" s="22">
        <f t="shared" si="6"/>
        <v>929.85694508537142</v>
      </c>
      <c r="N130" s="22"/>
      <c r="O130" s="22"/>
      <c r="P130" s="3"/>
    </row>
    <row r="131" spans="1:16" ht="15" customHeight="1" x14ac:dyDescent="0.2">
      <c r="A131" s="2" t="s">
        <v>512</v>
      </c>
      <c r="B131" s="2" t="s">
        <v>155</v>
      </c>
      <c r="C131" s="2" t="s">
        <v>113</v>
      </c>
      <c r="D131" s="2" t="s">
        <v>342</v>
      </c>
      <c r="E131" s="2" t="s">
        <v>343</v>
      </c>
      <c r="F131" s="2" t="s">
        <v>8</v>
      </c>
      <c r="G131" s="2">
        <v>3</v>
      </c>
      <c r="H131" s="2">
        <v>2</v>
      </c>
      <c r="I131" s="2">
        <v>0</v>
      </c>
      <c r="J131" s="2">
        <v>1</v>
      </c>
      <c r="K131" s="2">
        <v>0</v>
      </c>
      <c r="L131" s="22">
        <v>929.85694508537142</v>
      </c>
      <c r="M131" s="22">
        <f t="shared" si="6"/>
        <v>1859.7138901707428</v>
      </c>
      <c r="N131" s="22"/>
      <c r="O131" s="22"/>
      <c r="P131" s="3"/>
    </row>
    <row r="132" spans="1:16" ht="15" hidden="1" customHeight="1" x14ac:dyDescent="0.2">
      <c r="A132" s="2" t="s">
        <v>513</v>
      </c>
      <c r="B132" s="2" t="s">
        <v>160</v>
      </c>
      <c r="C132" s="2" t="s">
        <v>135</v>
      </c>
      <c r="D132" s="2" t="s">
        <v>347</v>
      </c>
      <c r="E132" s="2" t="s">
        <v>347</v>
      </c>
      <c r="F132" s="2" t="s">
        <v>8</v>
      </c>
      <c r="G132" s="2">
        <v>1</v>
      </c>
      <c r="H132" s="2">
        <v>1</v>
      </c>
      <c r="I132" s="2">
        <v>0</v>
      </c>
      <c r="J132" s="2">
        <v>0</v>
      </c>
      <c r="K132" s="2">
        <v>0</v>
      </c>
      <c r="L132" s="22">
        <v>914.85925242270412</v>
      </c>
      <c r="M132" s="22">
        <f t="shared" si="6"/>
        <v>914.85925242270412</v>
      </c>
      <c r="N132" s="22"/>
      <c r="O132" s="22"/>
      <c r="P132" s="3"/>
    </row>
    <row r="133" spans="1:16" ht="15" hidden="1" customHeight="1" x14ac:dyDescent="0.2">
      <c r="A133" s="2" t="s">
        <v>514</v>
      </c>
      <c r="B133" s="2" t="s">
        <v>160</v>
      </c>
      <c r="C133" s="2" t="s">
        <v>135</v>
      </c>
      <c r="D133" s="2" t="s">
        <v>349</v>
      </c>
      <c r="E133" s="2" t="s">
        <v>349</v>
      </c>
      <c r="F133" s="2" t="s">
        <v>8</v>
      </c>
      <c r="G133" s="2">
        <v>1</v>
      </c>
      <c r="H133" s="2">
        <v>1</v>
      </c>
      <c r="I133" s="2">
        <v>0</v>
      </c>
      <c r="J133" s="2">
        <v>0</v>
      </c>
      <c r="K133" s="2">
        <v>0</v>
      </c>
      <c r="L133" s="22">
        <v>914.85925242270412</v>
      </c>
      <c r="M133" s="22">
        <f t="shared" si="6"/>
        <v>914.85925242270412</v>
      </c>
      <c r="N133" s="22"/>
      <c r="O133" s="22"/>
      <c r="P133" s="3"/>
    </row>
    <row r="134" spans="1:16" ht="15" hidden="1" customHeight="1" x14ac:dyDescent="0.2">
      <c r="A134" s="2" t="s">
        <v>515</v>
      </c>
      <c r="B134" s="2" t="s">
        <v>163</v>
      </c>
      <c r="C134" s="2" t="s">
        <v>113</v>
      </c>
      <c r="D134" s="2" t="s">
        <v>348</v>
      </c>
      <c r="E134" s="2" t="s">
        <v>502</v>
      </c>
      <c r="F134" s="2" t="s">
        <v>8</v>
      </c>
      <c r="G134" s="2">
        <v>2</v>
      </c>
      <c r="H134" s="2">
        <v>2</v>
      </c>
      <c r="I134" s="2">
        <v>0</v>
      </c>
      <c r="J134" s="2">
        <v>0</v>
      </c>
      <c r="K134" s="2">
        <v>0</v>
      </c>
      <c r="L134" s="22">
        <v>812.22888786340559</v>
      </c>
      <c r="M134" s="22">
        <f t="shared" si="6"/>
        <v>1624.4577757268112</v>
      </c>
      <c r="N134" s="22">
        <v>324.89155514536219</v>
      </c>
      <c r="O134" s="22"/>
      <c r="P134" s="3"/>
    </row>
    <row r="135" spans="1:16" ht="15" hidden="1" customHeight="1" x14ac:dyDescent="0.2">
      <c r="A135" s="2" t="s">
        <v>516</v>
      </c>
      <c r="B135" s="2" t="s">
        <v>163</v>
      </c>
      <c r="C135" s="2" t="s">
        <v>113</v>
      </c>
      <c r="D135" s="2" t="s">
        <v>517</v>
      </c>
      <c r="E135" s="2" t="s">
        <v>506</v>
      </c>
      <c r="F135" s="2" t="s">
        <v>8</v>
      </c>
      <c r="G135" s="2">
        <v>2</v>
      </c>
      <c r="H135" s="2">
        <v>2</v>
      </c>
      <c r="I135" s="2">
        <v>0</v>
      </c>
      <c r="J135" s="2">
        <v>0</v>
      </c>
      <c r="K135" s="2">
        <v>0</v>
      </c>
      <c r="L135" s="22">
        <v>812.22888786340559</v>
      </c>
      <c r="M135" s="22">
        <f t="shared" si="6"/>
        <v>1624.4577757268112</v>
      </c>
      <c r="N135" s="22">
        <v>324.89155514536219</v>
      </c>
      <c r="O135" s="22"/>
      <c r="P135" s="3"/>
    </row>
    <row r="136" spans="1:16" ht="15" hidden="1" customHeight="1" x14ac:dyDescent="0.2">
      <c r="A136" s="2" t="s">
        <v>518</v>
      </c>
      <c r="B136" s="2" t="s">
        <v>117</v>
      </c>
      <c r="C136" s="2" t="s">
        <v>118</v>
      </c>
      <c r="D136" s="2" t="s">
        <v>337</v>
      </c>
      <c r="E136" s="2" t="s">
        <v>339</v>
      </c>
      <c r="F136" s="2" t="s">
        <v>9</v>
      </c>
      <c r="G136" s="2">
        <v>17</v>
      </c>
      <c r="H136" s="2">
        <v>13</v>
      </c>
      <c r="I136" s="2">
        <v>2</v>
      </c>
      <c r="J136" s="2">
        <v>2</v>
      </c>
      <c r="K136" s="2">
        <v>0</v>
      </c>
      <c r="L136" s="22">
        <v>1108.7217351176739</v>
      </c>
      <c r="M136" s="22">
        <f t="shared" si="6"/>
        <v>14413.382556529761</v>
      </c>
      <c r="N136" s="22">
        <v>2882.6765113059519</v>
      </c>
      <c r="O136" s="22"/>
      <c r="P136" s="3"/>
    </row>
    <row r="137" spans="1:16" ht="15" hidden="1" customHeight="1" x14ac:dyDescent="0.2">
      <c r="A137" s="2" t="s">
        <v>519</v>
      </c>
      <c r="B137" s="2" t="s">
        <v>121</v>
      </c>
      <c r="C137" s="2" t="s">
        <v>113</v>
      </c>
      <c r="D137" s="2" t="s">
        <v>345</v>
      </c>
      <c r="E137" s="2" t="s">
        <v>346</v>
      </c>
      <c r="F137" s="2" t="s">
        <v>9</v>
      </c>
      <c r="G137" s="2">
        <v>4</v>
      </c>
      <c r="H137" s="2">
        <v>2</v>
      </c>
      <c r="I137" s="2">
        <v>1</v>
      </c>
      <c r="J137" s="2">
        <v>1</v>
      </c>
      <c r="K137" s="2">
        <v>0</v>
      </c>
      <c r="L137" s="22">
        <v>946.00830641439768</v>
      </c>
      <c r="M137" s="22">
        <f t="shared" si="6"/>
        <v>1892.0166128287954</v>
      </c>
      <c r="N137" s="22">
        <v>378.40332256575908</v>
      </c>
      <c r="O137" s="22"/>
      <c r="P137" s="3"/>
    </row>
    <row r="138" spans="1:16" ht="15" hidden="1" customHeight="1" x14ac:dyDescent="0.2">
      <c r="A138" s="2" t="s">
        <v>520</v>
      </c>
      <c r="B138" s="2" t="s">
        <v>128</v>
      </c>
      <c r="C138" s="2" t="s">
        <v>118</v>
      </c>
      <c r="D138" s="2" t="s">
        <v>344</v>
      </c>
      <c r="E138" s="2" t="s">
        <v>345</v>
      </c>
      <c r="F138" s="2" t="s">
        <v>9</v>
      </c>
      <c r="G138" s="2">
        <v>3</v>
      </c>
      <c r="H138" s="2">
        <v>3</v>
      </c>
      <c r="I138" s="2">
        <v>0</v>
      </c>
      <c r="J138" s="2">
        <v>0</v>
      </c>
      <c r="K138" s="2">
        <v>0</v>
      </c>
      <c r="L138" s="22">
        <v>670.60452238117205</v>
      </c>
      <c r="M138" s="22">
        <f t="shared" si="6"/>
        <v>2011.8135671435161</v>
      </c>
      <c r="N138" s="22">
        <v>402.36271342870327</v>
      </c>
      <c r="O138" s="22"/>
      <c r="P138" s="3"/>
    </row>
    <row r="139" spans="1:16" ht="15" hidden="1" customHeight="1" x14ac:dyDescent="0.2">
      <c r="A139" s="2" t="s">
        <v>521</v>
      </c>
      <c r="B139" s="2" t="s">
        <v>128</v>
      </c>
      <c r="C139" s="2" t="s">
        <v>118</v>
      </c>
      <c r="D139" s="2" t="s">
        <v>338</v>
      </c>
      <c r="E139" s="2" t="s">
        <v>338</v>
      </c>
      <c r="F139" s="2" t="s">
        <v>9</v>
      </c>
      <c r="G139" s="2">
        <v>1</v>
      </c>
      <c r="H139" s="2">
        <v>1</v>
      </c>
      <c r="I139" s="2">
        <v>0</v>
      </c>
      <c r="J139" s="2">
        <v>0</v>
      </c>
      <c r="K139" s="2">
        <v>0</v>
      </c>
      <c r="L139" s="22">
        <v>670.60452238117205</v>
      </c>
      <c r="M139" s="22">
        <f t="shared" si="6"/>
        <v>670.60452238117205</v>
      </c>
      <c r="N139" s="22">
        <v>134.12090447623439</v>
      </c>
      <c r="O139" s="22"/>
      <c r="P139" s="3"/>
    </row>
    <row r="140" spans="1:16" ht="15" hidden="1" customHeight="1" x14ac:dyDescent="0.2">
      <c r="A140" s="2" t="s">
        <v>522</v>
      </c>
      <c r="B140" s="2" t="s">
        <v>139</v>
      </c>
      <c r="C140" s="2" t="s">
        <v>135</v>
      </c>
      <c r="D140" s="2" t="s">
        <v>291</v>
      </c>
      <c r="E140" s="2" t="s">
        <v>241</v>
      </c>
      <c r="F140" s="2" t="s">
        <v>7</v>
      </c>
      <c r="G140" s="2">
        <v>4</v>
      </c>
      <c r="H140" s="2">
        <v>4</v>
      </c>
      <c r="I140" s="2">
        <v>0</v>
      </c>
      <c r="J140" s="2">
        <v>0</v>
      </c>
      <c r="K140" s="2">
        <v>0</v>
      </c>
      <c r="L140" s="22">
        <v>1096.169820027688</v>
      </c>
      <c r="M140" s="22">
        <f t="shared" si="6"/>
        <v>4384.6792801107522</v>
      </c>
      <c r="N140" s="22"/>
      <c r="O140" s="22"/>
      <c r="P140" s="3"/>
    </row>
    <row r="141" spans="1:16" ht="15" hidden="1" customHeight="1" x14ac:dyDescent="0.2">
      <c r="A141" s="2" t="s">
        <v>523</v>
      </c>
      <c r="B141" s="2" t="s">
        <v>142</v>
      </c>
      <c r="C141" s="2" t="s">
        <v>113</v>
      </c>
      <c r="D141" s="2" t="s">
        <v>524</v>
      </c>
      <c r="E141" s="2" t="s">
        <v>525</v>
      </c>
      <c r="F141" s="2" t="s">
        <v>9</v>
      </c>
      <c r="G141" s="2">
        <v>2</v>
      </c>
      <c r="H141" s="2">
        <v>2</v>
      </c>
      <c r="I141" s="2">
        <v>0</v>
      </c>
      <c r="J141" s="2">
        <v>0</v>
      </c>
      <c r="K141" s="2">
        <v>0</v>
      </c>
      <c r="L141" s="22">
        <v>834.19473927088131</v>
      </c>
      <c r="M141" s="22">
        <f t="shared" si="6"/>
        <v>1668.3894785417626</v>
      </c>
      <c r="N141" s="22">
        <v>333.67789570835248</v>
      </c>
      <c r="O141" s="22"/>
      <c r="P141" s="3"/>
    </row>
    <row r="142" spans="1:16" ht="15" hidden="1" customHeight="1" x14ac:dyDescent="0.2">
      <c r="A142" s="2" t="s">
        <v>526</v>
      </c>
      <c r="B142" s="2" t="s">
        <v>142</v>
      </c>
      <c r="C142" s="2" t="s">
        <v>113</v>
      </c>
      <c r="D142" s="2" t="s">
        <v>527</v>
      </c>
      <c r="E142" s="2" t="s">
        <v>527</v>
      </c>
      <c r="F142" s="2" t="s">
        <v>9</v>
      </c>
      <c r="G142" s="2">
        <v>1</v>
      </c>
      <c r="H142" s="2">
        <v>0</v>
      </c>
      <c r="I142" s="2">
        <v>0</v>
      </c>
      <c r="J142" s="2">
        <v>1</v>
      </c>
      <c r="K142" s="2">
        <v>0</v>
      </c>
      <c r="L142" s="22">
        <v>834.19473927088131</v>
      </c>
      <c r="M142" s="22">
        <f t="shared" si="6"/>
        <v>0</v>
      </c>
      <c r="N142" s="22">
        <v>0</v>
      </c>
      <c r="O142" s="22"/>
      <c r="P142" s="3"/>
    </row>
    <row r="143" spans="1:16" ht="15" customHeight="1" x14ac:dyDescent="0.2">
      <c r="A143" s="2" t="s">
        <v>528</v>
      </c>
      <c r="B143" s="2" t="s">
        <v>155</v>
      </c>
      <c r="C143" s="2" t="s">
        <v>113</v>
      </c>
      <c r="D143" s="2" t="s">
        <v>344</v>
      </c>
      <c r="E143" s="2" t="s">
        <v>345</v>
      </c>
      <c r="F143" s="2" t="s">
        <v>9</v>
      </c>
      <c r="G143" s="2">
        <v>3</v>
      </c>
      <c r="H143" s="2">
        <v>3</v>
      </c>
      <c r="I143" s="2">
        <v>0</v>
      </c>
      <c r="J143" s="2">
        <v>0</v>
      </c>
      <c r="K143" s="2">
        <v>0</v>
      </c>
      <c r="L143" s="22">
        <v>929.85694508537142</v>
      </c>
      <c r="M143" s="22">
        <f t="shared" ref="M143:M151" si="7">L143*H143</f>
        <v>2789.5708352561142</v>
      </c>
      <c r="N143" s="22"/>
      <c r="O143" s="22"/>
      <c r="P143" s="3"/>
    </row>
    <row r="144" spans="1:16" ht="15" customHeight="1" x14ac:dyDescent="0.2">
      <c r="A144" s="2" t="s">
        <v>529</v>
      </c>
      <c r="B144" s="2" t="s">
        <v>155</v>
      </c>
      <c r="C144" s="2" t="s">
        <v>113</v>
      </c>
      <c r="D144" s="2" t="s">
        <v>346</v>
      </c>
      <c r="E144" s="2" t="s">
        <v>346</v>
      </c>
      <c r="F144" s="2" t="s">
        <v>9</v>
      </c>
      <c r="G144" s="2">
        <v>1</v>
      </c>
      <c r="H144" s="2">
        <v>0</v>
      </c>
      <c r="I144" s="2">
        <v>0</v>
      </c>
      <c r="J144" s="2">
        <v>1</v>
      </c>
      <c r="K144" s="2">
        <v>0</v>
      </c>
      <c r="L144" s="22">
        <v>929.85694508537142</v>
      </c>
      <c r="M144" s="22">
        <f t="shared" si="7"/>
        <v>0</v>
      </c>
      <c r="N144" s="22"/>
      <c r="O144" s="22"/>
      <c r="P144" s="3"/>
    </row>
    <row r="145" spans="1:20" ht="15" hidden="1" customHeight="1" x14ac:dyDescent="0.2">
      <c r="A145" s="2" t="s">
        <v>530</v>
      </c>
      <c r="B145" s="2" t="s">
        <v>160</v>
      </c>
      <c r="C145" s="2" t="s">
        <v>135</v>
      </c>
      <c r="D145" s="2" t="s">
        <v>350</v>
      </c>
      <c r="E145" s="2" t="s">
        <v>351</v>
      </c>
      <c r="F145" s="2" t="s">
        <v>9</v>
      </c>
      <c r="G145" s="2">
        <v>2</v>
      </c>
      <c r="H145" s="2">
        <v>2</v>
      </c>
      <c r="I145" s="2">
        <v>0</v>
      </c>
      <c r="J145" s="2">
        <v>0</v>
      </c>
      <c r="K145" s="2">
        <v>0</v>
      </c>
      <c r="L145" s="22">
        <v>914.85925242270412</v>
      </c>
      <c r="M145" s="22">
        <f t="shared" si="7"/>
        <v>1829.7185048454082</v>
      </c>
      <c r="N145" s="22"/>
      <c r="O145" s="22"/>
      <c r="P145" s="3"/>
    </row>
    <row r="146" spans="1:20" ht="15" hidden="1" customHeight="1" x14ac:dyDescent="0.2">
      <c r="A146" s="2" t="s">
        <v>531</v>
      </c>
      <c r="B146" s="2" t="s">
        <v>160</v>
      </c>
      <c r="C146" s="2" t="s">
        <v>135</v>
      </c>
      <c r="D146" s="2" t="s">
        <v>346</v>
      </c>
      <c r="E146" s="2" t="s">
        <v>346</v>
      </c>
      <c r="F146" s="2" t="s">
        <v>9</v>
      </c>
      <c r="G146" s="2">
        <v>2</v>
      </c>
      <c r="H146" s="2">
        <v>0</v>
      </c>
      <c r="I146" s="2">
        <v>0</v>
      </c>
      <c r="J146" s="2">
        <v>2</v>
      </c>
      <c r="K146" s="2">
        <v>0</v>
      </c>
      <c r="L146" s="22">
        <v>914.85925242270412</v>
      </c>
      <c r="M146" s="22">
        <f t="shared" si="7"/>
        <v>0</v>
      </c>
      <c r="N146" s="22"/>
      <c r="O146" s="22"/>
      <c r="P146" s="3"/>
    </row>
    <row r="147" spans="1:20" ht="15" hidden="1" customHeight="1" x14ac:dyDescent="0.2">
      <c r="A147" s="2" t="s">
        <v>532</v>
      </c>
      <c r="B147" s="2" t="s">
        <v>163</v>
      </c>
      <c r="C147" s="2" t="s">
        <v>113</v>
      </c>
      <c r="D147" s="2" t="s">
        <v>533</v>
      </c>
      <c r="E147" s="2" t="s">
        <v>344</v>
      </c>
      <c r="F147" s="2" t="s">
        <v>9</v>
      </c>
      <c r="G147" s="2">
        <v>3</v>
      </c>
      <c r="H147" s="2">
        <v>2</v>
      </c>
      <c r="I147" s="2">
        <v>0</v>
      </c>
      <c r="J147" s="2">
        <v>1</v>
      </c>
      <c r="K147" s="2">
        <v>0</v>
      </c>
      <c r="L147" s="22">
        <v>812.22888786340559</v>
      </c>
      <c r="M147" s="22">
        <f t="shared" si="7"/>
        <v>1624.4577757268112</v>
      </c>
      <c r="N147" s="22">
        <v>324.89155514536219</v>
      </c>
      <c r="O147" s="22"/>
      <c r="P147" s="3"/>
    </row>
    <row r="148" spans="1:20" ht="15" customHeight="1" x14ac:dyDescent="0.2">
      <c r="A148" s="2" t="s">
        <v>534</v>
      </c>
      <c r="B148" s="2" t="s">
        <v>155</v>
      </c>
      <c r="C148" s="2" t="s">
        <v>113</v>
      </c>
      <c r="D148" s="9" t="s">
        <v>236</v>
      </c>
      <c r="E148" s="9" t="s">
        <v>259</v>
      </c>
      <c r="F148" s="2" t="s">
        <v>5</v>
      </c>
      <c r="G148" s="30">
        <v>3</v>
      </c>
      <c r="H148" s="30">
        <v>2</v>
      </c>
      <c r="I148" s="30">
        <v>0</v>
      </c>
      <c r="J148" s="2">
        <v>1</v>
      </c>
      <c r="K148" s="2">
        <v>0</v>
      </c>
      <c r="L148" s="22">
        <v>929.85694508537142</v>
      </c>
      <c r="M148" s="22">
        <f t="shared" si="7"/>
        <v>1859.7138901707428</v>
      </c>
      <c r="N148" s="31">
        <v>483</v>
      </c>
      <c r="O148" s="31"/>
      <c r="P148" s="36">
        <v>1532</v>
      </c>
      <c r="Q148" s="23">
        <v>45877</v>
      </c>
      <c r="R148" s="32">
        <f>P148-M148</f>
        <v>-327.71389017074284</v>
      </c>
      <c r="T148" t="s">
        <v>458</v>
      </c>
    </row>
    <row r="149" spans="1:20" ht="15" hidden="1" customHeight="1" x14ac:dyDescent="0.2">
      <c r="A149" s="2" t="s">
        <v>535</v>
      </c>
      <c r="B149" s="2" t="s">
        <v>160</v>
      </c>
      <c r="C149" s="2" t="s">
        <v>135</v>
      </c>
      <c r="D149" s="9" t="s">
        <v>261</v>
      </c>
      <c r="E149" s="9" t="s">
        <v>264</v>
      </c>
      <c r="F149" s="2" t="s">
        <v>3</v>
      </c>
      <c r="G149" s="30">
        <v>4</v>
      </c>
      <c r="H149" s="30">
        <v>4</v>
      </c>
      <c r="I149" s="30">
        <v>0</v>
      </c>
      <c r="J149" s="30">
        <v>0</v>
      </c>
      <c r="K149" s="2">
        <v>0</v>
      </c>
      <c r="L149" s="22">
        <v>914.85925242270412</v>
      </c>
      <c r="M149" s="31">
        <f t="shared" si="7"/>
        <v>3659.4370096908165</v>
      </c>
      <c r="N149" s="31">
        <f>472*2</f>
        <v>944</v>
      </c>
      <c r="O149" s="31"/>
      <c r="P149" s="36">
        <f>3305*2</f>
        <v>6610</v>
      </c>
      <c r="Q149" s="23">
        <v>45877</v>
      </c>
      <c r="R149" s="32">
        <f>P149-M149</f>
        <v>2950.5629903091835</v>
      </c>
      <c r="S149" s="24">
        <v>45931</v>
      </c>
      <c r="T149" t="s">
        <v>536</v>
      </c>
    </row>
    <row r="150" spans="1:20" ht="15" hidden="1" customHeight="1" x14ac:dyDescent="0.2">
      <c r="A150" s="2" t="s">
        <v>537</v>
      </c>
      <c r="B150" s="2" t="s">
        <v>160</v>
      </c>
      <c r="C150" s="2" t="s">
        <v>135</v>
      </c>
      <c r="D150" s="9" t="s">
        <v>223</v>
      </c>
      <c r="E150" s="9" t="s">
        <v>224</v>
      </c>
      <c r="F150" s="2" t="s">
        <v>3</v>
      </c>
      <c r="G150" s="30">
        <v>2</v>
      </c>
      <c r="H150" s="30">
        <v>2</v>
      </c>
      <c r="I150" s="30">
        <v>0</v>
      </c>
      <c r="J150" s="30">
        <v>0</v>
      </c>
      <c r="K150" s="30">
        <v>0</v>
      </c>
      <c r="L150" s="22">
        <v>914.85925242270412</v>
      </c>
      <c r="M150" s="31">
        <f t="shared" si="7"/>
        <v>1829.7185048454082</v>
      </c>
      <c r="N150" s="31">
        <v>472</v>
      </c>
      <c r="O150" s="31"/>
      <c r="P150" s="36">
        <v>2361</v>
      </c>
      <c r="Q150" s="23">
        <v>45877</v>
      </c>
      <c r="R150" s="32">
        <f>P150-M150</f>
        <v>531.28149515459177</v>
      </c>
      <c r="S150" s="24">
        <v>45931</v>
      </c>
      <c r="T150" t="s">
        <v>536</v>
      </c>
    </row>
    <row r="151" spans="1:20" ht="15" hidden="1" customHeight="1" x14ac:dyDescent="0.2">
      <c r="A151" s="2" t="s">
        <v>538</v>
      </c>
      <c r="B151" s="2" t="s">
        <v>139</v>
      </c>
      <c r="C151" s="2" t="s">
        <v>135</v>
      </c>
      <c r="D151" s="9" t="s">
        <v>339</v>
      </c>
      <c r="E151" s="9" t="s">
        <v>339</v>
      </c>
      <c r="F151" s="9" t="s">
        <v>9</v>
      </c>
      <c r="G151" s="30">
        <v>2</v>
      </c>
      <c r="H151" s="30">
        <v>2</v>
      </c>
      <c r="I151" s="30">
        <v>0</v>
      </c>
      <c r="J151" s="30">
        <v>0</v>
      </c>
      <c r="K151" s="30">
        <v>0</v>
      </c>
      <c r="L151" s="31">
        <v>1096.169820027688</v>
      </c>
      <c r="M151" s="22">
        <f t="shared" si="7"/>
        <v>2192.3396400553761</v>
      </c>
      <c r="N151" s="31"/>
      <c r="O151" s="31"/>
      <c r="P151" s="3"/>
    </row>
    <row r="152" spans="1:20" ht="15" customHeight="1" x14ac:dyDescent="0.2">
      <c r="P152" s="47"/>
    </row>
    <row r="153" spans="1:20" ht="15" customHeight="1" x14ac:dyDescent="0.2">
      <c r="P153" s="47"/>
    </row>
    <row r="154" spans="1:20" ht="15" customHeight="1" x14ac:dyDescent="0.2">
      <c r="P154" s="47"/>
    </row>
    <row r="155" spans="1:20" ht="15" customHeight="1" x14ac:dyDescent="0.2">
      <c r="P155" s="47"/>
    </row>
    <row r="156" spans="1:20" ht="15" customHeight="1" x14ac:dyDescent="0.2">
      <c r="P156" s="47"/>
    </row>
    <row r="157" spans="1:20" ht="15" customHeight="1" x14ac:dyDescent="0.2">
      <c r="P157" s="47"/>
    </row>
    <row r="158" spans="1:20" ht="15" customHeight="1" x14ac:dyDescent="0.2">
      <c r="P158" s="47"/>
    </row>
    <row r="159" spans="1:20" ht="15" customHeight="1" x14ac:dyDescent="0.2">
      <c r="P159" s="47"/>
    </row>
    <row r="160" spans="1:20" ht="15" customHeight="1" x14ac:dyDescent="0.2">
      <c r="P160" s="47"/>
    </row>
    <row r="161" spans="16:16" ht="15" customHeight="1" x14ac:dyDescent="0.2">
      <c r="P161" s="47"/>
    </row>
    <row r="162" spans="16:16" ht="15" customHeight="1" x14ac:dyDescent="0.2">
      <c r="P162" s="47"/>
    </row>
    <row r="163" spans="16:16" ht="15" customHeight="1" x14ac:dyDescent="0.2">
      <c r="P163" s="47"/>
    </row>
    <row r="164" spans="16:16" ht="15" customHeight="1" x14ac:dyDescent="0.2">
      <c r="P164" s="47"/>
    </row>
  </sheetData>
  <autoFilter ref="A1:Q151" xr:uid="{00000000-0009-0000-0000-000006000000}">
    <filterColumn colId="1">
      <filters>
        <filter val="משה בורך"/>
      </filters>
    </filterColumn>
    <sortState xmlns:xlrd2="http://schemas.microsoft.com/office/spreadsheetml/2017/richdata2" ref="A43:Q150">
      <sortCondition ref="B1:B15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rightToLeft="1" workbookViewId="0">
      <pane ySplit="4" topLeftCell="A5" activePane="bottomLeft" state="frozen"/>
      <selection pane="bottomLeft" activeCell="A15" sqref="A15:G15"/>
    </sheetView>
  </sheetViews>
  <sheetFormatPr defaultRowHeight="14.25" x14ac:dyDescent="0.2"/>
  <cols>
    <col min="1" max="1" width="12" customWidth="1"/>
    <col min="2" max="2" width="22" customWidth="1"/>
    <col min="3" max="5" width="16" customWidth="1"/>
    <col min="6" max="6" width="20" customWidth="1"/>
    <col min="7" max="7" width="30" customWidth="1"/>
  </cols>
  <sheetData>
    <row r="1" spans="1:7" ht="24.95" customHeight="1" x14ac:dyDescent="0.2">
      <c r="A1" s="50" t="s">
        <v>539</v>
      </c>
      <c r="B1" s="49"/>
      <c r="C1" s="49"/>
      <c r="D1" s="49"/>
      <c r="E1" s="49"/>
      <c r="F1" s="49"/>
      <c r="G1" s="49"/>
    </row>
    <row r="2" spans="1:7" ht="20.100000000000001" customHeight="1" x14ac:dyDescent="0.2">
      <c r="A2" s="48" t="s">
        <v>540</v>
      </c>
      <c r="B2" s="49"/>
      <c r="C2" s="49"/>
      <c r="D2" s="49"/>
      <c r="E2" s="49"/>
      <c r="F2" s="49"/>
      <c r="G2" s="49"/>
    </row>
    <row r="3" spans="1:7" ht="5.0999999999999996" customHeight="1" x14ac:dyDescent="0.2"/>
    <row r="4" spans="1:7" ht="24.95" customHeight="1" x14ac:dyDescent="0.2">
      <c r="A4" s="8" t="s">
        <v>100</v>
      </c>
      <c r="B4" s="8" t="s">
        <v>103</v>
      </c>
      <c r="C4" s="8" t="s">
        <v>541</v>
      </c>
      <c r="D4" s="8" t="s">
        <v>542</v>
      </c>
      <c r="E4" s="8" t="s">
        <v>543</v>
      </c>
      <c r="F4" s="8" t="s">
        <v>544</v>
      </c>
      <c r="G4" s="8" t="s">
        <v>545</v>
      </c>
    </row>
    <row r="5" spans="1:7" ht="15" customHeight="1" x14ac:dyDescent="0.2">
      <c r="A5" s="2" t="s">
        <v>308</v>
      </c>
      <c r="B5" s="2" t="s">
        <v>121</v>
      </c>
      <c r="C5" s="11">
        <v>735</v>
      </c>
      <c r="D5" s="2" t="s">
        <v>546</v>
      </c>
      <c r="E5" s="2" t="s">
        <v>547</v>
      </c>
      <c r="F5" s="2" t="s">
        <v>548</v>
      </c>
      <c r="G5" s="2" t="s">
        <v>549</v>
      </c>
    </row>
    <row r="6" spans="1:7" ht="15" customHeight="1" x14ac:dyDescent="0.2">
      <c r="A6" s="15" t="s">
        <v>308</v>
      </c>
      <c r="B6" s="15" t="s">
        <v>121</v>
      </c>
      <c r="C6" s="16">
        <v>850</v>
      </c>
      <c r="D6" s="15" t="s">
        <v>550</v>
      </c>
      <c r="E6" s="15"/>
      <c r="F6" s="17" t="s">
        <v>551</v>
      </c>
      <c r="G6" s="15" t="s">
        <v>552</v>
      </c>
    </row>
    <row r="7" spans="1:7" ht="15" customHeight="1" x14ac:dyDescent="0.2">
      <c r="A7" s="2" t="s">
        <v>336</v>
      </c>
      <c r="B7" s="2" t="s">
        <v>152</v>
      </c>
      <c r="C7" s="11">
        <v>891</v>
      </c>
      <c r="D7" s="2" t="s">
        <v>546</v>
      </c>
      <c r="E7" s="2"/>
      <c r="F7" s="2" t="s">
        <v>553</v>
      </c>
      <c r="G7" s="2"/>
    </row>
    <row r="8" spans="1:7" ht="15" customHeight="1" x14ac:dyDescent="0.2">
      <c r="A8" s="2" t="s">
        <v>286</v>
      </c>
      <c r="B8" s="2" t="s">
        <v>554</v>
      </c>
      <c r="C8" s="11">
        <v>1254</v>
      </c>
      <c r="D8" s="2" t="s">
        <v>546</v>
      </c>
      <c r="E8" s="2"/>
      <c r="F8" s="2" t="s">
        <v>553</v>
      </c>
      <c r="G8" s="2"/>
    </row>
    <row r="9" spans="1:7" ht="15" customHeight="1" x14ac:dyDescent="0.2">
      <c r="A9" s="2" t="s">
        <v>290</v>
      </c>
      <c r="B9" s="2" t="s">
        <v>155</v>
      </c>
      <c r="C9" s="11">
        <v>805</v>
      </c>
      <c r="D9" s="2" t="s">
        <v>546</v>
      </c>
      <c r="E9" s="2"/>
      <c r="F9" s="2" t="s">
        <v>553</v>
      </c>
      <c r="G9" s="2"/>
    </row>
    <row r="10" spans="1:7" ht="15" customHeight="1" x14ac:dyDescent="0.2">
      <c r="A10" s="2" t="s">
        <v>292</v>
      </c>
      <c r="B10" s="2" t="s">
        <v>160</v>
      </c>
      <c r="C10" s="11">
        <v>2361</v>
      </c>
      <c r="D10" s="2" t="s">
        <v>546</v>
      </c>
      <c r="E10" s="2"/>
      <c r="F10" s="2" t="s">
        <v>553</v>
      </c>
      <c r="G10" s="2"/>
    </row>
    <row r="11" spans="1:7" ht="15" customHeight="1" x14ac:dyDescent="0.2">
      <c r="A11" s="2" t="s">
        <v>314</v>
      </c>
      <c r="B11" s="2" t="s">
        <v>125</v>
      </c>
      <c r="C11" s="11">
        <v>1157</v>
      </c>
      <c r="D11" s="2" t="s">
        <v>546</v>
      </c>
      <c r="E11" s="2"/>
      <c r="F11" s="2" t="s">
        <v>553</v>
      </c>
      <c r="G11" s="2"/>
    </row>
    <row r="12" spans="1:7" ht="15" customHeight="1" x14ac:dyDescent="0.2">
      <c r="A12" s="2" t="s">
        <v>320</v>
      </c>
      <c r="B12" s="2" t="s">
        <v>321</v>
      </c>
      <c r="C12" s="11">
        <v>663</v>
      </c>
      <c r="D12" s="2" t="s">
        <v>546</v>
      </c>
      <c r="E12" s="2"/>
      <c r="F12" s="2" t="s">
        <v>553</v>
      </c>
      <c r="G12" s="2"/>
    </row>
    <row r="13" spans="1:7" ht="15" customHeight="1" x14ac:dyDescent="0.2">
      <c r="A13" s="2" t="s">
        <v>330</v>
      </c>
      <c r="B13" s="2" t="s">
        <v>128</v>
      </c>
      <c r="C13" s="11">
        <v>510</v>
      </c>
      <c r="D13" s="2" t="s">
        <v>546</v>
      </c>
      <c r="E13" s="2"/>
      <c r="F13" s="2" t="s">
        <v>553</v>
      </c>
      <c r="G13" s="2"/>
    </row>
    <row r="15" spans="1:7" x14ac:dyDescent="0.2">
      <c r="A15" s="51" t="s">
        <v>555</v>
      </c>
      <c r="B15" s="49"/>
      <c r="C15" s="49"/>
      <c r="D15" s="49"/>
      <c r="E15" s="49"/>
      <c r="F15" s="49"/>
      <c r="G15" s="49"/>
    </row>
  </sheetData>
  <autoFilter ref="A4:G13" xr:uid="{00000000-0009-0000-0000-000007000000}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רשימות</vt:lpstr>
      <vt:lpstr>📖 הוראות שימוש</vt:lpstr>
      <vt:lpstr>1️⃣ רשימת עובדים</vt:lpstr>
      <vt:lpstr>💵 רשימת תשלומים</vt:lpstr>
      <vt:lpstr>4️⃣ דוח מסכם</vt:lpstr>
      <vt:lpstr>3️⃣ תשלומי ב"ל</vt:lpstr>
      <vt:lpstr>2️⃣ תקופות מילואים</vt:lpstr>
      <vt:lpstr>📈 היסטוריית שכר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2025-11-06T15:03:01Z</dcterms:created>
  <dcterms:modified xsi:type="dcterms:W3CDTF">2025-11-25T09:43:19Z</dcterms:modified>
</cp:coreProperties>
</file>